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рафик обновления меню" sheetId="1" r:id="rId4"/>
    <sheet state="visible" name="Кухня Бруклина" sheetId="2" r:id="rId5"/>
    <sheet state="visible" name="Меню стендап Кухня 2025 " sheetId="3" r:id="rId6"/>
    <sheet state="visible" name="Карта бара 2025" sheetId="4" r:id="rId7"/>
    <sheet state="visible" name="Меню стендап Бар 2025" sheetId="5" r:id="rId8"/>
    <sheet state="visible" name="Меню КЛБспорт" sheetId="6" r:id="rId9"/>
    <sheet state="visible" name="Меню для подписочников все горо" sheetId="7" r:id="rId10"/>
    <sheet state="hidden" name="Меню Кухни Тюмень." sheetId="8" r:id="rId11"/>
    <sheet state="hidden" name="Меню кухни Сургут-Вартовск" sheetId="9" r:id="rId12"/>
    <sheet state="hidden" name="Меню кухни ПЕТРОВСКИЙ" sheetId="10" r:id="rId13"/>
    <sheet state="hidden" name="Меню кухни МАТРИЦА" sheetId="11" r:id="rId14"/>
    <sheet state="hidden" name="меню стендап 2024 Сургут" sheetId="12" r:id="rId15"/>
    <sheet state="visible" name="КЦ ТЮМЕНЬ" sheetId="13" r:id="rId16"/>
    <sheet state="visible" name="КЦ ИЖЕВСК" sheetId="14" r:id="rId17"/>
    <sheet state="hidden" name="Стенд Ап бар 2024 Тюмень " sheetId="15" r:id="rId18"/>
    <sheet state="visible" name="КЖБУ" sheetId="16" r:id="rId19"/>
    <sheet state="hidden" name="Карта Бара 2024 Югра" sheetId="17" r:id="rId20"/>
    <sheet state="hidden" name="Меню кухни НВ" sheetId="18" r:id="rId21"/>
    <sheet state="visible" name="новый год 2025" sheetId="19" r:id="rId22"/>
    <sheet state="hidden" name="Бизнес ланч Ижевск" sheetId="20" r:id="rId23"/>
  </sheets>
  <definedNames>
    <definedName hidden="1" localSheetId="1" name="_xlnm._FilterDatabase">'Кухня Бруклина'!$A$1:$Q$384</definedName>
    <definedName hidden="1" localSheetId="2" name="_xlnm._FilterDatabase">'Меню стендап Кухня 2025 '!$A$1:$I$114</definedName>
    <definedName hidden="1" localSheetId="3" name="_xlnm._FilterDatabase">'Карта бара 2025'!$A$1:$P$1</definedName>
    <definedName hidden="1" localSheetId="4" name="_xlnm._FilterDatabase">'Меню стендап Бар 2025'!$E$1:$E$863</definedName>
    <definedName hidden="1" localSheetId="6" name="_xlnm._FilterDatabase">'Меню для подписочников все горо'!$F$1:$F$22</definedName>
    <definedName hidden="1" localSheetId="3" name="Z_762F393F_F76E_4137_AA51_845FC01BD281_.wvu.FilterData">'Карта бара 2025'!$E$1:$E$1646</definedName>
  </definedNames>
  <calcPr/>
  <customWorkbookViews>
    <customWorkbookView activeSheetId="0" maximized="1" windowHeight="0" windowWidth="0" guid="{762F393F-F76E-4137-AA51-845FC01BD281}" name="Города"/>
  </customWorkbookViews>
  <extLst>
    <ext uri="GoogleSheetsCustomDataVersion2">
      <go:sheetsCustomData xmlns:go="http://customooxmlschemas.google.com/" r:id="rId24" roundtripDataChecksum="RQqK4RTLAOt+Gi17I9pwf2WcvytEFeaKEtzGG3coiM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8">
      <text>
        <t xml:space="preserve">======
ID#AAABniTMmxs
    (2025-07-21 06:07:52)
тут и ниже уже с соусом себестоимость
	-Danil Gobov</t>
      </text>
    </comment>
    <comment authorId="0" ref="H19">
      <text>
        <t xml:space="preserve">======
ID#AAABniTMmxA
    (2025-07-21 06:07:52)
уменьшить выход</t>
      </text>
    </comment>
  </commentList>
  <extLst>
    <ext uri="GoogleSheetsCustomDataVersion2">
      <go:sheetsCustomData xmlns:go="http://customooxmlschemas.google.com/" r:id="rId1" roundtripDataSignature="AMtx7mj3mTPpQR0RP1gQjLP+gsExgkbof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======
ID#AAABniTMmxk
    (2025-07-21 06:07:52)
Добавить да хун пао</t>
      </text>
    </comment>
    <comment authorId="0" ref="C48">
      <text>
        <t xml:space="preserve">======
ID#AAABniTMmxc
    (2025-07-21 06:07:52)
добавить тегуанинь</t>
      </text>
    </comment>
    <comment authorId="0" ref="A48">
      <text>
        <t xml:space="preserve">======
ID#AAABniTMmxE
    (2025-07-21 06:07:52)
добавить тегуанинь</t>
      </text>
    </comment>
    <comment authorId="0" ref="C38">
      <text>
        <t xml:space="preserve">======
ID#AAABniTMmwk
    (2025-07-21 06:07:52)
Добавить да хун пао</t>
      </text>
    </comment>
  </commentList>
  <extLst>
    <ext uri="GoogleSheetsCustomDataVersion2">
      <go:sheetsCustomData xmlns:go="http://customooxmlschemas.google.com/" r:id="rId1" roundtripDataSignature="AMtx7mhn1khiMBqEZnCAx4tH7gy96IgVX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">
      <text>
        <t xml:space="preserve">======
ID#AAABniTMmx0
    (2025-07-21 06:07:52)
самая дорогая будет по себеске.
	-Danil Gobov</t>
      </text>
    </comment>
    <comment authorId="0" ref="G60">
      <text>
        <t xml:space="preserve">======
ID#AAABniTMmxw
    (2025-07-21 06:07:52)
цену не менять</t>
      </text>
    </comment>
    <comment authorId="0" ref="G43">
      <text>
        <t xml:space="preserve">======
ID#AAABniTMmxo
    (2025-07-21 06:07:52)
уменьшили порцию на 50 гр</t>
      </text>
    </comment>
    <comment authorId="0" ref="G40">
      <text>
        <t xml:space="preserve">======
ID#AAABniTMmxM
    (2025-07-21 06:07:52)
из 9 шт стало 6 шт</t>
      </text>
    </comment>
    <comment authorId="0" ref="G44">
      <text>
        <t xml:space="preserve">======
ID#AAABniTMmw4
    (2025-07-21 06:07:52)
из 9 шт сделали 6 шт</t>
      </text>
    </comment>
    <comment authorId="0" ref="G42">
      <text>
        <t xml:space="preserve">======
ID#AAABniTMmww
    (2025-07-21 06:07:52)
уменьшили порцию на 50 гр</t>
      </text>
    </comment>
  </commentList>
  <extLst>
    <ext uri="GoogleSheetsCustomDataVersion2">
      <go:sheetsCustomData xmlns:go="http://customooxmlschemas.google.com/" r:id="rId1" roundtripDataSignature="AMtx7mh9CrXkp3Fzr9p/fWJN/Rq2Vavtx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======
ID#AAABniTMmxY
    (2025-07-21 06:07:52)
1. заготовка требуемая большого кол-ва времени 
2. дорогая позиция - не используется в других позициях 
3. продано 26 шт с 01.01.24</t>
      </text>
    </comment>
    <comment authorId="0" ref="A25">
      <text>
        <t xml:space="preserve">======
ID#AAABniTMmxU
    (2025-07-21 06:07:52)
28 порций продано за период с 01.03 по 01.08 - самый не продаваемый салат 
маринованный тунец, который нужно заготавливать, так же заготовка долго хранится в морозилке</t>
      </text>
    </comment>
    <comment authorId="0" ref="A46">
      <text>
        <t xml:space="preserve">======
ID#AAABniTMmxQ
    (2025-07-21 06:07:52)
убираем салат с говядиной, так же пасту 
уменьшаем кол-во заготовок 
продано 27 шт с 01.01 по 01.08 
в 5 раз уступает продаже карбонары 
и в 2 раза меньше продано, чем паст с креветкам и кур.филе</t>
      </text>
    </comment>
    <comment authorId="0" ref="A5">
      <text>
        <t xml:space="preserve">======
ID#AAABniTMmxI
    (2025-07-21 06:07:52)
предлагаю не вводить новые продукты 
так же это одна позиция в меню, в которой будут сыровяленые деликатесы</t>
      </text>
    </comment>
    <comment authorId="0" ref="A30">
      <text>
        <t xml:space="preserve">======
ID#AAABniTMmw8
    (2025-07-21 06:07:52)
Арахисовый майонез + крошка арахиса (больше не идут не в одну позицию) 
оставляем салат с ростбифом, в котором есть говядина</t>
      </text>
    </comment>
    <comment authorId="0" ref="A59">
      <text>
        <t xml:space="preserve">======
ID#AAABniTMmw0
    (2025-07-21 06:07:52)
1. себестоимость 
2. 5 порций продано с 01.01.24 по 01.08.24 
3. только для данного блюда готовим соус -  медовый карри</t>
      </text>
    </comment>
    <comment authorId="0" ref="A26">
      <text>
        <t xml:space="preserve">======
ID#AAABniTMmws
    (2025-07-21 06:07:52)
0 шт продаж из Летнего меню</t>
      </text>
    </comment>
  </commentList>
  <extLst>
    <ext uri="GoogleSheetsCustomDataVersion2">
      <go:sheetsCustomData xmlns:go="http://customooxmlschemas.google.com/" r:id="rId1" roundtripDataSignature="AMtx7mij9rFi/erYYRzg3vHzo5qYFY55L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ID#AAABniTMmxg
    (2025-07-21 06:07:52)
Думаем все вместе - это название попадет в печать)</t>
      </text>
    </comment>
  </commentList>
  <extLst>
    <ext uri="GoogleSheetsCustomDataVersion2">
      <go:sheetsCustomData xmlns:go="http://customooxmlschemas.google.com/" r:id="rId1" roundtripDataSignature="AMtx7mjLhZYuAK7s01kiVsbGSNYkRAcar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ID#AAABniTMmwo
    (2025-07-21 06:07:52)
Думаем все вместе - это название попадет в печать)</t>
      </text>
    </comment>
  </commentList>
  <extLst>
    <ext uri="GoogleSheetsCustomDataVersion2">
      <go:sheetsCustomData xmlns:go="http://customooxmlschemas.google.com/" r:id="rId1" roundtripDataSignature="AMtx7mhVLr4S5/tXRv7LDPAjidebJ/W9Xg=="/>
    </ext>
  </extLst>
</comments>
</file>

<file path=xl/sharedStrings.xml><?xml version="1.0" encoding="utf-8"?>
<sst xmlns="http://schemas.openxmlformats.org/spreadsheetml/2006/main" count="10030" uniqueCount="2438">
  <si>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</si>
  <si>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</si>
  <si>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</si>
  <si>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</si>
  <si>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</si>
  <si>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</si>
  <si>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</si>
  <si>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</si>
  <si>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</si>
  <si>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</si>
  <si>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</si>
  <si>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</si>
  <si>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1-15</t>
  </si>
  <si>
    <t>16-31</t>
  </si>
  <si>
    <t>1-14</t>
  </si>
  <si>
    <t>15-28</t>
  </si>
  <si>
    <t>16-30</t>
  </si>
  <si>
    <t>АВС-анализ меню</t>
  </si>
  <si>
    <t>Шеф</t>
  </si>
  <si>
    <t>20-26</t>
  </si>
  <si>
    <t>16-20</t>
  </si>
  <si>
    <t>17-20</t>
  </si>
  <si>
    <t xml:space="preserve">Анализ заведений и меню </t>
  </si>
  <si>
    <t>маркетинг</t>
  </si>
  <si>
    <t>Проработка</t>
  </si>
  <si>
    <t>15-30</t>
  </si>
  <si>
    <t>17-21</t>
  </si>
  <si>
    <t>Занесение ТТК</t>
  </si>
  <si>
    <t>21-31</t>
  </si>
  <si>
    <t>Дегустация</t>
  </si>
  <si>
    <t>Правка ТТК</t>
  </si>
  <si>
    <t>3-15</t>
  </si>
  <si>
    <t>9-15</t>
  </si>
  <si>
    <t>Конкурентный анализ позиций</t>
  </si>
  <si>
    <t xml:space="preserve">Описание и название </t>
  </si>
  <si>
    <t>15-19</t>
  </si>
  <si>
    <t>Ценообразование</t>
  </si>
  <si>
    <t>ОД</t>
  </si>
  <si>
    <t xml:space="preserve">Фотосъемка и видео </t>
  </si>
  <si>
    <t>ТЗ и дизайн</t>
  </si>
  <si>
    <t>22-26</t>
  </si>
  <si>
    <t>14-27</t>
  </si>
  <si>
    <t>20-24</t>
  </si>
  <si>
    <t>Отработка с командой</t>
  </si>
  <si>
    <t>27-31</t>
  </si>
  <si>
    <t>28-31</t>
  </si>
  <si>
    <t>Дегустация для команды</t>
  </si>
  <si>
    <t xml:space="preserve">Печать фото на кухню </t>
  </si>
  <si>
    <t>15-20</t>
  </si>
  <si>
    <t>14-18</t>
  </si>
  <si>
    <t>Запуск РК СКОРО</t>
  </si>
  <si>
    <t>Печать меню</t>
  </si>
  <si>
    <t>29-2</t>
  </si>
  <si>
    <t>Запуск меню</t>
  </si>
  <si>
    <t xml:space="preserve">Обновление РК </t>
  </si>
  <si>
    <t>10-15</t>
  </si>
  <si>
    <t>16-25</t>
  </si>
  <si>
    <t>13-14</t>
  </si>
  <si>
    <t>18-30</t>
  </si>
  <si>
    <t>19-23</t>
  </si>
  <si>
    <t>13-24</t>
  </si>
  <si>
    <t>5-22</t>
  </si>
  <si>
    <t>11-20</t>
  </si>
  <si>
    <t>15-21</t>
  </si>
  <si>
    <t>22-30</t>
  </si>
  <si>
    <t>18-22</t>
  </si>
  <si>
    <t>25-29</t>
  </si>
  <si>
    <t>Запуск РК</t>
  </si>
  <si>
    <t>11-18</t>
  </si>
  <si>
    <t>4 дек-23 фев
ЗИМА</t>
  </si>
  <si>
    <t>24 фев - 2 марта
МАСЛЕННИЦА</t>
  </si>
  <si>
    <t>3 марта - 19 апреля
ПОСТ</t>
  </si>
  <si>
    <t>5 июня - 31 агуста
ЛЕТНЕЕ</t>
  </si>
  <si>
    <t>основное меню: 60 дней</t>
  </si>
  <si>
    <t>2 октября - 23 апреля
ОСНОВНОЕ ЗИМА</t>
  </si>
  <si>
    <t>21 апреля - 1 октября
ОСНОВНОЕ ЛЕТО</t>
  </si>
  <si>
    <t>сезонка: 45 дней</t>
  </si>
  <si>
    <t>Конкурентный анализ меню (позиции и цены)</t>
  </si>
  <si>
    <t>Написание ТЗ на новое меню</t>
  </si>
  <si>
    <t>Шеф+маркетинг</t>
  </si>
  <si>
    <t>Дегустация первая +правки</t>
  </si>
  <si>
    <t>Дегустация вторая +правки</t>
  </si>
  <si>
    <t>Заполнение всегда актуального меню</t>
  </si>
  <si>
    <t>ОД+КОМДИР</t>
  </si>
  <si>
    <t>Запуск РК, обновоение на сайте и в соцсетях, агрегаторах, доставках</t>
  </si>
  <si>
    <t>24 фев</t>
  </si>
  <si>
    <t>Боулинг прайс</t>
  </si>
  <si>
    <t>1 января боулинг</t>
  </si>
  <si>
    <t>1 июля боулинг</t>
  </si>
  <si>
    <t>-</t>
  </si>
  <si>
    <t>ЗАМЕТКИ ШЕФА обновленые себестоимости  17.03.24</t>
  </si>
  <si>
    <t>Состав</t>
  </si>
  <si>
    <t>Посуда</t>
  </si>
  <si>
    <r>
      <rPr>
        <rFont val="Proxima Nova"/>
        <b/>
        <color rgb="FF000000"/>
        <sz val="10.0"/>
      </rPr>
      <t xml:space="preserve">Название для меню
</t>
    </r>
    <r>
      <rPr>
        <rFont val="Proxima Nova"/>
        <b/>
        <color rgb="FFFF0000"/>
        <sz val="10.0"/>
      </rPr>
      <t>МАРКЕТИНГ</t>
    </r>
  </si>
  <si>
    <r>
      <rPr>
        <rFont val="Proxima Nova"/>
        <b/>
        <color rgb="FF000000"/>
        <sz val="10.0"/>
      </rPr>
      <t xml:space="preserve">Описание для меню
</t>
    </r>
    <r>
      <rPr>
        <rFont val="Proxima Nova"/>
        <b/>
        <color rgb="FFFF0000"/>
        <sz val="10.0"/>
      </rPr>
      <t>МАРКЕТИНГ</t>
    </r>
  </si>
  <si>
    <t>Город</t>
  </si>
  <si>
    <t>Выход</t>
  </si>
  <si>
    <t xml:space="preserve">старая цена </t>
  </si>
  <si>
    <t xml:space="preserve">новая цена </t>
  </si>
  <si>
    <t>с/с, р</t>
  </si>
  <si>
    <t>с/с, %</t>
  </si>
  <si>
    <t>% роста цен</t>
  </si>
  <si>
    <t>Наценка, %</t>
  </si>
  <si>
    <t>цена для яндекс/каро</t>
  </si>
  <si>
    <t>Деливери/ Яндекс/ Каро</t>
  </si>
  <si>
    <t>Доставка ББ</t>
  </si>
  <si>
    <t>всяки там сыры благородные</t>
  </si>
  <si>
    <t>овальная деревянная</t>
  </si>
  <si>
    <t>Сырная тарелка</t>
  </si>
  <si>
    <t>Дорблю, бри, пармезан, брынза</t>
  </si>
  <si>
    <t>Тюмень/Ижевск</t>
  </si>
  <si>
    <t>да</t>
  </si>
  <si>
    <t>нет</t>
  </si>
  <si>
    <t>Сургут/Югра/Самара</t>
  </si>
  <si>
    <t>Москва</t>
  </si>
  <si>
    <t>Это будет напоминать БРУКМУКНД только без маринованого лука. ТОМАТЫ ОБЯЗАТЕЛЬНО ДОРОГИЕ КАК НА САЛАТ С БАКЛАЖАНОМ.</t>
  </si>
  <si>
    <t>огурец св, томаты св., перец болгарский, сельдерей, морковь.</t>
  </si>
  <si>
    <t>Хрустящие овощи</t>
  </si>
  <si>
    <t xml:space="preserve">Свежие огурцы, томаты, болгарский перец, сельдерей, морковь
</t>
  </si>
  <si>
    <t>набор ребер всех вкусов</t>
  </si>
  <si>
    <t>ребра барбекью, ребра сырные, ребра острые.</t>
  </si>
  <si>
    <t>деревянная круглая</t>
  </si>
  <si>
    <t>Сет из свиных ребер в трех соусах</t>
  </si>
  <si>
    <t>BBQ, сырные и спайси</t>
  </si>
  <si>
    <t>крылья барбекью, крылья сырные, крылья острые.</t>
  </si>
  <si>
    <t>Микс из крыльев в трех соусах</t>
  </si>
  <si>
    <t xml:space="preserve">BBQ, сырные и спайси
</t>
  </si>
  <si>
    <t>маринады овощей</t>
  </si>
  <si>
    <t>огурец ферментированый, дайкон маринованый,томаты вяленые, оливки маслины.</t>
  </si>
  <si>
    <t>белая полусфера</t>
  </si>
  <si>
    <t>Овощи на закуску</t>
  </si>
  <si>
    <t>Маринованный хрустящий огурчик, томаты черри, болгарский перец, салат айсберг, дайкон и вяленые томаты</t>
  </si>
  <si>
    <t>добавим веса из ростбифа и другого мяса</t>
  </si>
  <si>
    <t xml:space="preserve"> два вида сыровяленных деликатесов, ростбиф, орешки, томаты вяленые, огурец моченый
</t>
  </si>
  <si>
    <t>красная тарелка</t>
  </si>
  <si>
    <t>Тарелка мясных деликатесоа</t>
  </si>
  <si>
    <t>Сыровяленые деликатесы, ростбиф, хрустящие орешки, вяленые томаты, фета</t>
  </si>
  <si>
    <t>-%</t>
  </si>
  <si>
    <t>фри, не фри, кольца</t>
  </si>
  <si>
    <t>деревянная доска круглая</t>
  </si>
  <si>
    <t>Дуо-сет</t>
  </si>
  <si>
    <t xml:space="preserve">Картофель фри, луковые кольца, брусочки кукурузы, свиные байтсы, чипсы из пепперони, с соусом руй, тартар и кетчуп </t>
  </si>
  <si>
    <t>фри, кольца, свинина вырезка, чипсы пеперони, соуса</t>
  </si>
  <si>
    <t>Сообразим на троих</t>
  </si>
  <si>
    <t>Картофель фри, луковые кольца, брусочки кукурузы, свиные байтсы, чипсы из пепперони, чесночные гренки, сыр в панировке, наггетсы, картофельные дольки, соус руй, тартар и кетчуп</t>
  </si>
  <si>
    <t>чечил жарим теперь во фритюре</t>
  </si>
  <si>
    <t>гренки ,наггется, фри, сыр</t>
  </si>
  <si>
    <t>Пивная тарелка полкило</t>
  </si>
  <si>
    <t>Чесночные гренки, сыр в панировке, наггетсы, картофельные дольки, сыр чечил, соусы руй, тартар и кетчуп</t>
  </si>
  <si>
    <t>Мясной пир</t>
  </si>
  <si>
    <t>Шашлык из свинины, шашлык из курицы, кебаб из говядины, охотничьи колбаски на гриле, цыпленок гриль, крылья BBQ, картофельные дольки и зеленый салат</t>
  </si>
  <si>
    <t>деревяная круглая</t>
  </si>
  <si>
    <t xml:space="preserve">Гриль с огоньком
</t>
  </si>
  <si>
    <t>Шашлык из свинины, шашлык из курицы, кебаб из говядины, кебаб из курицы, картофель фри, зеленый салат, соусы шашлычный и тартар</t>
  </si>
  <si>
    <t>деревяная доска</t>
  </si>
  <si>
    <t>Полстола пиццы</t>
  </si>
  <si>
    <t>О боги, в ней 60 сантиметров и четыре начинки: тайская, пепперони, чикаго и маргарита. Один с ней точно не справишься ;)</t>
  </si>
  <si>
    <t>Нас много</t>
  </si>
  <si>
    <t>Сет из 36 роллов: филадельфия, ролл с креветкой темпура под сырно-запеченой шапкой, калифорния, сырный тепмпура-ролл с креветкой, темпура-ролл со снежным крабом, чукой и сливочным манго, лава с лососем</t>
  </si>
  <si>
    <t>Тюмень</t>
  </si>
  <si>
    <t>Ижевск</t>
  </si>
  <si>
    <t>Нас мало</t>
  </si>
  <si>
    <t>Сет из 30 роллов: филадельфия, калифорния с крабом, лава с лососем, сяке маки, каппа маки</t>
  </si>
  <si>
    <t>черная круглая</t>
  </si>
  <si>
    <t>Сырный темпура-ролл с креветкой</t>
  </si>
  <si>
    <t>Креветка темпура, рис, нори, чука, сыр сливочный и чеддер</t>
  </si>
  <si>
    <t xml:space="preserve">Снежный краб, рис, нори, чука, сливочный сыр, соус сливочный манго 
</t>
  </si>
  <si>
    <t xml:space="preserve">Темпура-ролл со снежным крабом, чукой и сливочным манго </t>
  </si>
  <si>
    <t xml:space="preserve">Рис заправленный Нори Сливочный сыр Семга филе Огурец свежий
</t>
  </si>
  <si>
    <t>Филадельфия</t>
  </si>
  <si>
    <t>Калифорния с крабом</t>
  </si>
  <si>
    <t>Рис, нори, снежный краб, свежий огурец, икра масаго</t>
  </si>
  <si>
    <t xml:space="preserve">"Рис заправленный Нори Семга филе Соус Лава  Сливочный сыр 
"
</t>
  </si>
  <si>
    <t>Лава с лососем</t>
  </si>
  <si>
    <t xml:space="preserve">"Рис заправленный Нори Креветка темпура Сыр сливочный Сыр пармезан соус том ям Соус сливочный манго Редис свежий Масага
"
</t>
  </si>
  <si>
    <t>Ролл с креветкой темпура под запеченой шапкой Том ям</t>
  </si>
  <si>
    <t>черная полусфера</t>
  </si>
  <si>
    <t>Брусуаз</t>
  </si>
  <si>
    <t>Тунец татаки, картофель, хрустящие свежие овощи с медово-горчичным соусом</t>
  </si>
  <si>
    <t>Баклажан без кожи,руккола,томат свежий,брынза, Соус сладкий чили, соус терияки,Кунжут</t>
  </si>
  <si>
    <t>Салат с баклажанами по-азиатски</t>
  </si>
  <si>
    <t>C томатами и брынзой в соусе терияки</t>
  </si>
  <si>
    <t>Ростбиф запеченный Огурец маринованный Томаты черри Соус медово-горчичный Крошка из бородинского хлеба. Салат айсберг Соус Бальзамик Запеченный картофель бейби</t>
  </si>
  <si>
    <t>большая белая</t>
  </si>
  <si>
    <t>Салат с ростбифом</t>
  </si>
  <si>
    <t>Тонкие ломтики телятины с картофелем и хрустящими маринованными огурцами, томатами, заправленные медово-
горчичным соусом и бородинской крошкой</t>
  </si>
  <si>
    <t>переделали курицу. теперь она жареная.</t>
  </si>
  <si>
    <t xml:space="preserve">"Салат айсберг Соус цезарь Яйцо перепелиное Томаты черри, цыпленок жареный. Сухари из багета. Сыр пармезан.
"
</t>
  </si>
  <si>
    <t>Цезарь с курицей</t>
  </si>
  <si>
    <t xml:space="preserve">Салат айсберг Соус цезарь Яйцо перепелиное Томаты черри креветка жаренная.Сухари из багета. Сыр пармезан
</t>
  </si>
  <si>
    <t>Цезарь с креветкой</t>
  </si>
  <si>
    <t xml:space="preserve">Ржаные гренки с чесноком 
</t>
  </si>
  <si>
    <t>орехи в глазировке</t>
  </si>
  <si>
    <t>миндаль, арахис, острая глазировка</t>
  </si>
  <si>
    <t>миска черная</t>
  </si>
  <si>
    <t>Хрустящий миндаль и арахис</t>
  </si>
  <si>
    <t>Под пиво — топ</t>
  </si>
  <si>
    <t>добавили соус через модификатор обязательным( айоли, руй ,кетчуп, барбекью, сметана,  тар тар , майонез,сырный ,сладкий чили)</t>
  </si>
  <si>
    <t>креветки, кляр темпура, лайм</t>
  </si>
  <si>
    <t xml:space="preserve">черная миска </t>
  </si>
  <si>
    <t>Креветки темпура</t>
  </si>
  <si>
    <t>Луковые кольца</t>
  </si>
  <si>
    <t>6 шт</t>
  </si>
  <si>
    <t xml:space="preserve">Сырные палочки </t>
  </si>
  <si>
    <t>Картофель фри с пармезаном и голландским соусом</t>
  </si>
  <si>
    <t xml:space="preserve">Картофель фри </t>
  </si>
  <si>
    <t xml:space="preserve">Картофель по-деревенски </t>
  </si>
  <si>
    <t>Куриные наггетсы</t>
  </si>
  <si>
    <t>Борщ с вишней, копченой сметаной, ростбифом и салом</t>
  </si>
  <si>
    <t>капуста, бульон куриный, морковь, картофель, лук крепчатый ,ростбиф, сметана копченая, хлеб ржаной, сало соленое.</t>
  </si>
  <si>
    <t>салатник серый+овальная деревянная</t>
  </si>
  <si>
    <t>Борщ с копченой сметаной и ростбифом</t>
  </si>
  <si>
    <t>пс. официант расскажет про секретный ингридиент;)</t>
  </si>
  <si>
    <t>КАРРИ Тыква свежая Лук репчатый Морковь Паста карри Сливки Креветки тигровые зеленое масло Кунжут</t>
  </si>
  <si>
    <t>Яркий, смелый и пряный тыквенный крем-суп</t>
  </si>
  <si>
    <t>Колбаски охотничьи Ветчина Полукопченая свиная колбаса огурец маринованный Маслины Оливки Томатная паста Лук репчатый Лимон Специи хмели-сунели Хрустящие ржаные гренки</t>
  </si>
  <si>
    <t>Солянка «Гумбо»</t>
  </si>
  <si>
    <t xml:space="preserve">с ржаными гренками </t>
  </si>
  <si>
    <t>Тигровые креветки Семга филе Перец болгарский Сельдерей стеблевой Маринованный имбирь Кокосовое молоко Паста том ям Соевый соус. Рис Норри Смесь кунжута.</t>
  </si>
  <si>
    <t>Суп с морепродуктами</t>
  </si>
  <si>
    <t xml:space="preserve"> </t>
  </si>
  <si>
    <t xml:space="preserve">Люля из курицы. я бы честно назвал кебабом </t>
  </si>
  <si>
    <t>фарш куриный, салат зеленый с томатами черри, соус дзадзыки, тортилья.</t>
  </si>
  <si>
    <t>Кебаб из курицы</t>
  </si>
  <si>
    <t>на тортилье с зеленым салатом и соусом дзадзыки</t>
  </si>
  <si>
    <t>Люля из говядины</t>
  </si>
  <si>
    <t>фарш говяжий, салат зеленый с томатами черри ,соус шашлычный, тортилья.</t>
  </si>
  <si>
    <t>Кебаб из говядины</t>
  </si>
  <si>
    <t>на тортилье с зеленым салатом с шашлычным соусом</t>
  </si>
  <si>
    <t>Куриные крокеты с соусом BBQ</t>
  </si>
  <si>
    <t>Мини чебуреки с курицей и сырным соусом</t>
  </si>
  <si>
    <t>Хрустящие пирожки с копченым цыпленком</t>
  </si>
  <si>
    <t>крылья в соусе барбекью</t>
  </si>
  <si>
    <t>крылья, соус барбекью,  чипсы пеперони ,кукурузные бруски</t>
  </si>
  <si>
    <t>деревянная овальная</t>
  </si>
  <si>
    <t>Крылья BBQ</t>
  </si>
  <si>
    <t>с брусочками кукурузы и чипсами пепперони</t>
  </si>
  <si>
    <t>крылья в сырном соусе</t>
  </si>
  <si>
    <t>крыль, соус сырный, попкор сырный</t>
  </si>
  <si>
    <t>Крылья суперчиз</t>
  </si>
  <si>
    <t>с попкорном и длительным послевкусием</t>
  </si>
  <si>
    <t>крылья ебать остро</t>
  </si>
  <si>
    <t>Крылья хот</t>
  </si>
  <si>
    <t>Для тех, кто любит поострее</t>
  </si>
  <si>
    <t>Ребра в соусе барбекью</t>
  </si>
  <si>
    <t>ребро свиное, соус барбекью, бруски кукурузы.</t>
  </si>
  <si>
    <t>Ребра BBQ</t>
  </si>
  <si>
    <t>с брусочками кукурузы</t>
  </si>
  <si>
    <t>Ребра в сырном соусе</t>
  </si>
  <si>
    <t>ребро свиное,  соус чеддер, попкорн кукурузный.</t>
  </si>
  <si>
    <t>Ребра суперчиз</t>
  </si>
  <si>
    <t>Ребра в остром соусе</t>
  </si>
  <si>
    <t>ребро свиное, соус томатный ким чи, дайкон маринованый, кунжут.</t>
  </si>
  <si>
    <t>овальная деревянанная</t>
  </si>
  <si>
    <t>Ребра хот</t>
  </si>
  <si>
    <t xml:space="preserve">Тресковые котлеты </t>
  </si>
  <si>
    <t>треска, картофельное пюре ,огурец ферментированый</t>
  </si>
  <si>
    <t>белая большая</t>
  </si>
  <si>
    <t>Заморские котлеты</t>
  </si>
  <si>
    <t>из трески с картофельным пюре</t>
  </si>
  <si>
    <t>Равиоли с семгой и голандским соусом с красной икрой</t>
  </si>
  <si>
    <t xml:space="preserve">Семга филе, тесто для пасты, желток, масло сливочное. </t>
  </si>
  <si>
    <t>Равиоли с семгой и красной икрой</t>
  </si>
  <si>
    <t>Подается в голландском соусе</t>
  </si>
  <si>
    <t>Равиоли с говядиной  и мясным соусом с черным перцем</t>
  </si>
  <si>
    <t>Говядина вырезка, тесто для пасты ,соус мясной ,сливки, черный перец, сусальное золото</t>
  </si>
  <si>
    <t>Позолоченные равиоли с говядиной</t>
  </si>
  <si>
    <t>Самый обычный бефстроганов, но от этого он немение вкусный</t>
  </si>
  <si>
    <t>говядина вырезка, лук репчатый,  сливки, соус мясной ,картофельное пюре, огурец ферментированый.</t>
  </si>
  <si>
    <t>черная большая</t>
  </si>
  <si>
    <t>Бефстроганов с картофельным пюре</t>
  </si>
  <si>
    <t>Большая котлета из говядины и курицы</t>
  </si>
  <si>
    <t>говядина, курица, кукуруза в початке, огурец моченый</t>
  </si>
  <si>
    <t>овальная деревяная</t>
  </si>
  <si>
    <t>Сочный бифштекс</t>
  </si>
  <si>
    <t>Подается с брусочками кукурузы и огурчиком</t>
  </si>
  <si>
    <t xml:space="preserve">"Спаггети Курица горячего копчения Брокколи Шпинат Паста чесночная Сливки Пармезан
"
</t>
  </si>
  <si>
    <t>Сливочная паста с куриным филе и брокколи</t>
  </si>
  <si>
    <t>убрали самодельную пасту . теперь она со спагетти</t>
  </si>
  <si>
    <t xml:space="preserve">"Спаггети,  Бекон в/к, Желток куриный Сливки Перец ч/м Пармезан
"
</t>
  </si>
  <si>
    <t>Карбонара по-бруклински</t>
  </si>
  <si>
    <t>убрали самодельную пасту, теперь это казаречи.</t>
  </si>
  <si>
    <t xml:space="preserve">"Казаречи, Креветки тигровые  Соус Том ям Сливки Чесночная паста Пармезан Икра масаго
"
</t>
  </si>
  <si>
    <t>Паста с креветками в сливочным соусе том ям</t>
  </si>
  <si>
    <t xml:space="preserve">Бедро куриное Картофель молодой соус дзадзыки масло лимона Микро зелень </t>
  </si>
  <si>
    <t xml:space="preserve">Цыпленок гриль </t>
  </si>
  <si>
    <t>с молодым картофелем со сливочным соусом дзадзыки</t>
  </si>
  <si>
    <t>теперь он выглядит как для цыпленка гриль ,приплюснутая и жареная порумяней на растительном масле</t>
  </si>
  <si>
    <t>Картофель молодой Масло сливочное</t>
  </si>
  <si>
    <t>черная миска</t>
  </si>
  <si>
    <t>Отжаренный картофель</t>
  </si>
  <si>
    <t>поменяли подачу. добавили соус дзадзыки , маленькая лепешка, салат зеленый ,томаты черри.</t>
  </si>
  <si>
    <t>Сочное куриное бедро,</t>
  </si>
  <si>
    <t>Шашлык из курицы</t>
  </si>
  <si>
    <t>Сочное куриное филе подается с соусом дзадзыки</t>
  </si>
  <si>
    <t xml:space="preserve">поменяли подачу. добавили соус шашлычный , маленькая лепешка и салат зеленый с томатами черри </t>
  </si>
  <si>
    <t xml:space="preserve">Мягкое свиное филе, </t>
  </si>
  <si>
    <t>Шашлык из свинины</t>
  </si>
  <si>
    <t>Мягкая свиная вырезка подается с шашлычным соусом</t>
  </si>
  <si>
    <t>Форель Картофель молодойЛимон печеный Сливочное масло Микрозелень Лимонное масло</t>
  </si>
  <si>
    <t>Стейк из форели гриль с молодым картофелем</t>
  </si>
  <si>
    <t>Баклажаны свежие Цукини свежие Кукуруза в початках Томаты свежие Болгарский перец Зеленое масло Паста чесночная Соевый соус Микрозелень</t>
  </si>
  <si>
    <t>маленькая белая</t>
  </si>
  <si>
    <t>Овощи гриль</t>
  </si>
  <si>
    <t>Говяжье ребро пюре из сельдерея</t>
  </si>
  <si>
    <t>Кальмар гриль с пюре из батата</t>
  </si>
  <si>
    <t>Мидии в сливочно-чесночном соусе</t>
  </si>
  <si>
    <t>Сливочная паста с мидиями</t>
  </si>
  <si>
    <t>Сибас в лимонном пюре с цукини</t>
  </si>
  <si>
    <r>
      <rPr>
        <rFont val="Proxima Nova"/>
        <color rgb="FFFF0000"/>
        <sz val="21.0"/>
      </rPr>
      <t>горилаз</t>
    </r>
    <r>
      <rPr>
        <rFont val="Proxima Nova"/>
        <color rgb="FFFF0000"/>
        <sz val="10.0"/>
      </rPr>
      <t xml:space="preserve"> . УДАЛИЛИ ЛУК ИЗ НЕГО</t>
    </r>
  </si>
  <si>
    <t xml:space="preserve">Горилаз </t>
  </si>
  <si>
    <t>Говяжья котлета, перец халапеньо, сыр чеддер, свежие овощи и соус тартар</t>
  </si>
  <si>
    <t xml:space="preserve">добавили фри </t>
  </si>
  <si>
    <t>томат ,салат резаный,соус руй , луковые кольца</t>
  </si>
  <si>
    <t>Чикен Руй</t>
  </si>
  <si>
    <t>Куриная котлета, томаты, салат айсберг, луковые кольца, соус руй</t>
  </si>
  <si>
    <t>чеддер, тысяча остравов с рваной свининой и грибным рагучеддер, тысяча остравов с рваной свининой и грибным рагу</t>
  </si>
  <si>
    <t>овальная деревяння</t>
  </si>
  <si>
    <t>Неряха с грибами</t>
  </si>
  <si>
    <t>Сочное реберное мясо, чеддер, соус тысяча островов и грибное рагу</t>
  </si>
  <si>
    <t>добавили фри</t>
  </si>
  <si>
    <t>говяжья котлета,яйцо,бекон ,томат,лук фри, барбекью</t>
  </si>
  <si>
    <t>Ред хот 2.0</t>
  </si>
  <si>
    <t>Говяжья котлета, куриное яйцо, бекон, томат, лук фри, соус BBQ</t>
  </si>
  <si>
    <t>креветки томаты салат айберг сыр пармезан соус цезарь</t>
  </si>
  <si>
    <t>Цезарь среди бургеров</t>
  </si>
  <si>
    <t>Креветки, томаты, салат айсберг, пармезан, соус цезарь</t>
  </si>
  <si>
    <t>сливочный соус сыры моцарелла,пармезан,дор блю,камамбер,чеддер</t>
  </si>
  <si>
    <t>деревяннная круглая</t>
  </si>
  <si>
    <t>Шесть сыров</t>
  </si>
  <si>
    <t>В одном круге: моцарелла, пармезан, дор блю, камамбер, чеддер, сливочный</t>
  </si>
  <si>
    <t xml:space="preserve">соус томатный сыр моцарелла томаты свежие </t>
  </si>
  <si>
    <t>Маргарита</t>
  </si>
  <si>
    <t>Сырная с томатным соусом</t>
  </si>
  <si>
    <t>Копченые колбаски, маринованные огурцы и перц халапеньо</t>
  </si>
  <si>
    <t>ХОТ - Баварская</t>
  </si>
  <si>
    <t xml:space="preserve">Копченые колбаски, бекон, маринованные огурцы и перец халапеньо
</t>
  </si>
  <si>
    <t>удвоили пеперони в два раза</t>
  </si>
  <si>
    <t>соус томатный сыр моцарелла колбаса пепперони</t>
  </si>
  <si>
    <t>Пепперони</t>
  </si>
  <si>
    <t>Теперь в 2 раза больше колбасок!</t>
  </si>
  <si>
    <t>Курица терияки, перец, красный лук и моцарелла с томатным соусом. Присыпана кунжутом и глубоким смыслом</t>
  </si>
  <si>
    <t>Тайская</t>
  </si>
  <si>
    <t xml:space="preserve">Курица терияки, перец, красный лук и моцарелла с томатным соусом. Присыпана кунжутом и глубоким смыслом
</t>
  </si>
  <si>
    <t>Карбонара</t>
  </si>
  <si>
    <t>Как паста, только лучше: бекон, желток, пармезан, моцарелла и руккола под сливочным соусом</t>
  </si>
  <si>
    <t>переделали мясо взяли с ребер и удалили соус чеддер</t>
  </si>
  <si>
    <t xml:space="preserve">соус томатный сыр моцарелла томленая свинина маринованные огурцы лук фри соус барбекью </t>
  </si>
  <si>
    <t>Чикаго</t>
  </si>
  <si>
    <t>Сочное реберное мясо, томатный соус, моцарелла, маринованные огурцы, лук фри и соус BBQ</t>
  </si>
  <si>
    <t>Лимонный тарт с меренгой и ягодами</t>
  </si>
  <si>
    <t>Ореховое латте</t>
  </si>
  <si>
    <t>кофейное пирожное (ореховый бисквит с фундуком и шоколадный бисквит в кофейном креме с кусочками темного шоколада под тончайшим шоколадным корпусом) с минипеченьками Мадлен в виде кофейного зерна</t>
  </si>
  <si>
    <t>Десерто Макиатто</t>
  </si>
  <si>
    <t>Кофейно-муссовое пирожное</t>
  </si>
  <si>
    <t>Лимонный холодОк</t>
  </si>
  <si>
    <t>лимонное пирожное (лимонный бисквит, лимонный сливочный мусс и мятный центр с добавлением эфирного масла перечной мяты), мятный крамбл и листики мяты для мятно-лимонного впечатления</t>
  </si>
  <si>
    <t>Лимонное пирожное с мятной начинкой</t>
  </si>
  <si>
    <t xml:space="preserve"> Шоколадный бархат</t>
  </si>
  <si>
    <t xml:space="preserve">Шоколадный торт с сочными шоколадными бисквитами, с прослойкой мягкого шоклада и ванильного кремчиза. </t>
  </si>
  <si>
    <t>Шоколадный торт</t>
  </si>
  <si>
    <t>🫶🏻🫶🏻🫶🏻🫶🏻🫶🏻</t>
  </si>
  <si>
    <t>Витаминный ушастик</t>
  </si>
  <si>
    <t xml:space="preserve">Морковно-яблочный бисквит, грушевый сливочный мусс, конфи из груши и тыквы, песочное печенье и веточка розмарина для аромата. Сделан для того, чтобы вспомнить какое вкусное было детское пюре от мамы.
</t>
  </si>
  <si>
    <t>Белый кролик</t>
  </si>
  <si>
    <t>Нет времени объяснять — просто ешь</t>
  </si>
  <si>
    <t>круассан, шоколадный топинг, крем чиз со сгущенкой</t>
  </si>
  <si>
    <t>белая кругаля</t>
  </si>
  <si>
    <t>Круассан с шоколадом</t>
  </si>
  <si>
    <t>с нежным кремом</t>
  </si>
  <si>
    <t>круассан, крем чиз со сгущенкой, малина сублемированая ,сгущеное молоко</t>
  </si>
  <si>
    <t>Круассан с малиновой крошкой</t>
  </si>
  <si>
    <t>белая круглая</t>
  </si>
  <si>
    <t>Грушевый тарт</t>
  </si>
  <si>
    <t>Теплый тарт татен с шоколадным соусом и мороженым</t>
  </si>
  <si>
    <t>Самый вкусный чизкейк</t>
  </si>
  <si>
    <t>Подается с тартаром из киви и манго пюре
*По версии самого чизкейка</t>
  </si>
  <si>
    <t>Медовый рулет</t>
  </si>
  <si>
    <t>Фундучино</t>
  </si>
  <si>
    <t>Карамельно-муссовое пирожное с  фундуком и жидким пралине</t>
  </si>
  <si>
    <t>Шарик мороженого</t>
  </si>
  <si>
    <t>Свежие томаты</t>
  </si>
  <si>
    <t xml:space="preserve">Бекон </t>
  </si>
  <si>
    <t>Охотничьи колбаски</t>
  </si>
  <si>
    <t>Сыр моцарелла</t>
  </si>
  <si>
    <t>Ветчина</t>
  </si>
  <si>
    <t>Перец халапеньо</t>
  </si>
  <si>
    <t xml:space="preserve">Болгарский перец </t>
  </si>
  <si>
    <t>Сметана</t>
  </si>
  <si>
    <t xml:space="preserve">Кетчуп </t>
  </si>
  <si>
    <t>Соус BBQ</t>
  </si>
  <si>
    <t>Соус айоли</t>
  </si>
  <si>
    <t>Соус сырный</t>
  </si>
  <si>
    <t>Соус шашлычный</t>
  </si>
  <si>
    <t>Соус сладкий чили</t>
  </si>
  <si>
    <t>Соус тысяча островов</t>
  </si>
  <si>
    <t xml:space="preserve">Соус тартар </t>
  </si>
  <si>
    <t>Соус майонез</t>
  </si>
  <si>
    <t>Соус руй</t>
  </si>
  <si>
    <t>Соус цезарь</t>
  </si>
  <si>
    <t xml:space="preserve">Хлеб из печи </t>
  </si>
  <si>
    <t>три вида хлеба  без масла.</t>
  </si>
  <si>
    <t>Лепешка "бруклинская"</t>
  </si>
  <si>
    <t xml:space="preserve">Фокачо с песто </t>
  </si>
  <si>
    <t>лепешка с песто и сыром пармезан запеченая в печи.</t>
  </si>
  <si>
    <t>Хрустики</t>
  </si>
  <si>
    <t>Морковные и огуречные палочки со сметанкой</t>
  </si>
  <si>
    <t>макароны звездочки ,морковь, куриное филе ,брокколи ,яйцо перепелиное.</t>
  </si>
  <si>
    <t>серая супавая</t>
  </si>
  <si>
    <t>Куриный суп с макарошками и брокколи</t>
  </si>
  <si>
    <t>макароны звездочки, сливки, брокколи ,сосиски куриные</t>
  </si>
  <si>
    <t>Сливочные макарошки с сосисками</t>
  </si>
  <si>
    <t xml:space="preserve">180 гр </t>
  </si>
  <si>
    <t xml:space="preserve">соус томатный сыр моцарелла ветчина </t>
  </si>
  <si>
    <t>Хочу пиццу с ветчиной</t>
  </si>
  <si>
    <t xml:space="preserve">соус томатный сыр моцарелла колбаса пепперони </t>
  </si>
  <si>
    <t xml:space="preserve">соус томатный сыр моцарелла </t>
  </si>
  <si>
    <t>Шашлычок из курицы с картошкой фри</t>
  </si>
  <si>
    <t>Можно помакать в сырный соус и кетчуп</t>
  </si>
  <si>
    <t xml:space="preserve">булочка картофельная сосиска огурец свежий соус сырный картофель фри кетчуп </t>
  </si>
  <si>
    <t>Хот-дог</t>
  </si>
  <si>
    <t>С картошкой фри и кетчупом для самых голодных</t>
  </si>
  <si>
    <t>160/100/30</t>
  </si>
  <si>
    <t xml:space="preserve">булочка картофельная котлета куриная томат свежий соус сырный картофель фри кетчуп </t>
  </si>
  <si>
    <t>Мини-чикен</t>
  </si>
  <si>
    <t xml:space="preserve">В сто раз вкуснее взрослого. С картошкой фри и кетчупом </t>
  </si>
  <si>
    <t>Мне только картошку и наггетсы</t>
  </si>
  <si>
    <t>картофель фри и нагетсы встретились в одной тарелке.</t>
  </si>
  <si>
    <t>Сезон</t>
  </si>
  <si>
    <t>Салат с мини моцареллой и персиком</t>
  </si>
  <si>
    <t>Руккола,салат айсберг,моцарелла,томат черри,персик,соус медово-горчичный</t>
  </si>
  <si>
    <t>Салат с мини-моцареллой и персиком</t>
  </si>
  <si>
    <t>Рукола, салат айсберг, моцарелла, томат черри, персик, медово-горчичный соус</t>
  </si>
  <si>
    <t>Батат фри с трюфельно-грибным соусом</t>
  </si>
  <si>
    <t xml:space="preserve">Батат, соус трюфельно-грибной </t>
  </si>
  <si>
    <t>Чтобы было во что макать</t>
  </si>
  <si>
    <t>140/30</t>
  </si>
  <si>
    <t xml:space="preserve">Окрошка с ветчиной на квасе </t>
  </si>
  <si>
    <t>Ветчина,огурец,картофель,яйцо,квас,сметана,горчица,зелень</t>
  </si>
  <si>
    <t>Классика, но каждый раз, как первый: с огурцом, зеленью, сметаной и горчицей</t>
  </si>
  <si>
    <t>300/30/20</t>
  </si>
  <si>
    <t>Шаурма с реберным мясом и трюфельно грибным соусом</t>
  </si>
  <si>
    <t xml:space="preserve">Лаваш,реберное мясо,огурец,помидор,салат айсберг,томатный соус,трюфельно-грибной соус </t>
  </si>
  <si>
    <t>Шаурма или Шаверма</t>
  </si>
  <si>
    <t>Какая разница, если она с нежным реберным мясом, овощами и трюфельно-грибным соусом</t>
  </si>
  <si>
    <t>280/30</t>
  </si>
  <si>
    <t>Десерт Ложный бутер с икрой</t>
  </si>
  <si>
    <t>Брауни,крем-чиз,икра из джус-боулов</t>
  </si>
  <si>
    <t>Бутер с икрой</t>
  </si>
  <si>
    <t>А на деле — брауни с крем-чизом и шариками из джус боллов</t>
  </si>
  <si>
    <t>сырный бол с орехами</t>
  </si>
  <si>
    <t>канапе из ветчины с томатами черри</t>
  </si>
  <si>
    <t>канапе с креветкой и лаймовым муссом</t>
  </si>
  <si>
    <t>канапе из мини моццареллы с томатами черри</t>
  </si>
  <si>
    <t>канапе с сыром камамбер и виноградом</t>
  </si>
  <si>
    <t>канапе с креветками в тесте каттаифи</t>
  </si>
  <si>
    <t>канапе из фруктов</t>
  </si>
  <si>
    <t>мини брускетта с лаймовым муссом и снежным крабом</t>
  </si>
  <si>
    <t>мини брускетта с творожным кремом и тартаром из лосося</t>
  </si>
  <si>
    <t>мини брускетта с сыром камамбер и брусничным соусом</t>
  </si>
  <si>
    <t>мини брускетта с ростбифом</t>
  </si>
  <si>
    <t>мини брускетта с жареной грудинкой и перепелиным яйцом</t>
  </si>
  <si>
    <t>мини брускетта с грибным тар таром</t>
  </si>
  <si>
    <t>Название</t>
  </si>
  <si>
    <t xml:space="preserve">Описание для меню </t>
  </si>
  <si>
    <t>Цена</t>
  </si>
  <si>
    <t>Наценка, руб.</t>
  </si>
  <si>
    <t>ЗАКУСКИ</t>
  </si>
  <si>
    <t>соус на выбор по умолчанию</t>
  </si>
  <si>
    <t>тюмень/ижевск</t>
  </si>
  <si>
    <t>самара/сургут/югра</t>
  </si>
  <si>
    <t>Картофель по-деревенски</t>
  </si>
  <si>
    <t xml:space="preserve">Ржаные гренки с чесноком </t>
  </si>
  <si>
    <t>120гр</t>
  </si>
  <si>
    <t>Сырные палочки</t>
  </si>
  <si>
    <t>6шт</t>
  </si>
  <si>
    <t>80гр</t>
  </si>
  <si>
    <t>САЛАТ</t>
  </si>
  <si>
    <t>Салат с ростбифом новорожденный</t>
  </si>
  <si>
    <t>Цезарь с креветками</t>
  </si>
  <si>
    <t>ГОРЯЧЕЕ</t>
  </si>
  <si>
    <t>СОУСЫ</t>
  </si>
  <si>
    <t>сметана</t>
  </si>
  <si>
    <t>кетчуп томатный</t>
  </si>
  <si>
    <t>соус BBQ</t>
  </si>
  <si>
    <t>соус чесночный</t>
  </si>
  <si>
    <t>соус сырный</t>
  </si>
  <si>
    <t>соус шашлычный</t>
  </si>
  <si>
    <t>соус сладкий чили</t>
  </si>
  <si>
    <t>соус тысяча островов</t>
  </si>
  <si>
    <t xml:space="preserve">соус тартар </t>
  </si>
  <si>
    <t>соус майонез</t>
  </si>
  <si>
    <t>соус цезарь</t>
  </si>
  <si>
    <t>ПИЦЦА</t>
  </si>
  <si>
    <t>Пепперони 2.0</t>
  </si>
  <si>
    <t>ДЕСЕРТ</t>
  </si>
  <si>
    <t>Круассан с сублемированной малиной</t>
  </si>
  <si>
    <t>На любой вкус</t>
  </si>
  <si>
    <t>Название от Шеф-бармена</t>
  </si>
  <si>
    <r>
      <rPr>
        <rFont val="Proxima Nova"/>
        <b/>
        <color theme="1"/>
        <sz val="11.0"/>
      </rPr>
      <t>Комментарии для маркетинга</t>
    </r>
    <r>
      <rPr>
        <rFont val="Proxima Nova"/>
        <b/>
        <color theme="1"/>
        <sz val="9.0"/>
      </rPr>
      <t xml:space="preserve"> 
(как писать в меню, контрактные вещи и прочее)</t>
    </r>
  </si>
  <si>
    <t>Название маркетинг для меню</t>
  </si>
  <si>
    <t>Описание маркетинг меню</t>
  </si>
  <si>
    <t xml:space="preserve">Новая цена </t>
  </si>
  <si>
    <t>Старая цена</t>
  </si>
  <si>
    <t>% увеличения цен</t>
  </si>
  <si>
    <t xml:space="preserve">Яндекс/ Деливери </t>
  </si>
  <si>
    <t>Доставка</t>
  </si>
  <si>
    <t>Каро</t>
  </si>
  <si>
    <t>ЧАИ РАССЫПНЫЕ</t>
  </si>
  <si>
    <t>Сургут/Нижневартовск</t>
  </si>
  <si>
    <t>Самара</t>
  </si>
  <si>
    <t>Фруктовые чаи</t>
  </si>
  <si>
    <t>Фруктовый</t>
  </si>
  <si>
    <t xml:space="preserve">Фруктовый пунш </t>
  </si>
  <si>
    <t xml:space="preserve">Манговый улун </t>
  </si>
  <si>
    <t>Смородиновый ликер</t>
  </si>
  <si>
    <t>Черные чаи</t>
  </si>
  <si>
    <t>Черный</t>
  </si>
  <si>
    <t xml:space="preserve">Ассам </t>
  </si>
  <si>
    <t xml:space="preserve">Эрл Грей </t>
  </si>
  <si>
    <t>Пуэр 3 года</t>
  </si>
  <si>
    <t>Пуэр 3-летний</t>
  </si>
  <si>
    <t>Зеленые чаи</t>
  </si>
  <si>
    <t>Зеленый</t>
  </si>
  <si>
    <t xml:space="preserve">Сенча </t>
  </si>
  <si>
    <t>через слэш</t>
  </si>
  <si>
    <t>Молочный Улун</t>
  </si>
  <si>
    <t>Молочный улун</t>
  </si>
  <si>
    <t>Чаи авторские</t>
  </si>
  <si>
    <t>Авторский</t>
  </si>
  <si>
    <t xml:space="preserve">Цитрусовый  чай </t>
  </si>
  <si>
    <t>Чай с бергамотом, апельсиновое пюре, медовый сироп</t>
  </si>
  <si>
    <t>Цитрусовый</t>
  </si>
  <si>
    <t>Яблочный чай</t>
  </si>
  <si>
    <t>Молочный улун, яблочное пюре, сироп зеленое яблоко</t>
  </si>
  <si>
    <t>Яблочный</t>
  </si>
  <si>
    <t xml:space="preserve">Облепиховый чай </t>
  </si>
  <si>
    <t>Черный чай, облепиховое пюре, медовый сироп</t>
  </si>
  <si>
    <t>Облепиховый</t>
  </si>
  <si>
    <t>Вишневый чай</t>
  </si>
  <si>
    <t>Фруктовый чай, вишневое пюре, сироп черная смородина</t>
  </si>
  <si>
    <t>Вишневый</t>
  </si>
  <si>
    <t>Черный чай, вишневое пюре, сироп черная смородина</t>
  </si>
  <si>
    <t>Добавки в чай</t>
  </si>
  <si>
    <t>Добавочки</t>
  </si>
  <si>
    <t>Лимон</t>
  </si>
  <si>
    <t>Мята</t>
  </si>
  <si>
    <t>Чабрец</t>
  </si>
  <si>
    <t>Мёд</t>
  </si>
  <si>
    <t>Имбирь</t>
  </si>
  <si>
    <t>Добавки в кофе</t>
  </si>
  <si>
    <t xml:space="preserve">Сироп </t>
  </si>
  <si>
    <t>49 р</t>
  </si>
  <si>
    <t xml:space="preserve">Сливки </t>
  </si>
  <si>
    <t xml:space="preserve">Молоко </t>
  </si>
  <si>
    <t>Кофе</t>
  </si>
  <si>
    <t xml:space="preserve">Эспрессо стандартный </t>
  </si>
  <si>
    <t>Эспрессо</t>
  </si>
  <si>
    <t>одно название и 2 размера как в прошлом меню</t>
  </si>
  <si>
    <t>Эспрессо большой</t>
  </si>
  <si>
    <t>Американо стандартный</t>
  </si>
  <si>
    <t>Американо</t>
  </si>
  <si>
    <t>Американо большой</t>
  </si>
  <si>
    <t xml:space="preserve">Капучино стнадартный </t>
  </si>
  <si>
    <t>через / в меню капучино/латте ст выходи и цена</t>
  </si>
  <si>
    <t>Капучино</t>
  </si>
  <si>
    <t>Капучино большой</t>
  </si>
  <si>
    <t>через / в меню капучино/латте бол. выходи и цена</t>
  </si>
  <si>
    <t>Латте стандартный</t>
  </si>
  <si>
    <t>Латте</t>
  </si>
  <si>
    <t>Латте большой</t>
  </si>
  <si>
    <t>Раф кофе стандартный</t>
  </si>
  <si>
    <t>Раф</t>
  </si>
  <si>
    <t>Раф кофе большой</t>
  </si>
  <si>
    <t>Кофе на кокосовом молоке</t>
  </si>
  <si>
    <t xml:space="preserve">Кофе на альтернативном молоке </t>
  </si>
  <si>
    <t xml:space="preserve">Кофе на кокосовом молоке </t>
  </si>
  <si>
    <t>дописать строчками в общее кофе</t>
  </si>
  <si>
    <t>Капучино на кокосовом молоке стандартный</t>
  </si>
  <si>
    <t>Капучино на кокосовом молоке большой</t>
  </si>
  <si>
    <t>Латте на кокосовом молоке стандартный</t>
  </si>
  <si>
    <t>Латте на кокосовом молоке большой</t>
  </si>
  <si>
    <t>Добавки в лимонад</t>
  </si>
  <si>
    <t>Лайм</t>
  </si>
  <si>
    <t xml:space="preserve">Коктейли безалкогольные </t>
  </si>
  <si>
    <t>Внизу на странице прописать "объем указан без учета льда". Объем всех б/а коктейлей через дробь 700/300</t>
  </si>
  <si>
    <t>Ананас -Личи</t>
  </si>
  <si>
    <t>Пюре ананасовое, сироп личи, супер джус лайм,содовая</t>
  </si>
  <si>
    <t>Ананас-личи</t>
  </si>
  <si>
    <t>Яблоко-Киви</t>
  </si>
  <si>
    <t>Яблочное пюре, сироп киви, супер джус лайм,содовая</t>
  </si>
  <si>
    <t>Яблоко-киви</t>
  </si>
  <si>
    <t>Вишня-Персик</t>
  </si>
  <si>
    <t>Вишневое пюре, сироп персик, супер джус лайм,содовая</t>
  </si>
  <si>
    <t>Вишня-персик</t>
  </si>
  <si>
    <t>Клубника-Маракуйя</t>
  </si>
  <si>
    <t>Клубничное пюре, сироп маракуйя, супер джус лайм,содовая</t>
  </si>
  <si>
    <t>Клубника-маракуйя</t>
  </si>
  <si>
    <t>Мохито</t>
  </si>
  <si>
    <t>Суперджус лайм, мята, сахарный сироп, лайм содовая</t>
  </si>
  <si>
    <t xml:space="preserve">Молочные коктейли                                          </t>
  </si>
  <si>
    <t>Молочники</t>
  </si>
  <si>
    <t>Джуниор шейк</t>
  </si>
  <si>
    <t>Ваниль, шоколад,клубника, банан</t>
  </si>
  <si>
    <t>Ваниль, шоколад, клубника, банан</t>
  </si>
  <si>
    <t xml:space="preserve">Крейзи шейк </t>
  </si>
  <si>
    <t>Фреши</t>
  </si>
  <si>
    <t>Апельсиновый фреш</t>
  </si>
  <si>
    <t>Апельсиновый</t>
  </si>
  <si>
    <t>Морковный фреш</t>
  </si>
  <si>
    <t>Морковный</t>
  </si>
  <si>
    <t>Яблочный фреш</t>
  </si>
  <si>
    <t xml:space="preserve">Безалкогольные напитки         </t>
  </si>
  <si>
    <t xml:space="preserve">Evervess Кола </t>
  </si>
  <si>
    <t>В стекле 0,25</t>
  </si>
  <si>
    <t>На розлив 0,5</t>
  </si>
  <si>
    <t xml:space="preserve">Evervess Искрящийся лимон-лайм </t>
  </si>
  <si>
    <t xml:space="preserve">Тоник Evervess </t>
  </si>
  <si>
    <t xml:space="preserve">Сок в ассортименте </t>
  </si>
  <si>
    <t>J7 Яблоко, вишня, ананас, апельсин</t>
  </si>
  <si>
    <t>Сок</t>
  </si>
  <si>
    <t xml:space="preserve">Яблоко, вишня, ананас, апельсин
</t>
  </si>
  <si>
    <t xml:space="preserve">Самара </t>
  </si>
  <si>
    <t xml:space="preserve">Морс  ягодный </t>
  </si>
  <si>
    <t xml:space="preserve">Морс ягодный </t>
  </si>
  <si>
    <t xml:space="preserve">Лимонад черноголовка </t>
  </si>
  <si>
    <t>Кола, Классический, Дюшес</t>
  </si>
  <si>
    <t xml:space="preserve">Лимонад Черноголовка </t>
  </si>
  <si>
    <t>Кола, классический, дюшес</t>
  </si>
  <si>
    <t>Adrenaline Rush</t>
  </si>
  <si>
    <t>Адреналин Раш</t>
  </si>
  <si>
    <t>Энергетический напиток</t>
  </si>
  <si>
    <t>Adrenaline Rush Zero</t>
  </si>
  <si>
    <t>Адреналин Раш Зеро</t>
  </si>
  <si>
    <t>Энергетический напиток, без сахара</t>
  </si>
  <si>
    <t>Вода</t>
  </si>
  <si>
    <t>Легенда Байкала</t>
  </si>
  <si>
    <t>С газом/без газа</t>
  </si>
  <si>
    <t>С газом / без газа</t>
  </si>
  <si>
    <t xml:space="preserve">Аква Минерале </t>
  </si>
  <si>
    <t>Черноголовка</t>
  </si>
  <si>
    <t>Visit Tyumen</t>
  </si>
  <si>
    <t>Без газа</t>
  </si>
  <si>
    <t>Разливное пиво</t>
  </si>
  <si>
    <t>Из крана</t>
  </si>
  <si>
    <t xml:space="preserve">Brookyn Beer Живое </t>
  </si>
  <si>
    <t>Нефильтрованное 4.0%</t>
  </si>
  <si>
    <t xml:space="preserve">Бруклин Бир Живое </t>
  </si>
  <si>
    <t>Фильтрованное, 4.0%</t>
  </si>
  <si>
    <t xml:space="preserve">Brooklyn Beer Живое </t>
  </si>
  <si>
    <t>Нефильтрованное, 4.0%</t>
  </si>
  <si>
    <t xml:space="preserve">Brooklyn Beer Пшеничное </t>
  </si>
  <si>
    <t>Нефильтрованное 4.8%</t>
  </si>
  <si>
    <t xml:space="preserve">Бруклин Бир Пшеничное </t>
  </si>
  <si>
    <t>Нефильтрованное, 4.8%</t>
  </si>
  <si>
    <t xml:space="preserve">"Крушовице" светлое </t>
  </si>
  <si>
    <t>Фильтрованное 4.2%</t>
  </si>
  <si>
    <t>Крушовице</t>
  </si>
  <si>
    <t>Светлое. Фильтрованное, 4.2%</t>
  </si>
  <si>
    <t>Фильтрованное 4,2%</t>
  </si>
  <si>
    <t xml:space="preserve">"Гессер" светлое </t>
  </si>
  <si>
    <t>Фильтрованное 4.7%</t>
  </si>
  <si>
    <t>Гессер</t>
  </si>
  <si>
    <t>Светлое. Фильтрованное, 4.7%</t>
  </si>
  <si>
    <t>Сургут/Нижневартовск/</t>
  </si>
  <si>
    <t>Мейзон Арне Бир Бланш</t>
  </si>
  <si>
    <t>Нефильтрованное, 4,9%</t>
  </si>
  <si>
    <t>Светлое, нефильтрованное 4,9%</t>
  </si>
  <si>
    <t>Баден Бир Хелес</t>
  </si>
  <si>
    <t>Фильрованное, 4,3%</t>
  </si>
  <si>
    <t>Светлое, фльтрованное, 4,3%</t>
  </si>
  <si>
    <t>Блэк Шип Айриш Стаут</t>
  </si>
  <si>
    <t>Фильтрованное, темное 4%</t>
  </si>
  <si>
    <t>Темное, фильтрованное, 4%</t>
  </si>
  <si>
    <t>Кастил Пилснер</t>
  </si>
  <si>
    <t>Импорт, Босния и Герцеговина, светлое, фильтрованное 4,6%</t>
  </si>
  <si>
    <t>Светлое, фильтрованное, 4,6%</t>
  </si>
  <si>
    <t>Пан Беран</t>
  </si>
  <si>
    <t>Импорт, Сербия, светлое фильтрвоанное 4,7%</t>
  </si>
  <si>
    <t>Светлое, фильтрованное, 4,7%</t>
  </si>
  <si>
    <t>Жигулевское</t>
  </si>
  <si>
    <t>Фильтрованное, 4,6%</t>
  </si>
  <si>
    <t>Фильтрованное, 4.6%</t>
  </si>
  <si>
    <t>Бутылочное пиво</t>
  </si>
  <si>
    <t>Бутылочное</t>
  </si>
  <si>
    <t>Чепецкое</t>
  </si>
  <si>
    <t>Бутылочное, фильтрованное, 4,0%</t>
  </si>
  <si>
    <t xml:space="preserve">Гиннес баночное </t>
  </si>
  <si>
    <t>В банке с азотной капсулой, импорт Ирландия</t>
  </si>
  <si>
    <t>Гиннес</t>
  </si>
  <si>
    <t>Ирландия. В банке с азотной капсулой</t>
  </si>
  <si>
    <t xml:space="preserve">Бергауэр темное в стекле </t>
  </si>
  <si>
    <t>В стекле, 5%</t>
  </si>
  <si>
    <t>Бергауэр темное</t>
  </si>
  <si>
    <t>Бутылочное, 5%</t>
  </si>
  <si>
    <t>САЙДЕР ЧЕСТЕР’С</t>
  </si>
  <si>
    <t>5.0%</t>
  </si>
  <si>
    <t>Сайдер Честер’с</t>
  </si>
  <si>
    <t>Фруктовое в ассортименте, 5%</t>
  </si>
  <si>
    <t xml:space="preserve">Крушовице черне </t>
  </si>
  <si>
    <t>Крушовице темное</t>
  </si>
  <si>
    <t>Фильтрованное, 4.2%</t>
  </si>
  <si>
    <t xml:space="preserve">Крушовица б\а стекло </t>
  </si>
  <si>
    <t>Крушовице б\а</t>
  </si>
  <si>
    <t xml:space="preserve">Клаусталер б/а </t>
  </si>
  <si>
    <t>безалкогольное, импорт Германия</t>
  </si>
  <si>
    <t>Германия, бутылочное</t>
  </si>
  <si>
    <t>Сидр Василеостровкский 0,33</t>
  </si>
  <si>
    <t>Сидр Василеостровский 0,33</t>
  </si>
  <si>
    <t>Бутылочное, 5,0%. Вкусы: яблоко, груша, розе, брют</t>
  </si>
  <si>
    <t>Бакалар б/а</t>
  </si>
  <si>
    <t>Импорт, Чехия</t>
  </si>
  <si>
    <t>Безалкогольное</t>
  </si>
  <si>
    <t>Жираф</t>
  </si>
  <si>
    <t xml:space="preserve">Жираф Brooklyn Beer </t>
  </si>
  <si>
    <t>Бруклин Бир</t>
  </si>
  <si>
    <t>Жираф Brooklyn Beer Пшеничное</t>
  </si>
  <si>
    <t>Бруклин Бир пшеничное</t>
  </si>
  <si>
    <t xml:space="preserve">Жираф  Гессер  </t>
  </si>
  <si>
    <t xml:space="preserve">Гессер  </t>
  </si>
  <si>
    <t xml:space="preserve">Жираф Крушовице </t>
  </si>
  <si>
    <t xml:space="preserve">Крушовице </t>
  </si>
  <si>
    <t xml:space="preserve">Жираф жигулевское </t>
  </si>
  <si>
    <t xml:space="preserve">Жигулевское </t>
  </si>
  <si>
    <t>Жираф Майзон Арне Бир Бланш</t>
  </si>
  <si>
    <t>Жираф Баден Бир Хелес</t>
  </si>
  <si>
    <t>Жираф Кастил Пилснер</t>
  </si>
  <si>
    <t>Жираф Пан Беран</t>
  </si>
  <si>
    <t>Игристое вино</t>
  </si>
  <si>
    <t xml:space="preserve"> Sparklings wines </t>
  </si>
  <si>
    <t>Макитра Брют</t>
  </si>
  <si>
    <t>Россия, сухое</t>
  </si>
  <si>
    <t>Макитра Полусладкое</t>
  </si>
  <si>
    <t xml:space="preserve">Россия, полусладкое </t>
  </si>
  <si>
    <t>Мартини Асти</t>
  </si>
  <si>
    <t>Италия, сладкое</t>
  </si>
  <si>
    <t xml:space="preserve">Мартини Просекко </t>
  </si>
  <si>
    <t>Италия, сухое</t>
  </si>
  <si>
    <t>Поместье Голубицкое Тет Де Шеваль</t>
  </si>
  <si>
    <t>Белое Вино</t>
  </si>
  <si>
    <t>Адагум Рислинг</t>
  </si>
  <si>
    <t>Пино Гриджио Анима Аристов</t>
  </si>
  <si>
    <t>Пино Гриджио Анима</t>
  </si>
  <si>
    <t>Урбан Сан Савиньон Блан</t>
  </si>
  <si>
    <t>Поместье Голубицкое Рислинг</t>
  </si>
  <si>
    <t>Красное Вино</t>
  </si>
  <si>
    <t>Авторское Мерло</t>
  </si>
  <si>
    <t>Красное сухое, Россия</t>
  </si>
  <si>
    <t>Гуд Стейк Каберне</t>
  </si>
  <si>
    <t>Хай Руф Саперави</t>
  </si>
  <si>
    <t xml:space="preserve">Поместье Голубицкое Каберне </t>
  </si>
  <si>
    <t xml:space="preserve">Классичесские коктейли </t>
  </si>
  <si>
    <t>Классические</t>
  </si>
  <si>
    <t>Мартини Фиеро - Тоник</t>
  </si>
  <si>
    <t>Мартини Фиеро Тоник</t>
  </si>
  <si>
    <t>Мартини Бьянко - Тоник</t>
  </si>
  <si>
    <t>Мартини Бьянко Тоник</t>
  </si>
  <si>
    <t>Ром Девил Айлендс, мята, супер джус лайм, сахарный сироп</t>
  </si>
  <si>
    <t>Ром Девил Айлендс, мята, суперджус лайм, сахарный сироп</t>
  </si>
  <si>
    <t>Ботаникалс тоник</t>
  </si>
  <si>
    <t xml:space="preserve">Пина колада </t>
  </si>
  <si>
    <t>Ром Девил Айлендс, сок ананас, кокосовый сироп, сливки</t>
  </si>
  <si>
    <t>Ром Девил Айлендс, ананасовый сок, кокосовый сироп, сливки</t>
  </si>
  <si>
    <t xml:space="preserve">Лонг айленд айс ти </t>
  </si>
  <si>
    <t>Ром, текила, водка, джин, апельсиновый ликер, кола</t>
  </si>
  <si>
    <t>Лонг-айленд айс ти</t>
  </si>
  <si>
    <t>Текила санрайз</t>
  </si>
  <si>
    <t xml:space="preserve">Агавита Бланко, апельсиновы сок, сироп гренадин </t>
  </si>
  <si>
    <t xml:space="preserve">Агавита Бланко, апельсиновый сок, сироп гренадин </t>
  </si>
  <si>
    <t>Виски кола</t>
  </si>
  <si>
    <t>Виски-кола</t>
  </si>
  <si>
    <t>Ром-кола</t>
  </si>
  <si>
    <t>Ром Девил Айлендс, кола</t>
  </si>
  <si>
    <t xml:space="preserve">Авторские коктейли  </t>
  </si>
  <si>
    <t>Авторские</t>
  </si>
  <si>
    <t>Негрони Спритц</t>
  </si>
  <si>
    <t>Джин Брум Пинк, Мартини Россо, Апперитиво Сорбет</t>
  </si>
  <si>
    <t>Аньехо Панч</t>
  </si>
  <si>
    <t>Ром Барсело Аньехо, Ром Девил Айленд, ананасовое пюре, супер джус лайм, сироп маракуйя</t>
  </si>
  <si>
    <t>Ром Барсело Аньехо, Ром Девил Айленд, ананасовое пюре, суперджус лайм, сироп маракуйя</t>
  </si>
  <si>
    <t>Вишня сауэр</t>
  </si>
  <si>
    <t>Джин Брум Пинк, пюре вишня, супер джус лайм, сироп черная смородина, бабл дропс</t>
  </si>
  <si>
    <t>Джин Брум Пинк, пюре вишня, суперджус лайм, сироп черная смородина, бабл дропс</t>
  </si>
  <si>
    <t>Земляничный дайкири</t>
  </si>
  <si>
    <t>Ром барсело аньехо, клубничное пюре, супер джус лайм, сироп земляника</t>
  </si>
  <si>
    <t>Ром барсело аньехо, клубничное пюре, суперджус лайм, сироп земляника</t>
  </si>
  <si>
    <t>Блекбери Смэш</t>
  </si>
  <si>
    <t>Настойка на черной смородине, сок вишня, сироп черная смородина, сливки</t>
  </si>
  <si>
    <t>Настойка на черной смородине, вишневый сок, сироп черная смородина, сливки</t>
  </si>
  <si>
    <t>Черничный йогрут</t>
  </si>
  <si>
    <t>Ром Девил Айлендс, сироп черника, сок ананас, сливки</t>
  </si>
  <si>
    <t>Черничный йогурт</t>
  </si>
  <si>
    <t>Ром Девил Айлендс, сироп черника, ананасовый сок, сливки</t>
  </si>
  <si>
    <t>Белая ириска</t>
  </si>
  <si>
    <t>Настойка на ириске, кофейный ликер, сливки</t>
  </si>
  <si>
    <t>Яблоко сауэр</t>
  </si>
  <si>
    <t>Водка, яблочное пюре, сироп зеленое яблоко, супер джус лайм</t>
  </si>
  <si>
    <t>Водка, яблочное пюре, сироп зеленое яблоко, суперджус лайм</t>
  </si>
  <si>
    <t>Бруклинские настойки 9шт</t>
  </si>
  <si>
    <t>Бруклинские настойки</t>
  </si>
  <si>
    <t>Сургут/Нижневартовск/Самара</t>
  </si>
  <si>
    <t>Лимончелло</t>
  </si>
  <si>
    <t>1358 петрро</t>
  </si>
  <si>
    <t>Вишневая</t>
  </si>
  <si>
    <t>Клюквенная</t>
  </si>
  <si>
    <t>Смородиновая</t>
  </si>
  <si>
    <t>Брусничная</t>
  </si>
  <si>
    <t>Смородиновая на джине</t>
  </si>
  <si>
    <t>Облепиховая</t>
  </si>
  <si>
    <t>Ириска</t>
  </si>
  <si>
    <t>Черничная</t>
  </si>
  <si>
    <t>Сет настоек 9х50</t>
  </si>
  <si>
    <t>Шоты 2шт</t>
  </si>
  <si>
    <t>В-52</t>
  </si>
  <si>
    <t>Сливочный, кофейный и апельсиновый ликеры</t>
  </si>
  <si>
    <t>В-55</t>
  </si>
  <si>
    <t>Кофейный ликер, самбука, абсент</t>
  </si>
  <si>
    <t>На компанию</t>
  </si>
  <si>
    <t>Миксы на компанию</t>
  </si>
  <si>
    <t>Яблочный сет 6х50</t>
  </si>
  <si>
    <t>Джин Грин Бабун, пюре яблоко, яблочный сок, сироп зеленое яблоко, супер джус лайм</t>
  </si>
  <si>
    <t>Джин Грин Бабун, яблочное пюре, яблочный сок, сироп зеленое яблоко, суперджус лайм</t>
  </si>
  <si>
    <t>Ягодный сет 6х50</t>
  </si>
  <si>
    <t>Ром Девил Айлендс, пюре вишня. вишневый сок, сироп земляника, супер джус лайм</t>
  </si>
  <si>
    <t>Ром Девил Айлендс, вишневое пюре, вишневый сок, сироп земляника, суперджус лайм</t>
  </si>
  <si>
    <t>Тропический сет 6х50</t>
  </si>
  <si>
    <t>Водка, пюре ананас, ананасовый сок, сироп маракуйя, супер джус лайм</t>
  </si>
  <si>
    <t>Водка, ананасовое пюре, ананасовый сок, сироп маракуйя, суперджус лайм</t>
  </si>
  <si>
    <t>Амиго сет 6х50</t>
  </si>
  <si>
    <t>Текила, апельсиновый ликер, апельсиновый сок и пюре, сироп маракуйя, супер джус лайм</t>
  </si>
  <si>
    <t>Текила, апельсиновый ликер, апельсиновый сок и пюре, сироп маракуйя, суперджус лайм</t>
  </si>
  <si>
    <t>Бикини Ботом</t>
  </si>
  <si>
    <t>Водка Хаски, сироп блю курасао, Evervess лемон лайм, апельсин лимон</t>
  </si>
  <si>
    <t>Водка Хаски, сироп блю курасао, Evervess лимон-лайм, дольки апельсина и лимона</t>
  </si>
  <si>
    <t>Сангрия не белом вине</t>
  </si>
  <si>
    <t>Белое сухое вино, игристое брют, сироп персик, Evervess лемон лайм</t>
  </si>
  <si>
    <t>Сангрия на красном вине</t>
  </si>
  <si>
    <t>Красное сухое вино, игристое брют, сироп персик, Evervess лемон лайм</t>
  </si>
  <si>
    <t>Хантинг Кола Биг Сайз</t>
  </si>
  <si>
    <t>Ликер Белуга Хантинг, кола, апельсин</t>
  </si>
  <si>
    <t>Ликер Белуга Хантинг, кола, дольки апельсина</t>
  </si>
  <si>
    <t>Хаски Микс 6х50</t>
  </si>
  <si>
    <t>3 шота Хаски, 3 шота Хаски Berry Mix</t>
  </si>
  <si>
    <t>Водка  6шт</t>
  </si>
  <si>
    <t>Водка</t>
  </si>
  <si>
    <t>Хаски Original</t>
  </si>
  <si>
    <t>Хаски Berry Mix</t>
  </si>
  <si>
    <t>Белая березка</t>
  </si>
  <si>
    <t>Белуга Нобл</t>
  </si>
  <si>
    <t>Белуга голд лайн</t>
  </si>
  <si>
    <t xml:space="preserve">Ирландский виски </t>
  </si>
  <si>
    <t xml:space="preserve">Джемесон </t>
  </si>
  <si>
    <t>Таламор Дью</t>
  </si>
  <si>
    <t xml:space="preserve">Шотландский Виски  </t>
  </si>
  <si>
    <t>Шотландский Виски</t>
  </si>
  <si>
    <t>Вильям Лоусонс</t>
  </si>
  <si>
    <t xml:space="preserve">Дюарс Уайт Лэйбл  </t>
  </si>
  <si>
    <t>Дюарс 8 лет</t>
  </si>
  <si>
    <t>Баллантайнс Файнест</t>
  </si>
  <si>
    <t>Грандс Трипл Вуд</t>
  </si>
  <si>
    <t xml:space="preserve">Односолодовый виски  </t>
  </si>
  <si>
    <t xml:space="preserve">Односолодовый виски </t>
  </si>
  <si>
    <t>Гленфидик 12 лет</t>
  </si>
  <si>
    <t xml:space="preserve">Коньяк </t>
  </si>
  <si>
    <t>Коньяк</t>
  </si>
  <si>
    <t>Рулле VS</t>
  </si>
  <si>
    <t>Рулле VSОР</t>
  </si>
  <si>
    <t xml:space="preserve">Бренди </t>
  </si>
  <si>
    <t>Айвазовский 3 года</t>
  </si>
  <si>
    <t>Айвазовский 5 лет</t>
  </si>
  <si>
    <t>Торрес 5 лет</t>
  </si>
  <si>
    <t xml:space="preserve">Вермут </t>
  </si>
  <si>
    <t>Вермут</t>
  </si>
  <si>
    <t>Мартини Фиерро</t>
  </si>
  <si>
    <t xml:space="preserve">Мартини Бьянко   </t>
  </si>
  <si>
    <t>Мартини Россо</t>
  </si>
  <si>
    <t>Ром</t>
  </si>
  <si>
    <t>Девил Айленд</t>
  </si>
  <si>
    <t xml:space="preserve">Барсело Аньехо      </t>
  </si>
  <si>
    <t xml:space="preserve">Оакхарт Ориджинал       </t>
  </si>
  <si>
    <t>Джин</t>
  </si>
  <si>
    <t>Грин Бабун</t>
  </si>
  <si>
    <t>Босфорд Драй</t>
  </si>
  <si>
    <t>Брум Пинк</t>
  </si>
  <si>
    <t xml:space="preserve">Текила </t>
  </si>
  <si>
    <t>Текила</t>
  </si>
  <si>
    <t>Буэн Амиго Сильвер</t>
  </si>
  <si>
    <t>Агавита Голд</t>
  </si>
  <si>
    <t>Агавита Бланко</t>
  </si>
  <si>
    <t xml:space="preserve">Ликеры </t>
  </si>
  <si>
    <t>Ягермайстер (-18°С)</t>
  </si>
  <si>
    <t>Самбука</t>
  </si>
  <si>
    <t>Абсент</t>
  </si>
  <si>
    <t>Белуга Хантинг Хербал Биттер</t>
  </si>
  <si>
    <t>Хантинг Хербал Биттер</t>
  </si>
  <si>
    <t>Белуга Нобл Ботаникалс Груша</t>
  </si>
  <si>
    <t xml:space="preserve">Летнее предложение </t>
  </si>
  <si>
    <t>Летнее предложение</t>
  </si>
  <si>
    <t>Сангрита б/а</t>
  </si>
  <si>
    <t>Томатный сок, апельсиновый сок, супер джус лайм, специи</t>
  </si>
  <si>
    <t>Томат, апельсин, лайм, специи. Всё как у взрослых, но утро спокойнее</t>
  </si>
  <si>
    <t>200 мл</t>
  </si>
  <si>
    <t>Бруклинская Мэри</t>
  </si>
  <si>
    <t>Сангрита, текила, супер джус</t>
  </si>
  <si>
    <t>Бруклинская мери</t>
  </si>
  <si>
    <t>Сангрита, текила, лайм. Не просит соли, просто действует</t>
  </si>
  <si>
    <t>Ла Коста Сангрита</t>
  </si>
  <si>
    <t>Сангрита, пиво "Ла Коста Фреска"</t>
  </si>
  <si>
    <t>Сангрита Ла Коста</t>
  </si>
  <si>
    <t>Ла Коста Фреска + сангрита = любовь</t>
  </si>
  <si>
    <t>Айс Бамбл Кофе</t>
  </si>
  <si>
    <t>Эспрессо, апельсиновый сок, карамельный сироп, джус болл</t>
  </si>
  <si>
    <t>Айс Тоник Кофе</t>
  </si>
  <si>
    <t>Эспрессо, тоник, сироп маракуйя, джус болл</t>
  </si>
  <si>
    <t>Эспрессо Тоник</t>
  </si>
  <si>
    <t>Меню для подписчиков</t>
  </si>
  <si>
    <t>цена подписка</t>
  </si>
  <si>
    <t>Коктейли безалкогольные</t>
  </si>
  <si>
    <t>Лимонад Грейпфрутовый  0.4</t>
  </si>
  <si>
    <t>Лимонад грейпфрутовый  1л</t>
  </si>
  <si>
    <t>Мохито б/а</t>
  </si>
  <si>
    <t>Персик-маракуйя</t>
  </si>
  <si>
    <t>Лайм, сироп маракуйя, сироп персик, топпинг манго,семена чиа</t>
  </si>
  <si>
    <t>Кренбери фреш</t>
  </si>
  <si>
    <t xml:space="preserve">Пинк тоник </t>
  </si>
  <si>
    <t>Коктейли алкогольные</t>
  </si>
  <si>
    <t>Джин тоник</t>
  </si>
  <si>
    <t>Джин, тоник</t>
  </si>
  <si>
    <t>Джин тоник малиновый</t>
  </si>
  <si>
    <t>Джин, сок лимона, сироп малина, тоник</t>
  </si>
  <si>
    <t>Джин тоник маракуйя</t>
  </si>
  <si>
    <t>Джин, сок лимона, сироп маракуйя, тоник</t>
  </si>
  <si>
    <t>Виски, кола, лимон</t>
  </si>
  <si>
    <t>Ром, кола, лайм</t>
  </si>
  <si>
    <t>Секс на пляже</t>
  </si>
  <si>
    <t>Водка, персиковый сироп, ананасовый сок, морс</t>
  </si>
  <si>
    <t>Отвертка</t>
  </si>
  <si>
    <t>Водка, апельсиновый сок, гренадин</t>
  </si>
  <si>
    <t>Лайм, мята, ром, сахарный сироп</t>
  </si>
  <si>
    <t>Дынный сет</t>
  </si>
  <si>
    <t>Джин, сироп дыня, сок лимона, яблочный сок</t>
  </si>
  <si>
    <t>Тропический сет</t>
  </si>
  <si>
    <t>Водка, сироп маракуйя, сок лимона, сок ананасовый</t>
  </si>
  <si>
    <t>Летнее предложение 2024</t>
  </si>
  <si>
    <t>Коктейли б\а</t>
  </si>
  <si>
    <t>Настойки</t>
  </si>
  <si>
    <t>Апельсиновая</t>
  </si>
  <si>
    <t>Пина-Колада Айс Ти</t>
  </si>
  <si>
    <t>Манговый улун, пюре ананас, сироп кокос, супер джус лайм,  кокосовая стружка, джус болл</t>
  </si>
  <si>
    <t>Пина Колада Айс Ти</t>
  </si>
  <si>
    <t>Манговый улун, ананасовое пюре, сироп кокос, лайм, джус болл</t>
  </si>
  <si>
    <t>Ла Коста Фреска</t>
  </si>
  <si>
    <t>Светлое, фильтрованное, 4.1%</t>
  </si>
  <si>
    <r>
      <rPr>
        <rFont val="Proxima Nova"/>
        <b/>
        <color theme="1"/>
        <sz val="11.0"/>
      </rPr>
      <t>Комментарии для маркетинга</t>
    </r>
    <r>
      <rPr>
        <rFont val="Proxima Nova"/>
        <b/>
        <color theme="1"/>
        <sz val="9.0"/>
      </rPr>
      <t xml:space="preserve"> 
(как писать в меню, контрактные вещи и прочее)</t>
    </r>
  </si>
  <si>
    <r>
      <rPr>
        <rFont val="Proxima Nova"/>
        <b/>
        <color theme="1"/>
        <sz val="11.0"/>
      </rPr>
      <t xml:space="preserve">Коктейли безалкогольные 
</t>
    </r>
    <r>
      <rPr>
        <rFont val="Proxima Nova"/>
        <b val="0"/>
        <color theme="1"/>
        <sz val="11.0"/>
      </rPr>
      <t xml:space="preserve">Внизу на странице пропсиать что объем указан без учета льда. </t>
    </r>
    <r>
      <rPr>
        <rFont val="Proxima Nova"/>
        <b/>
        <color theme="1"/>
        <sz val="11.0"/>
      </rPr>
      <t>Объем всех б/а коктейлей через дробь 700/300</t>
    </r>
  </si>
  <si>
    <t>Супер джус лайм, мята, сахарный сироп, лайм содовая</t>
  </si>
  <si>
    <t xml:space="preserve">У сока прописать вкусы, J7 Яблоко, вишня, ананас, апельсин
</t>
  </si>
  <si>
    <t>бутылочное</t>
  </si>
  <si>
    <t>бутылочное вкусы: яблоко, груша, розе, брют</t>
  </si>
  <si>
    <t xml:space="preserve">Игристые вина </t>
  </si>
  <si>
    <t>Белое сухое, Россия</t>
  </si>
  <si>
    <t xml:space="preserve">Водка  </t>
  </si>
  <si>
    <t>Шотландский Виски  5шт</t>
  </si>
  <si>
    <t>Ром 3 шт</t>
  </si>
  <si>
    <t>Текила 2шт</t>
  </si>
  <si>
    <t>ЗАВТРАКИ</t>
  </si>
  <si>
    <t>Каша овсяная на молоке с киви и манго</t>
  </si>
  <si>
    <t>Яйцо пашот на булочке с беконом и голанским соусом</t>
  </si>
  <si>
    <t xml:space="preserve">Скремб с куриной сосиской </t>
  </si>
  <si>
    <t>Омлет с лососем и зеленью</t>
  </si>
  <si>
    <t>Круасан с топингом на выбор 
В описание: карамель, шоколад</t>
  </si>
  <si>
    <t>САЛАТЫ/ЗАКУСКИ</t>
  </si>
  <si>
    <t>Картофельный салат с реберным мясом</t>
  </si>
  <si>
    <t xml:space="preserve">Сет бутеров с салом </t>
  </si>
  <si>
    <t>Боул с креветкой</t>
  </si>
  <si>
    <t>Зеленый салат</t>
  </si>
  <si>
    <t>СУП</t>
  </si>
  <si>
    <t xml:space="preserve">Солянка рыбная </t>
  </si>
  <si>
    <t>из детского</t>
  </si>
  <si>
    <t xml:space="preserve">Борщ с реберным мясом </t>
  </si>
  <si>
    <t xml:space="preserve">Хачапури с треской сыром и руккалой </t>
  </si>
  <si>
    <t>Паста с куриным бедром и грибным соусом</t>
  </si>
  <si>
    <t>Филадельфия лайт</t>
  </si>
  <si>
    <t xml:space="preserve">Томленые свиные ребра с пюре </t>
  </si>
  <si>
    <t>Допы</t>
  </si>
  <si>
    <t>Яйцо куриное</t>
  </si>
  <si>
    <t>40 гр</t>
  </si>
  <si>
    <t>Соусы</t>
  </si>
  <si>
    <t>Помидоры</t>
  </si>
  <si>
    <t>Бекон</t>
  </si>
  <si>
    <t>Лепешка бруклинская</t>
  </si>
  <si>
    <t>Хлеб из печи</t>
  </si>
  <si>
    <t>НАПИТКИ</t>
  </si>
  <si>
    <t>Кофе 12гр</t>
  </si>
  <si>
    <t>Кофе 17гр</t>
  </si>
  <si>
    <t>Молоко 3,2% 200мл, кофе 12гр</t>
  </si>
  <si>
    <t>Молоко 3,2% 300мл, кофе 17гр</t>
  </si>
  <si>
    <t>Молоко 3,2% 100мл, сливки 10% 100мл, эспрессо 1, сироп 20мл</t>
  </si>
  <si>
    <t>Молоко 3,2% 150мл, сливки 10% 150мл, эспрессо 1, сироп 40мл</t>
  </si>
  <si>
    <r>
      <rPr>
        <rFont val="Proxima Nova"/>
        <color theme="1"/>
        <sz val="11.0"/>
      </rPr>
      <t>Молоко кокосовое 200мл, кофе 12г</t>
    </r>
    <r>
      <rPr>
        <rFont val="Proxima Nova"/>
        <color theme="1"/>
        <sz val="11.0"/>
      </rPr>
      <t>р</t>
    </r>
  </si>
  <si>
    <t>Молоко кокосовое 300мл, кофе 17гр</t>
  </si>
  <si>
    <t>Молоко кокосовое 200мл, кофе 12гр</t>
  </si>
  <si>
    <t>Чай</t>
  </si>
  <si>
    <t xml:space="preserve">Ассам черный </t>
  </si>
  <si>
    <t>6гр</t>
  </si>
  <si>
    <t xml:space="preserve">Сенча зеленый </t>
  </si>
  <si>
    <t>Безалкогольные коктейли</t>
  </si>
  <si>
    <t>Мохито 2.0</t>
  </si>
  <si>
    <t>Сургут/Югра</t>
  </si>
  <si>
    <t>ка</t>
  </si>
  <si>
    <t>Дата проверки Гобов Д.С: 15.05.25</t>
  </si>
  <si>
    <t>позиций в меню</t>
  </si>
  <si>
    <t>№</t>
  </si>
  <si>
    <t>СЮДА МОЖНО СМОТРЕТЬ ТОЛЬКО ШЕФУ И НИКТО БОЛЬШЕ</t>
  </si>
  <si>
    <t>Название для меню</t>
  </si>
  <si>
    <t>Описание для меню</t>
  </si>
  <si>
    <t>Цена в Меню</t>
  </si>
  <si>
    <t xml:space="preserve">Цена с выгодой </t>
  </si>
  <si>
    <t xml:space="preserve">с/с, р </t>
  </si>
  <si>
    <t xml:space="preserve">с/с, % </t>
  </si>
  <si>
    <t>2 пиццы на выбор + 0.7 л Лимонад на выбор</t>
  </si>
  <si>
    <t xml:space="preserve">ЮГРА/Сургут/Самара </t>
  </si>
  <si>
    <t>2 пиццы на выбор + 3 л Brooklyn Beer Пшеничное</t>
  </si>
  <si>
    <t>Сообразим на троих + 0,7 л Лимонад на выбор</t>
  </si>
  <si>
    <t>Сообразим на троих + 3 л Brooklyn Beer Пшеничное</t>
  </si>
  <si>
    <t>Микс из крыльев в трех соусах  + 0,7 Лимонад на выбор</t>
  </si>
  <si>
    <t>Микс из крыльев в  трех соусах  + 3 л Brooklyn Beer Пшеничное</t>
  </si>
  <si>
    <t>Дата проверки Ивасенко: 14.07.2024</t>
  </si>
  <si>
    <t>это цвет переделали блюда</t>
  </si>
  <si>
    <t>этот цвет новые блюда</t>
  </si>
  <si>
    <t>Деливери/Яндекс</t>
  </si>
  <si>
    <t>Себестоимость кухни (без комбо, сезонки и праздника)</t>
  </si>
  <si>
    <t xml:space="preserve">Сырная тарелка </t>
  </si>
  <si>
    <t>сыры дор блю,камамбер,пармезан</t>
  </si>
  <si>
    <t>100 гр.</t>
  </si>
  <si>
    <t>тарелка под вино с сыровялом</t>
  </si>
  <si>
    <t xml:space="preserve"> два вида сыровяленных деликатесов, маринованые оливки, томаты вяленые, крем из фетта, начос.</t>
  </si>
  <si>
    <t>Сообразим на ДВОИХ</t>
  </si>
  <si>
    <t xml:space="preserve">Картофель фри, луковые кольца, кукуруза брусочки, свинина байтсы, чипсы из пеперони, с соусом руй, тар тар и кетчуп </t>
  </si>
  <si>
    <t>на троих</t>
  </si>
  <si>
    <t>Картофель фри, луковые кольца, кукуруза брусочки, свинина байтсы, чипсы из пеперони, Чесночные гренки, сыр в панировке, наггетсы, картофельные дольки , с соусом руй, тар тар и кетчуп</t>
  </si>
  <si>
    <t>Пивная тарелка "Полкило"</t>
  </si>
  <si>
    <t>Чесночные гренки, сыр в панировке, наггетсы, картофельные дольки и сыр чечил</t>
  </si>
  <si>
    <t>Шашлык из курицы, крылья типпа баффало, шашлык из свинины, люля из говядины, охотничьи колбаски на гриле, картофельные дольки.</t>
  </si>
  <si>
    <t>шашлык из свинины и курицы, кебаб из курицы и говядины, картофель фри, зеленый салат, соусы: шашлычный, тартар</t>
  </si>
  <si>
    <t>О боги, в ней 60 сантиметров и четыре начинки: тайская, пеперони, барбекю и маргарита. Один с ней точно не справишься ;)</t>
  </si>
  <si>
    <t>Полстола любой пиццы</t>
  </si>
  <si>
    <t>любая начинка наших пицц</t>
  </si>
  <si>
    <t>Сет из 42 роллов: Филадельфия, ролл с креветкой темпура под сырной-запеченой шапкой, ролл с тартаром из ростбифа,ролл в шапке из тунца, темпура ролл со снежным крабом, чукой и сливочным манго, лава с лососем, сяке маки</t>
  </si>
  <si>
    <t>сет из 30 роллов:сяке маки, эбби макки, каппа макки ,лава с лососсем, калифорния с крабом.</t>
  </si>
  <si>
    <t xml:space="preserve">Темпура ролл со снежным крабом, чукой и сливочным манго </t>
  </si>
  <si>
    <t xml:space="preserve">Нори Рис заправленный Снежный краб Водоросли чукка Сыр сливочный Соус сливочный манго Темпура кляр
</t>
  </si>
  <si>
    <t>Рис заправленный Нори Сливочный сыр Семга филе Огурец свежий</t>
  </si>
  <si>
    <t xml:space="preserve">Рис заправленный Нори Семга филе Соус Лава  Сливочный сыр 
</t>
  </si>
  <si>
    <t xml:space="preserve">Рис заправленный Нори Креветка темпура Сыр сливочный Сыр пармезан соус том ям Соус сливочный манго Редис свежий Масага
</t>
  </si>
  <si>
    <t>Роллы в шапке из тунца</t>
  </si>
  <si>
    <t xml:space="preserve">Рис заправленный Нори.Сыр сливочный Кунжут смесь.Тунец филе.Соус руй
</t>
  </si>
  <si>
    <t>ролл без риса</t>
  </si>
  <si>
    <t>норри тунец ,лосось ,сыр сливочный ,креветка темпура,икра тобико .</t>
  </si>
  <si>
    <t>онигири</t>
  </si>
  <si>
    <t xml:space="preserve">Рис заправленный Нори  Сыр сливочный Семга филе Икра масаго Снежный краб Кунжут
</t>
  </si>
  <si>
    <t>ролл с тар таром из ростбифа</t>
  </si>
  <si>
    <t>Салат из хрустящих азиатских баклажан</t>
  </si>
  <si>
    <t xml:space="preserve">Баклажан без кожи,руккола,томат свежий,брынза,
Соус сладкий чили, соус терияки,Кунжут,
</t>
  </si>
  <si>
    <t xml:space="preserve">Салат айсберг Соус цезарь Яйцо перепелиное Томаты черри Курица горячего копчения.Сухари из багета. Сыр пармезан
</t>
  </si>
  <si>
    <t>удалили с лососем</t>
  </si>
  <si>
    <t>Салат айсберг Соус цезарь Яйцо перепелиное Томаты черри креветка жаренная.Сухари из багета. Сыр пармезан</t>
  </si>
  <si>
    <t>Теплый салат с говядиной</t>
  </si>
  <si>
    <t xml:space="preserve">Руккола Цукини Перец болгарский Лук красный Вырезка говядины маринованная Арахисовый майонез Соус Терияки Арахис обжареный Масло паприки
</t>
  </si>
  <si>
    <t>салат с карамельной грушей и свининой в терияки</t>
  </si>
  <si>
    <t>морская тарелка</t>
  </si>
  <si>
    <t>бутер с креветкой и лаймовым муссом</t>
  </si>
  <si>
    <t>Крылышки баффало</t>
  </si>
  <si>
    <t>крылья куриные,дайкон марринованый,соус дор блю</t>
  </si>
  <si>
    <t>креветки в тесте катаифи(5 ш)</t>
  </si>
  <si>
    <t>креветка,тесто катаифи,перец болгарский,салат айсберг,дайкон маринованный,лайм, соус блю чиз</t>
  </si>
  <si>
    <t>может больше выход сделаем чтобб в цене не выбивались??</t>
  </si>
  <si>
    <t>луковые кольца</t>
  </si>
  <si>
    <t>9 шт</t>
  </si>
  <si>
    <t xml:space="preserve">Тыква свежая Лук репчатый Морковь Паста карри Сливки Креветки тигровые Песто из базилика Сухарики ким чи.
</t>
  </si>
  <si>
    <t>Солянка "Гумбо"</t>
  </si>
  <si>
    <t xml:space="preserve">Колбаски охотничьи Ветчина Полукопченая свиная колбаса Огурец маринованный Маслины Оливки Томатная паста Лук репчатый Лимон Специи хмели-сунели Песто из зелени Хрустящие ржаные гренки
</t>
  </si>
  <si>
    <t xml:space="preserve">Тигровые креветки Семга филе Перец болгарский Сельдерей стеблевой Маринованный имбирь Кокосовое молоко Паста том ям Соевый соус. Рис Норри Смесь кунжута.
</t>
  </si>
  <si>
    <t xml:space="preserve"> Сырный суп с чипсами пеперони</t>
  </si>
  <si>
    <t xml:space="preserve">Сыр чеддер плавленый Сливки Картофель свежий Лук репчатый Чипсы из  пеперони Крошка чечил.
</t>
  </si>
  <si>
    <t>Азиатская лапша с говядиной в соусе терияки, присыпана арахисом и здравым смыслом</t>
  </si>
  <si>
    <t xml:space="preserve">Паста ручной работыЦукини свежий Перец болгарский свежий Лук красный свежий Вырезка говяжья маринованная Кукуруза початок  Томаты черри Соус кетчуп Соус терияки Арахис жареный Масло паприки 
</t>
  </si>
  <si>
    <t xml:space="preserve">Паста ручной работы Курица горячего копчения Брокколи Шпинат Паста чесночная Сливки Пармезан
</t>
  </si>
  <si>
    <t xml:space="preserve">Паста ручной работы Бекон в/к Желток куриный Сливки Перец ч/м Пармезан
</t>
  </si>
  <si>
    <t xml:space="preserve">Паста ручной работы Креветки тигровые  Соус Том ям Сливки Чесночная паста Пармезан Икра масаго
</t>
  </si>
  <si>
    <t>паста с говяжьими щечками в сливочном соусе</t>
  </si>
  <si>
    <t xml:space="preserve">паста ручной работы томленые говяжьи щеки соус демиглас крошка чечил Микрозелень огурец мар 
</t>
  </si>
  <si>
    <t xml:space="preserve">сливочная паста с лососем </t>
  </si>
  <si>
    <t>Паста с чернилами каракатици лосось сливки пармезан</t>
  </si>
  <si>
    <t>Поджаренный картофель с колбасками и луком фри</t>
  </si>
  <si>
    <t xml:space="preserve">Картофель беби Колбаски охотничьи Масло сливочное Лук фри Соус руй Масло паприки 
</t>
  </si>
  <si>
    <t>бифштекс из говядины с мясным соусом и жареным цукини</t>
  </si>
  <si>
    <t xml:space="preserve">Котлета говяжья соус Демиглас  соус дзадзыки Цукини  зелень  красный лук масло лимона 
</t>
  </si>
  <si>
    <t xml:space="preserve">Бедро куриное Картофель молодой соус дзадзыки масло лимона Микро зелень 
</t>
  </si>
  <si>
    <t>Говяжьи щечки</t>
  </si>
  <si>
    <t xml:space="preserve">Томленые Говяжьи щечки соус демигляс картофельное пюре  огурец маринованый масло паприки Микрозелень  Лук жареный 
</t>
  </si>
  <si>
    <t>Филе-миньон</t>
  </si>
  <si>
    <t>Вырезка говядины с пряными травами и секретным ингредиентом. Подается с медовым карри и салатом из томатов</t>
  </si>
  <si>
    <t>250гр</t>
  </si>
  <si>
    <t>Сочное куриное бедро, подается с тортильей и маринованным луком</t>
  </si>
  <si>
    <t>Мягкое свиное филе, подается с тортильей и маринованным луком</t>
  </si>
  <si>
    <t>Медальоны из свинины на гриле</t>
  </si>
  <si>
    <t>Свинина вырезка Шампиньоны свежие Сливки Специя кофейная Масло паприки.</t>
  </si>
  <si>
    <t>280 гр.</t>
  </si>
  <si>
    <t xml:space="preserve">Форель Картофель молодойЛимон печеный Сливочное масло Микрозелень Лимонное масло
</t>
  </si>
  <si>
    <t xml:space="preserve">Баклажаны свежие Цукини свежие Кукуруза в початках Томаты свежие Болгарский перец Песто из зелени Паста чесночная Соевый соус Микрозелень
</t>
  </si>
  <si>
    <t>Грибная паста с куриным филе.</t>
  </si>
  <si>
    <t>крылышки в медовой глазури с соусом ким чи</t>
  </si>
  <si>
    <t>стейк карри из цыпленка</t>
  </si>
  <si>
    <t>говяжьи щечки, утомленые в красном вине</t>
  </si>
  <si>
    <t>куриное филе в белом вине с цедрой лайма</t>
  </si>
  <si>
    <t>состав поменяли</t>
  </si>
  <si>
    <t>теперь с рваной свининой и грибами</t>
  </si>
  <si>
    <t xml:space="preserve"> чеддер, тысяча остравов с рваной свининой и грибным рагу</t>
  </si>
  <si>
    <t>тот что все просят в зад</t>
  </si>
  <si>
    <t>такой только в бруклине</t>
  </si>
  <si>
    <t>шесть сыра</t>
  </si>
  <si>
    <t xml:space="preserve"> Грибная с ветчиной</t>
  </si>
  <si>
    <t xml:space="preserve">сливочный соус сыр моцарелла ветчина грибы шампиньоны </t>
  </si>
  <si>
    <t>Как паста, только лучше: бекон, желток, пармезан, мотарелла и руккола под сливочным соусом</t>
  </si>
  <si>
    <t>пицца с рваным мясом</t>
  </si>
  <si>
    <t xml:space="preserve">соус томатный сыр моцарелла томленая свинина маринованные огурцы лук фри соус чеддер сос барбекью </t>
  </si>
  <si>
    <t>ранчо</t>
  </si>
  <si>
    <t>БРИлевая</t>
  </si>
  <si>
    <t xml:space="preserve">лучшие сырники </t>
  </si>
  <si>
    <t>Подается с тартаром из киви и клубники в кокосовом сиропе.
*По версии самого чизкейка</t>
  </si>
  <si>
    <t>медовый рулет с кремом из сгущенки и вишневым конфитюром</t>
  </si>
  <si>
    <t>Карамельно муссовое пирожное с  фундуком и жидким пралине</t>
  </si>
  <si>
    <t>итальянский тирамиссу</t>
  </si>
  <si>
    <t>тотиковый сэт</t>
  </si>
  <si>
    <t>фруктики</t>
  </si>
  <si>
    <t xml:space="preserve">бекон </t>
  </si>
  <si>
    <t xml:space="preserve">кетчуп </t>
  </si>
  <si>
    <t>соус айоли</t>
  </si>
  <si>
    <t>соус руй</t>
  </si>
  <si>
    <t xml:space="preserve">хлеб из печи </t>
  </si>
  <si>
    <t>лепешка "бруклинская"</t>
  </si>
  <si>
    <t xml:space="preserve">фокачо с песто </t>
  </si>
  <si>
    <t>лепешка с песто запеченая в печи.</t>
  </si>
  <si>
    <t xml:space="preserve">цены во всех городах одинаковые </t>
  </si>
  <si>
    <t>Супчик с макарошками и фрикадельками</t>
  </si>
  <si>
    <t>куриный супчик с фрикадельками</t>
  </si>
  <si>
    <t>Сендвич с ветчиной и сыром</t>
  </si>
  <si>
    <t xml:space="preserve">120 гр </t>
  </si>
  <si>
    <t>Здесь будут сырный соус и кетчуп</t>
  </si>
  <si>
    <t xml:space="preserve">хот дог, сосиской </t>
  </si>
  <si>
    <t>Хот дог</t>
  </si>
  <si>
    <t>мини чикен бургер с картофелем фри микро порция для микро людишек</t>
  </si>
  <si>
    <t>Мини чикен</t>
  </si>
  <si>
    <t xml:space="preserve">пельмени цветные </t>
  </si>
  <si>
    <t>Пельмешки</t>
  </si>
  <si>
    <t xml:space="preserve">тесто пельменное фарш куриный </t>
  </si>
  <si>
    <t>тут всякие комбо</t>
  </si>
  <si>
    <t>Макси комбо</t>
  </si>
  <si>
    <t>Чикен комбо</t>
  </si>
  <si>
    <t>Пеперони комбо</t>
  </si>
  <si>
    <t>Комбо Лайт</t>
  </si>
  <si>
    <t>Пиццы: Маргарита, Пепперони, Тайская. Картофельный и наггетсовый сет, 
5 соусов и морс 2 литра</t>
  </si>
  <si>
    <t>Комбо Стандарт</t>
  </si>
  <si>
    <t>Пиццы: Маргарита, Пепперони, Тайская, Барбекю. Картошка фри XL 2 порции, Картофель по деревенски XL 2 порции, Наггетсы XL 2 порции, Фруктовая нарезка,
5 соусов и морс 5 литров</t>
  </si>
  <si>
    <t>Комбо Классика</t>
  </si>
  <si>
    <t>Пиццы: Маргарита, Тайская, Барбекю, Пепперони 2 круга. Картошка фри XL 2 порции, Картофель по деревенски XL 2 порции, Наггетсы XL 2 порции, Фруктовая нарезка 2 порции, 5 соусов и морс 9 литров</t>
  </si>
  <si>
    <t>Комбо Взрослое</t>
  </si>
  <si>
    <t>Пиццы: Баварская, Тайская. Мясная сборная, Сырная тарелка, Мясной пир, Пивная тарелка «Полкило», Фруктовая нарезка, морс 1 литр и лимонад вишневый 1 литр</t>
  </si>
  <si>
    <t>сезон</t>
  </si>
  <si>
    <t>канапе с копчеными колбасками,бородинским хлебом и маринованым огурцом</t>
  </si>
  <si>
    <t>этот цвет это новые блюда</t>
  </si>
  <si>
    <t>Приписки в макет меню</t>
  </si>
  <si>
    <t>старая Цена в меню</t>
  </si>
  <si>
    <t xml:space="preserve">Цена старая </t>
  </si>
  <si>
    <t>НА КОМПАНИЮ</t>
  </si>
  <si>
    <t>тарелка под вино с сыровялом. в ней будет два вида сыровяленой продукции(местного производителя), маринованые оливки, томаты вяленые, крем из фетта, чипсы пеперони, начос.</t>
  </si>
  <si>
    <t>Сыровяленые деликатесы, маринованные оливки, вяленые томаты, фета, и начос закусить все это</t>
  </si>
  <si>
    <t>Тарелка под винишко</t>
  </si>
  <si>
    <t>Сыровяленые деликатесы, маринованные оливки, вяленые томаты, фета</t>
  </si>
  <si>
    <t>поменяли внутрений состав</t>
  </si>
  <si>
    <t>Дор блю, камамбер, пармезан</t>
  </si>
  <si>
    <t xml:space="preserve">уменьшили выход, поменять название, поменяли состав(вместо крыльев теперь свинина байтсы , удешевили. </t>
  </si>
  <si>
    <t xml:space="preserve">Картофель фри, луковые кольца, брусочки кукуруза, байтсы из свинины, чипсы из пепперони. Подается с соусом руй, тар тар и кетчуп </t>
  </si>
  <si>
    <t>Дуо сет</t>
  </si>
  <si>
    <t>Картофель фри, луковые кольца, брусочки кукурузы, байтсы из свинины, чипсы из пепперони. Подается с соусом руй, тар тар и кетчуп</t>
  </si>
  <si>
    <t>новая тарелка(подойдет на троизх) обьеденяющая в себе полкило и сообразим на троих.</t>
  </si>
  <si>
    <t>Чесночные гренки, сыр в панировке, наггетсы, картофельные дольки, картофель фри, луковые кольца, брусочки кукурузы, байтсы из свинины, чипсы из пепперони. Подается с соусом руй, тар тар и кетчуп</t>
  </si>
  <si>
    <t>переделали состав, добавили еще роллов</t>
  </si>
  <si>
    <t>Сет из 30 роллов: сяке маки, эбби макки, каппа макки, лава с лососсем, калифорния с крабом</t>
  </si>
  <si>
    <t>Сет из 30 роллов: сяке маки, эби маки, каппа маки, лава с лососем, калифорния с крабом</t>
  </si>
  <si>
    <t>Сет из 42 роллов: Филадельфия, ролл с креветкой темпура под сырной запеченой шапкой, ролл с тартаром из ростбифа, ролл в шапке из тунца, темпура ролл со снежным крабом, чукой и сливочным манго, лава с лососем, сяке маки</t>
  </si>
  <si>
    <t>О боги, в ней 60 сантиметров и четыре начинки: тайская, пепперони, барбекю и маргарита. Один с ней точно не справишься ;)</t>
  </si>
  <si>
    <t>набор мяса с гриля( шашлык из свинины ,шашлык из курицы, кеббаб из курицы, кеббаб из говядины, картофель фри, зеленый салат,  шашлычный соус ,соус тат тар.</t>
  </si>
  <si>
    <t>Шашлык из свинины и курицы, кебаб из курицы и говядины, картофель фри, зеленый салат, соусы: шашлычный, тартар</t>
  </si>
  <si>
    <t>Шашлык из курицы, шашлык из свинины, кебаб из курицы, кебаб из говядины, картофель фри, зеленый салат, соусы: шашлычный, тартар</t>
  </si>
  <si>
    <t>удалили овощи</t>
  </si>
  <si>
    <t>Шашлык из курицы, шашлык из свинины, крылышки Баффало, люля из говядины, охотничьи колбаски на гриле, картофельные дольки</t>
  </si>
  <si>
    <t>любая пол стола. поставить одну цену  и любую пол стола можно сделать</t>
  </si>
  <si>
    <t>любая пицца, какая душе угодно</t>
  </si>
  <si>
    <t>рол без риса.  норри тунец ,лосось ,сыр сливочный ,икра тобико ,салат листовой.</t>
  </si>
  <si>
    <t>Ролл без риса</t>
  </si>
  <si>
    <t>ТОП</t>
  </si>
  <si>
    <t>Тунец, лосось, креветка темпура, нори, сливочный сыр, икра тобико</t>
  </si>
  <si>
    <t xml:space="preserve">Рис, нори, снежный краб, чукка, сыр сливочный, соус сливочный манго
</t>
  </si>
  <si>
    <t>Калифорния с нежным крабом</t>
  </si>
  <si>
    <t>добавить слово томя ям в названии . мы переделаем запеченую шапку и теперь она будет со вкусом том ям</t>
  </si>
  <si>
    <t xml:space="preserve">Рис, нори, семга филе, соус Лава, сливочный сыр 
</t>
  </si>
  <si>
    <t>Рис, нори, ливочный сыр, семга, свежий огурец</t>
  </si>
  <si>
    <t>С начинкой из творожного сыра и рубленного тунца с пикантным соусом руй</t>
  </si>
  <si>
    <t>ПАРА ОНИГИРИ ИЗ ЛЕТНЕГО МЕНЮ</t>
  </si>
  <si>
    <t>Парочка онигири</t>
  </si>
  <si>
    <t>Лосось и снежный краб</t>
  </si>
  <si>
    <t>глазированые баклажаны, изменили вес</t>
  </si>
  <si>
    <t xml:space="preserve">Салат с баклажанами по-азиатски </t>
  </si>
  <si>
    <t>с томатами и брынзой в соусе терияки</t>
  </si>
  <si>
    <t>уменьшили выход</t>
  </si>
  <si>
    <t>Цезарь</t>
  </si>
  <si>
    <t>с курицей</t>
  </si>
  <si>
    <t>с креветкой</t>
  </si>
  <si>
    <t>Тонкие ломтики телятины с картофелем и хрустящими маринованными огурцами, томатами, заправленные медово-горчичным соусом и бородинской крошкой</t>
  </si>
  <si>
    <t>Нежная говядина в объятиях овощей на гриле с арахисовым соусом</t>
  </si>
  <si>
    <t>уменьштили выход</t>
  </si>
  <si>
    <t>Креветки катаифи</t>
  </si>
  <si>
    <t>с соусом блю чиз</t>
  </si>
  <si>
    <t>крылья куриные,дайкон марринованый,соус блю чиз</t>
  </si>
  <si>
    <t>Крылышки Баффало</t>
  </si>
  <si>
    <t>(стрелка к слову баффало) прим. томатный кисло-сладкий соус</t>
  </si>
  <si>
    <t xml:space="preserve">Картошка фри </t>
  </si>
  <si>
    <t>с гренками из бородинского хлеба, долькой лимона и частичкой любви</t>
  </si>
  <si>
    <t>ХОТ</t>
  </si>
  <si>
    <t>На кокосовом молоке с креветками и лососем, овощами и пастой том-ям. Подается с рисом</t>
  </si>
  <si>
    <t>Сырный суп с чипсами пепперони</t>
  </si>
  <si>
    <t>Много сыра чеддер и крошка чечила. Для любителей всего сырного :)</t>
  </si>
  <si>
    <t>пересмотрели состав. удалили кукурузу</t>
  </si>
  <si>
    <t>Азиатская лапша с говядиной в соусе терияки с арахисом</t>
  </si>
  <si>
    <t>Паста с говяжьими щечками в сливочном соусе</t>
  </si>
  <si>
    <t>уменеьшили выход</t>
  </si>
  <si>
    <t xml:space="preserve">Блэк паста с лососем </t>
  </si>
  <si>
    <t>Отжаренный картофель с колбасками и луком фри</t>
  </si>
  <si>
    <t>Бифштекс из говядины</t>
  </si>
  <si>
    <t>СОЧНО</t>
  </si>
  <si>
    <t>Аккуратно прилег на жареные цукини</t>
  </si>
  <si>
    <t>переделали: томленые в сметане с картофельным пюре и соленым огурцом</t>
  </si>
  <si>
    <t>Утомились на картофельном пюре</t>
  </si>
  <si>
    <t>Стейк из форели с бэби картофелем</t>
  </si>
  <si>
    <t>бедро цыпленка с цукини и соусом баффало</t>
  </si>
  <si>
    <t>Цыпленок гриль</t>
  </si>
  <si>
    <t xml:space="preserve"> с молодым картофелем, сливочным соусом дзадзыки</t>
  </si>
  <si>
    <t>Сочное куриной бедро, подается с тортильей и маринованным луком</t>
  </si>
  <si>
    <t>Мягкое свиное, подается с тортильей и маринованным луком</t>
  </si>
  <si>
    <t>со сливочно-грибным рагу</t>
  </si>
  <si>
    <t>Рваная томленая свинина, чеддер, соус тысяча островов и грибное рагу</t>
  </si>
  <si>
    <t>бургер на манер цезаря</t>
  </si>
  <si>
    <t>Креветки, томаты, салат айберг, пармезан, соус цезарь</t>
  </si>
  <si>
    <t>четыре сыра</t>
  </si>
  <si>
    <t>в одном круге: моцарелла, пармезан, дор блю, камамбер, чеддер, сливочный</t>
  </si>
  <si>
    <t>Грибная с ветчиной</t>
  </si>
  <si>
    <t>в сливочном соусе</t>
  </si>
  <si>
    <t>Баварская</t>
  </si>
  <si>
    <t>Копченые колбаски, бекон, маринованные огурцы и перец халапеньо</t>
  </si>
  <si>
    <t>рваная свинина</t>
  </si>
  <si>
    <t>Мясо томили 8 часов, чтобы съесть за 10 минут</t>
  </si>
  <si>
    <t>Рваная томленая свинина, томатный соус, моцарелла, маринованные огурцы, лук фри соус чеддер и BBQ</t>
  </si>
  <si>
    <t>уменьшили порцию</t>
  </si>
  <si>
    <t>медовый рулет с кремом из сгущенки</t>
  </si>
  <si>
    <t>Наши пчелы дают самый сладкий мед</t>
  </si>
  <si>
    <t xml:space="preserve">Лучшие сырники </t>
  </si>
  <si>
    <t>180гр</t>
  </si>
  <si>
    <t>Супчик с лапшой и фрикадельками</t>
  </si>
  <si>
    <t>Цветные и с индейкой</t>
  </si>
  <si>
    <t xml:space="preserve">??? убираем </t>
  </si>
  <si>
    <t>Сэндвич с ветчиной и сыром</t>
  </si>
  <si>
    <t>Съешь и всех победишь :)</t>
  </si>
  <si>
    <t xml:space="preserve">С картошкой фри и кетчупом для самых голодных </t>
  </si>
  <si>
    <t>Чикенбургер</t>
  </si>
  <si>
    <t>Вкуснее, чем у взрослых. И с картошкой фри и кетчупом</t>
  </si>
  <si>
    <t>рол без риса.  норри тунец ,лосось ,сыр сливочный ,икра тобико ,салат айсберг.</t>
  </si>
  <si>
    <t>уменьшили выход и подачу</t>
  </si>
  <si>
    <t>удалили кукурузу</t>
  </si>
  <si>
    <t>луковые кольца 6 шт.</t>
  </si>
  <si>
    <t xml:space="preserve">луковые кольца </t>
  </si>
  <si>
    <t>переделали блюдо. теперь они на манер баффало.</t>
  </si>
  <si>
    <t>Чикен руй</t>
  </si>
  <si>
    <t xml:space="preserve">Баклажаны по-азиатски 
</t>
  </si>
  <si>
    <t xml:space="preserve">Сливочная паста с лососем </t>
  </si>
  <si>
    <t>Чикен</t>
  </si>
  <si>
    <t>ХОТ - Горилаз</t>
  </si>
  <si>
    <t>Гренки с соусом айоли</t>
  </si>
  <si>
    <t>160/30</t>
  </si>
  <si>
    <t>Сыр жареный с брусничным соусом</t>
  </si>
  <si>
    <t>180/30</t>
  </si>
  <si>
    <t>Картофель фри с кетчупом</t>
  </si>
  <si>
    <t>200/30</t>
  </si>
  <si>
    <t>Картофель деревенский с сырным соусом</t>
  </si>
  <si>
    <t>Наггетсы с соусом сладкий чили</t>
  </si>
  <si>
    <t>170/30</t>
  </si>
  <si>
    <t>Луковые кольца с соусом Тар-тар</t>
  </si>
  <si>
    <t>120/30</t>
  </si>
  <si>
    <t xml:space="preserve">Филадельфия </t>
  </si>
  <si>
    <t>Калифорния снежным крабом</t>
  </si>
  <si>
    <t>165гр</t>
  </si>
  <si>
    <t xml:space="preserve">200 гр </t>
  </si>
  <si>
    <t>Тонкие ломтики ростбифа с запеченным картофелем и хрустящими маринованными огурцами, томатами, заправленные медово-горчичным соусом и бородинской крошкой</t>
  </si>
  <si>
    <t>210 гр</t>
  </si>
  <si>
    <t>220гр</t>
  </si>
  <si>
    <t>Паста карбонара по-бруклински</t>
  </si>
  <si>
    <t>Грибная паста с куриным филе и волшебной крошкой фундука</t>
  </si>
  <si>
    <t>280 гр</t>
  </si>
  <si>
    <t>Бургер Неряха с грибами</t>
  </si>
  <si>
    <t>Бургер Ред хот 2.0</t>
  </si>
  <si>
    <t>Мягкая картофельная булочка, сочная котлета из говядины, томаты, куриное яйцо, бекон, лук фри и соус BBQ</t>
  </si>
  <si>
    <t>300/30</t>
  </si>
  <si>
    <t>Сочное куриное бедро, маринованное в специях хмели-сунели. Подается с тортильей</t>
  </si>
  <si>
    <t xml:space="preserve">Мягкое свиное филе, маринованное в специях хмели-сунели. Подается с тортильей </t>
  </si>
  <si>
    <t>С копчеными колбасками, маринованными огурчиками и перцем халапеньо</t>
  </si>
  <si>
    <t xml:space="preserve">510 гр </t>
  </si>
  <si>
    <t>Самая сырная из всех и с томатным соусом</t>
  </si>
  <si>
    <t xml:space="preserve">430 гр </t>
  </si>
  <si>
    <t xml:space="preserve">490 гр </t>
  </si>
  <si>
    <t>С курицей терияки, перцем, красным луком и моцареллой с томатным соусом. Присыпана кунжутом и глубоким смыслом</t>
  </si>
  <si>
    <t xml:space="preserve">560 гр </t>
  </si>
  <si>
    <t>Муссовое пирожное с  фундуком и карамелью</t>
  </si>
  <si>
    <t>Мороженое</t>
  </si>
  <si>
    <t>Описание для шеф-бармена</t>
  </si>
  <si>
    <t>Чаи расыпные</t>
  </si>
  <si>
    <t>Ассам черный</t>
  </si>
  <si>
    <t>чай</t>
  </si>
  <si>
    <t>Эрл Грей черный</t>
  </si>
  <si>
    <t>Сенча</t>
  </si>
  <si>
    <t xml:space="preserve">Тропический </t>
  </si>
  <si>
    <t>Манговый улун с апельсином и грейпфрутом</t>
  </si>
  <si>
    <t>Грейпфрут 20гр,апельсин 20гр,  сироп маракуйя 40, манговый улун 6гр</t>
  </si>
  <si>
    <t>Клюквенный с земляникой 600мл</t>
  </si>
  <si>
    <t>Бармены сами собирали ягоды в лесу, кстати</t>
  </si>
  <si>
    <t>Клюквенный чай с земляникой</t>
  </si>
  <si>
    <t>кофе</t>
  </si>
  <si>
    <t>Грейфпрут 100, сироп грейпфрут 50, сироп сахарный 50</t>
  </si>
  <si>
    <t>Лимонад земляника маракуйя  1л</t>
  </si>
  <si>
    <t>Лайм 30гр ,мята 5гр , сахарный сироп 40</t>
  </si>
  <si>
    <t>Ягодный морс 0.2</t>
  </si>
  <si>
    <t>Ягодный морс 1л</t>
  </si>
  <si>
    <t>Сок в ассортименте 0.2</t>
  </si>
  <si>
    <t>Сок в ассортименте 1л</t>
  </si>
  <si>
    <t>Evervess Кола стекло 0.25</t>
  </si>
  <si>
    <t>Evervess Кола на розлив 0.5</t>
  </si>
  <si>
    <t>Evervess Искрящийся лимон-лайм стекло 0.25</t>
  </si>
  <si>
    <t>Evervess Искрящийся лимон-лайм на розлив 0.5</t>
  </si>
  <si>
    <t>Тоник Evervess стекло 0,25</t>
  </si>
  <si>
    <t>Лимонад черноголовка 0.5 стекло</t>
  </si>
  <si>
    <t>В стекле: Тархун, Дюшес, Кола, Классичесий</t>
  </si>
  <si>
    <t xml:space="preserve">Легенда Байкала 0.33 </t>
  </si>
  <si>
    <t>в стекле, с газом\без газа</t>
  </si>
  <si>
    <t>в стекле, с газом\без газа (в конце буква А, а не Ы)</t>
  </si>
  <si>
    <t>с газом\без газа</t>
  </si>
  <si>
    <t xml:space="preserve">Черноголовка </t>
  </si>
  <si>
    <t>E-on energy drink</t>
  </si>
  <si>
    <t>E-ON оригинал</t>
  </si>
  <si>
    <t>E-ON Киви ананас</t>
  </si>
  <si>
    <t>E-ON Грейпфрут малина</t>
  </si>
  <si>
    <t>E-ON Лемонграсс</t>
  </si>
  <si>
    <t>Beer on tap</t>
  </si>
  <si>
    <t>Brooklyn Beer Пшеничное 500мл</t>
  </si>
  <si>
    <t>"Гессер" светлое 500мл</t>
  </si>
  <si>
    <t>Гиннес баночное 0.45</t>
  </si>
  <si>
    <t>Крушовице темное 0.5 стекло</t>
  </si>
  <si>
    <t>Сайдр Честер'с</t>
  </si>
  <si>
    <t>бутылочное вкусы: вишня, яблоко, груша, лесные ягоды</t>
  </si>
  <si>
    <t>Крушовица б\а стекло 0.33</t>
  </si>
  <si>
    <t>Стекло</t>
  </si>
  <si>
    <t>Бакалар б\а  в стекле 0.33</t>
  </si>
  <si>
    <t>Чехия</t>
  </si>
  <si>
    <t>Красное вино 4шт</t>
  </si>
  <si>
    <t>Рентоцци Бардолино</t>
  </si>
  <si>
    <t>Бардолино</t>
  </si>
  <si>
    <t>Алазанская долина</t>
  </si>
  <si>
    <t>Грузия, полусладкое</t>
  </si>
  <si>
    <t xml:space="preserve">Октава Сира </t>
  </si>
  <si>
    <t>Испания, полусухое</t>
  </si>
  <si>
    <t>Сира</t>
  </si>
  <si>
    <t xml:space="preserve">Курикано Карминер </t>
  </si>
  <si>
    <t>Чили, сухое</t>
  </si>
  <si>
    <t>Карминер</t>
  </si>
  <si>
    <t>Белое вино 4шт</t>
  </si>
  <si>
    <t xml:space="preserve">Сан Виджилио Пино Гриджио </t>
  </si>
  <si>
    <t>Пино гриджио</t>
  </si>
  <si>
    <t xml:space="preserve">Грузия, полусладкое </t>
  </si>
  <si>
    <t>Октава Вердехо</t>
  </si>
  <si>
    <t>Вердехо</t>
  </si>
  <si>
    <t xml:space="preserve">Курикано Совиньон Блан </t>
  </si>
  <si>
    <t>Совиньон Блан</t>
  </si>
  <si>
    <t>Плодовое вино  2шт</t>
  </si>
  <si>
    <t>Ежевичное</t>
  </si>
  <si>
    <t>Армения, полусладкое</t>
  </si>
  <si>
    <t>Гранатовое</t>
  </si>
  <si>
    <t>Игристые вина 4шт</t>
  </si>
  <si>
    <t xml:space="preserve">Шато Тамань Эритаж </t>
  </si>
  <si>
    <t>Шато Тамань Эритаж Брют</t>
  </si>
  <si>
    <t xml:space="preserve">Коктейли алкогольные </t>
  </si>
  <si>
    <t>прописать спец цена выделить в рамку</t>
  </si>
  <si>
    <t>Мартини фиеро, тоник, апельсин</t>
  </si>
  <si>
    <t>Мартини бьянко, тоник, лимон</t>
  </si>
  <si>
    <t>Ром 50, лайм, мята, сахарный сироп 40</t>
  </si>
  <si>
    <t>Мохито прописать вкусы внизу через \</t>
  </si>
  <si>
    <t>Ром кола</t>
  </si>
  <si>
    <t>Виски,кола, лимон</t>
  </si>
  <si>
    <t>Ром, текила, водка, джин, трипл сек, сок лимона, кола</t>
  </si>
  <si>
    <t>Ром 20 мл, апельсиновый ликер 20 мл, водка 20 мл, Tекила 20, джин 20 мл, лимон 10 г, Пепси-кола 150 мл, пельсин 16гр</t>
  </si>
  <si>
    <t>Текила, трипл сек, сироп гренадин</t>
  </si>
  <si>
    <t>Текила 50, апельсиновый сок 150, гренадин 20</t>
  </si>
  <si>
    <t>Джин 50, сироп маракуйя 20, сок лимона 10, тоник 150</t>
  </si>
  <si>
    <t>Vodka Russian</t>
  </si>
  <si>
    <t>Русский Стандарт Платинум</t>
  </si>
  <si>
    <t>Русский Стандарт Ориджинал</t>
  </si>
  <si>
    <t>Гастроном купаж №4 для рыбы</t>
  </si>
  <si>
    <t>Гастроном купаж №7 для мяса</t>
  </si>
  <si>
    <t>Американский виски 2шт</t>
  </si>
  <si>
    <t>Джим Бим</t>
  </si>
  <si>
    <t>Ирландский виски 4шт</t>
  </si>
  <si>
    <t xml:space="preserve"> Irish whiskey</t>
  </si>
  <si>
    <t>Бушмилз</t>
  </si>
  <si>
    <t>Шотландский Виски  7шт</t>
  </si>
  <si>
    <t>Scotch Whiskey</t>
  </si>
  <si>
    <t>Односолодовый виски  2шт</t>
  </si>
  <si>
    <t xml:space="preserve">Single malt whiskey </t>
  </si>
  <si>
    <t>Синглтон 12 лет</t>
  </si>
  <si>
    <t>Глен Морей Элгин Классик</t>
  </si>
  <si>
    <t>Бренди 4шт</t>
  </si>
  <si>
    <t>Armenian cognac</t>
  </si>
  <si>
    <t>Ной Традиционный 3 года</t>
  </si>
  <si>
    <t>Ной Традиционный 5 лет</t>
  </si>
  <si>
    <t>Ром 6шт</t>
  </si>
  <si>
    <t>Барсело Бланко</t>
  </si>
  <si>
    <t>Tequila</t>
  </si>
  <si>
    <t>Ранчо Аллегре Сильвер</t>
  </si>
  <si>
    <t>100% агава</t>
  </si>
  <si>
    <t>Дата проверки Коряков</t>
  </si>
  <si>
    <t xml:space="preserve">Всего позиций </t>
  </si>
  <si>
    <t>НАЗВАНИЕ</t>
  </si>
  <si>
    <t>коммент</t>
  </si>
  <si>
    <t>Цена расчетная (новая)</t>
  </si>
  <si>
    <t>Цена за 1,5 кг</t>
  </si>
  <si>
    <t>Цена за 2,0 кг</t>
  </si>
  <si>
    <t>Цена за 2,5 кг</t>
  </si>
  <si>
    <t>Цена за 3 кг</t>
  </si>
  <si>
    <t>Летник Остров</t>
  </si>
  <si>
    <t>Аниме</t>
  </si>
  <si>
    <t>Мин вес 1,5 кг</t>
  </si>
  <si>
    <t>не делаем</t>
  </si>
  <si>
    <t>Бархатный</t>
  </si>
  <si>
    <t>Белоснежный</t>
  </si>
  <si>
    <t>БлэкПинк</t>
  </si>
  <si>
    <t>Бравл Старс</t>
  </si>
  <si>
    <t>Влад А4</t>
  </si>
  <si>
    <t>Волейбол</t>
  </si>
  <si>
    <t>Геншин с безе</t>
  </si>
  <si>
    <t>Геншин с леденцами</t>
  </si>
  <si>
    <t>Единорог</t>
  </si>
  <si>
    <t>Индиго</t>
  </si>
  <si>
    <t>Куроми отдыхает</t>
  </si>
  <si>
    <t>Ламбет</t>
  </si>
  <si>
    <t>Майнкрафт в квадрате</t>
  </si>
  <si>
    <t>Майнкрафт с героями</t>
  </si>
  <si>
    <t>Малина-миндаль</t>
  </si>
  <si>
    <t>Медовик</t>
  </si>
  <si>
    <t>Оскорбительный</t>
  </si>
  <si>
    <t>Попкорн</t>
  </si>
  <si>
    <t>Ринг</t>
  </si>
  <si>
    <t>Роблокс</t>
  </si>
  <si>
    <t>Роналдо</t>
  </si>
  <si>
    <t>Сделано с любовью</t>
  </si>
  <si>
    <t>Сладости</t>
  </si>
  <si>
    <t>Стэндофф</t>
  </si>
  <si>
    <t>Тик-ток</t>
  </si>
  <si>
    <t>Тортбери</t>
  </si>
  <si>
    <t>Футбол</t>
  </si>
  <si>
    <t>Харлей</t>
  </si>
  <si>
    <t>Хэллоу Куроми</t>
  </si>
  <si>
    <t>Шокохит</t>
  </si>
  <si>
    <t>Эстет</t>
  </si>
  <si>
    <t>Юниверс</t>
  </si>
  <si>
    <t>Юный космонавт</t>
  </si>
  <si>
    <t>Ягодный микс</t>
  </si>
  <si>
    <t>Медовичок</t>
  </si>
  <si>
    <t>Торт-открытка (все 30 дизайнов)</t>
  </si>
  <si>
    <t>Бенто торт (все дизайны)</t>
  </si>
  <si>
    <t>Торт индивидуальный (тариф Минималистичный)</t>
  </si>
  <si>
    <t>в стоимость входит начинка с декором в соответствием с тарифом</t>
  </si>
  <si>
    <t>Торт индивидуальный (Тариф "Хочу поинтереснее")</t>
  </si>
  <si>
    <t>Торт индивидуальный (Тариф "Художественный")</t>
  </si>
  <si>
    <t>Велюр</t>
  </si>
  <si>
    <t>Шоколадное покрытие</t>
  </si>
  <si>
    <t>150 гр</t>
  </si>
  <si>
    <t>Бисквитный мох</t>
  </si>
  <si>
    <t>Имитация мха из пористого медового бисквита с красителем</t>
  </si>
  <si>
    <t>60 гр</t>
  </si>
  <si>
    <t>Малинка крупная желейная (поштучно)</t>
  </si>
  <si>
    <t>Желейные изделия из натуральной термически обработанной малины с косточкой. На вкус практически не отличимы. Прекрасная форма, безопасны для использования на тортах и безупречный внешний вид (выглядит лучше свежей малины).</t>
  </si>
  <si>
    <t>8 гр</t>
  </si>
  <si>
    <t>Декорирование всего торта мастикой</t>
  </si>
  <si>
    <t>Большой объем украшений из мастики или трудоемкие украшения (по консультации с кондитером).</t>
  </si>
  <si>
    <t>до 400 гр</t>
  </si>
  <si>
    <t>Декорирование торта изделиями из мастики</t>
  </si>
  <si>
    <t>Украшения из мастики, объем зависит от трудоемкости изготовления (по консультации кондитера) или обтяжка торта мастикой.</t>
  </si>
  <si>
    <t>до 200 гр</t>
  </si>
  <si>
    <t>Шоколадные подтеки</t>
  </si>
  <si>
    <t>Подтеки по диаметру(периметру) торта весом до 3 кг, без центра. На выбор вид шоколада (цвет): белый, темный, цветной</t>
  </si>
  <si>
    <t>40-50 гр</t>
  </si>
  <si>
    <t>Безе (россыпь)</t>
  </si>
  <si>
    <t>5-10 безе в форме рельефных конусов</t>
  </si>
  <si>
    <t>10 гр</t>
  </si>
  <si>
    <t>Макарони</t>
  </si>
  <si>
    <t>Миндальное минипирожное</t>
  </si>
  <si>
    <t>1 шт</t>
  </si>
  <si>
    <t>Сладости и печенье</t>
  </si>
  <si>
    <t>Печенье, шоколадки, маршмеллоу, вафля, драже (тоже что  на торте "КитКат")</t>
  </si>
  <si>
    <t>80 гр</t>
  </si>
  <si>
    <t>Табличка с надписью</t>
  </si>
  <si>
    <t>Текст печатается на табличке из мастики (надпись может быть любой, но не очень длинная. Например "С Днем рождения, Имя!") Форма - кружок или прямоугольник.</t>
  </si>
  <si>
    <t>1 шт/4 гр</t>
  </si>
  <si>
    <t>Шоколадная цифра</t>
  </si>
  <si>
    <t>одна цифра либо двузначное число. Вид шоколада на выбор (цвет): белый, молочный, темный, цветной</t>
  </si>
  <si>
    <t>1 шт/12 гр</t>
  </si>
  <si>
    <t>Шоколадная буква (поштучно)</t>
  </si>
  <si>
    <t>Вид шоколада на выбор (цвет): белый, темный, цветной. Обращаем внимание, чтоб вошла слово/фраза на торт.</t>
  </si>
  <si>
    <t>Свечи (поштучно)</t>
  </si>
  <si>
    <t>Золотые высокие свечи поштучно</t>
  </si>
  <si>
    <t>Свеча цифра</t>
  </si>
  <si>
    <t>Одна свеча в виде цифры золотого цвета, тип "грань"</t>
  </si>
  <si>
    <t>Сахарная картинка(1 шт)</t>
  </si>
  <si>
    <t>Пищевая печать СОГЛАСОВАННОГО изображения на мастике, укрепленной шоколадом (картинка героя/название игры/мультика и т.п.)</t>
  </si>
  <si>
    <t>1 шт/20 гр</t>
  </si>
  <si>
    <t>Топпер</t>
  </si>
  <si>
    <t>Топпер из пластика или дерева из наличия.</t>
  </si>
  <si>
    <t>Пряник с пищевой печатью</t>
  </si>
  <si>
    <t>Пищевая печать логотипа, героя, картинки на пряном печенье</t>
  </si>
  <si>
    <t>1шт/45 гр</t>
  </si>
  <si>
    <t>Леденцы из изомальта</t>
  </si>
  <si>
    <t>Изомальт - выдержка из сахара, является сахарозаменителем</t>
  </si>
  <si>
    <t>1 шт/15 гр</t>
  </si>
  <si>
    <t>Безе на палочке</t>
  </si>
  <si>
    <t>Безе в виде завитка на палочке. Цвет(сочетание цветов) любое</t>
  </si>
  <si>
    <t>Шоколадная звезда</t>
  </si>
  <si>
    <t>Литьевые изделия из шоколада в виде звезды с пустым центром</t>
  </si>
  <si>
    <t>1 шт/5 гр</t>
  </si>
  <si>
    <t xml:space="preserve">Минишоколадки </t>
  </si>
  <si>
    <t>Литьевые изделия из шоколада в виде мальнких шоколадок</t>
  </si>
  <si>
    <t xml:space="preserve">Шоколадная фигурка </t>
  </si>
  <si>
    <t>Литьевые изделия из шоколада (при наличии подходящих форм). Зависит от веса изделия, вес расчитывается по пробному изделию либо выбирается из доступных на сайте</t>
  </si>
  <si>
    <t>1 шт/50-100 гр</t>
  </si>
  <si>
    <t>Шокошар 2,5 (маленький, диаметр 2,5 см)</t>
  </si>
  <si>
    <t>Шар из белого, молочного, темного, цветного шоколада диаметр 2,5 см без наполнения</t>
  </si>
  <si>
    <t>1шт/4 гр</t>
  </si>
  <si>
    <t>Шокошар 4,0 (средний, диаметр 4 см)</t>
  </si>
  <si>
    <t>Шар из белого, молочного, темного, цветного шоколада диаметр 4 см без наполнения</t>
  </si>
  <si>
    <t>Шокошар 6,0 (большой, диаметр 6 см)</t>
  </si>
  <si>
    <t>Шар из белого, молочного, темного, цветного шоколада диаметр 6 см без наполнения</t>
  </si>
  <si>
    <t>1 шт/45 гр</t>
  </si>
  <si>
    <t>Свежие ягоды</t>
  </si>
  <si>
    <t>Клубника, голубика и розмарин. Хватает на выкладку полумесяцем сверху торта 1,5-2,0 кг. Вес при размещении на торте 1,5-2,0 кг по кругу сверху (венок)  нужно примерно 240гр, положить горкой (3 порции) 360 гр</t>
  </si>
  <si>
    <t>1 порция / 120 гр</t>
  </si>
  <si>
    <t>Кейкпопсы "Малина"</t>
  </si>
  <si>
    <t xml:space="preserve">Бисквитное пирожное на палочке в белом шоколаде и сублимированной малине.
</t>
  </si>
  <si>
    <t>5 шт</t>
  </si>
  <si>
    <t>Кейкпопсы "Молочный шоколад"</t>
  </si>
  <si>
    <t>Бисквитное пирожное на палочке в молочном шоколаде с шоколадными завитками</t>
  </si>
  <si>
    <t>Капкейки "Именинный"</t>
  </si>
  <si>
    <t>Вкусные кексы на йогурте с несколькими видами начинок на выбор и нежной кремовой шапочкой. Оформление как на фото. Продаются от 6 шт в одинаковом виде оформления, начинки и бисквита. Более 6 шт - поштучно.</t>
  </si>
  <si>
    <t>Капкейки "Ягода Малинка"</t>
  </si>
  <si>
    <t>Капкейки "Цвет настроения"</t>
  </si>
  <si>
    <t>Капкейки "шоколадный бум"</t>
  </si>
  <si>
    <t>Капкейки "Поздравлямба"</t>
  </si>
  <si>
    <t>Трайфлы "Именинный"</t>
  </si>
  <si>
    <t>торты в стакане с начинками заказных тортов на выбор от 6 шт одного вида. 4 вида декора</t>
  </si>
  <si>
    <t>Трайфлы "Ягода Малинка"</t>
  </si>
  <si>
    <t>Трайфлы "Поздравмяу"</t>
  </si>
  <si>
    <t>Трайфлы "ШокоБум"</t>
  </si>
  <si>
    <t>Леденцы без сахара</t>
  </si>
  <si>
    <t>14 гр</t>
  </si>
  <si>
    <t>раннее бронирование</t>
  </si>
  <si>
    <t>Цена шоколаднице</t>
  </si>
  <si>
    <t>Кулич средний</t>
  </si>
  <si>
    <t>400гр</t>
  </si>
  <si>
    <t>Кулич малыш</t>
  </si>
  <si>
    <t>Маленький кулич на молочной пахте и топленом масле с изюмом и цукатами. Нежно украшен посыпками и  соломками-вербами из маршмеллоу. Упаковка - индивидуальная коробка.</t>
  </si>
  <si>
    <t>Набор пряников "Птенчики"</t>
  </si>
  <si>
    <t>4 минипряника с принтом в виде забавных цыплят. Упаковка индивидуальный пакетик с биркой.</t>
  </si>
  <si>
    <t>Набор пряников "Пасхальное трио"</t>
  </si>
  <si>
    <t>3 пряника в подарочной коробочке</t>
  </si>
  <si>
    <t>Большой пряник-открытка</t>
  </si>
  <si>
    <t>Пряничная шкатулка</t>
  </si>
  <si>
    <t>Творожная бенто-пасха</t>
  </si>
  <si>
    <t>Пряник зайка</t>
  </si>
  <si>
    <t xml:space="preserve">Дата проверки </t>
  </si>
  <si>
    <t>позиций всего</t>
  </si>
  <si>
    <t>Цена расчетная</t>
  </si>
  <si>
    <t>ШокоХит</t>
  </si>
  <si>
    <t>Кейкпопсы "Белый шоколад"</t>
  </si>
  <si>
    <t>Бисквитное пирожное на палочке в белом шоколаде с шоколадными завитками</t>
  </si>
  <si>
    <t>Капкейки "Красочный микс"</t>
  </si>
  <si>
    <t>Капкейки "поздравлямба"</t>
  </si>
  <si>
    <t>нет их</t>
  </si>
  <si>
    <t>1 шт/6 гр</t>
  </si>
  <si>
    <t>нет данных</t>
  </si>
  <si>
    <t>Витрина</t>
  </si>
  <si>
    <t>Проверил Чуфистов И.В. 03.05.2023</t>
  </si>
  <si>
    <t>Позиций в меню 335</t>
  </si>
  <si>
    <t>Ассам черный 700 мл</t>
  </si>
  <si>
    <t>Эрл Грей черный 700 мл</t>
  </si>
  <si>
    <t>Сенча зеленый 700мл</t>
  </si>
  <si>
    <t>Молочный Улун зеленый 700мл</t>
  </si>
  <si>
    <t>Тропический чай 600мл</t>
  </si>
  <si>
    <t>Манговый улун, апельсин, грейпфрут, сироп маракуйя</t>
  </si>
  <si>
    <t>Клюквенный чай с земляникой 600мл</t>
  </si>
  <si>
    <t>Клюква, сироп земляника, фруктовый чай</t>
  </si>
  <si>
    <t>Мохито ежевичный б\а</t>
  </si>
  <si>
    <t>Ежевика 25, сироп ежевика 40, лайм 20, мята 5</t>
  </si>
  <si>
    <t>Морс  ягодный 0.2</t>
  </si>
  <si>
    <t>Морс  ягодный 1л</t>
  </si>
  <si>
    <t>E-ON абрикос,миндаль</t>
  </si>
  <si>
    <t>E-ON Лемонграс</t>
  </si>
  <si>
    <t>Brooklyn Beer Живое 500мл</t>
  </si>
  <si>
    <t>Бергауэр темное в стекле 0.5</t>
  </si>
  <si>
    <t xml:space="preserve">бутылочное </t>
  </si>
  <si>
    <t>Белое вино бокал\бутылка</t>
  </si>
  <si>
    <t>Бутылки через \ прописать, цена бокал\бутылка для экономии места</t>
  </si>
  <si>
    <t xml:space="preserve">Шардоне </t>
  </si>
  <si>
    <t>Кубань, сух</t>
  </si>
  <si>
    <t>только бокал</t>
  </si>
  <si>
    <t xml:space="preserve">Санвиджилио Пино Гриджио </t>
  </si>
  <si>
    <t>Италия, сух</t>
  </si>
  <si>
    <t>0.75 2699р</t>
  </si>
  <si>
    <t>Грузия, плслд</t>
  </si>
  <si>
    <t>0.75 2299р</t>
  </si>
  <si>
    <t>Красное вино бокал\бутылка</t>
  </si>
  <si>
    <t>Мерло</t>
  </si>
  <si>
    <t>Грузия, плсд</t>
  </si>
  <si>
    <t>Розовое вино бокал\бутылка</t>
  </si>
  <si>
    <t xml:space="preserve">Пино Гриджио Розато </t>
  </si>
  <si>
    <t>Игристые вина 6шт</t>
  </si>
  <si>
    <t>Шато Тамань Брют</t>
  </si>
  <si>
    <t>Джин 50, сироп малина 20, сок лимона 10, тоник 150</t>
  </si>
  <si>
    <t>Виски 50, кола</t>
  </si>
  <si>
    <t>Мохито ежевичный</t>
  </si>
  <si>
    <t>ром хаус 50, ежевика 15, сироп ежевика 40, лайм 20, мята 5</t>
  </si>
  <si>
    <t>Ежевика, лайм, мята, сироп ежевика, ром</t>
  </si>
  <si>
    <t>Водка, сок апельсин, гренадин</t>
  </si>
  <si>
    <t>Белый русский</t>
  </si>
  <si>
    <t>Водка 40, кофейный ликер 30, сливки 30</t>
  </si>
  <si>
    <t>Водка, кофейный ликер, сливки</t>
  </si>
  <si>
    <t>Бруклинские настойки 7шт</t>
  </si>
  <si>
    <t>Ежевичная</t>
  </si>
  <si>
    <t>Коньяк 4шт</t>
  </si>
  <si>
    <t>Cognac</t>
  </si>
  <si>
    <t>выход</t>
  </si>
  <si>
    <t>жиры</t>
  </si>
  <si>
    <t>белки</t>
  </si>
  <si>
    <t>углеводы</t>
  </si>
  <si>
    <t>ккал</t>
  </si>
  <si>
    <t>Япония</t>
  </si>
  <si>
    <t>900 гр.</t>
  </si>
  <si>
    <t>63,09 гр</t>
  </si>
  <si>
    <t>69,7 гр</t>
  </si>
  <si>
    <t>270,39 гр</t>
  </si>
  <si>
    <t>1300 гр.</t>
  </si>
  <si>
    <t>132,36 гр</t>
  </si>
  <si>
    <t>121,18 гр</t>
  </si>
  <si>
    <t>425,47 гр</t>
  </si>
  <si>
    <t>Темпура ролл со снежным крабом, чукой и сливочным манго</t>
  </si>
  <si>
    <t>200 гр.</t>
  </si>
  <si>
    <t>17,51 гр</t>
  </si>
  <si>
    <t>10,31 гр</t>
  </si>
  <si>
    <t>72,97 гр</t>
  </si>
  <si>
    <t>200 гр</t>
  </si>
  <si>
    <t>14,70 гр</t>
  </si>
  <si>
    <t>18,66 гр</t>
  </si>
  <si>
    <t>58,61 гр</t>
  </si>
  <si>
    <t>Калифорния со снежным крабом</t>
  </si>
  <si>
    <t>180 гр.</t>
  </si>
  <si>
    <t>7,41 гр</t>
  </si>
  <si>
    <t>16,74 гр</t>
  </si>
  <si>
    <t>70,77 гр</t>
  </si>
  <si>
    <t>230 гр.</t>
  </si>
  <si>
    <t>31,48 гр</t>
  </si>
  <si>
    <t>19,14 гр</t>
  </si>
  <si>
    <t>60,50 гр</t>
  </si>
  <si>
    <t>Ролл с креветкой темпура под сырной-запеченой шапкой</t>
  </si>
  <si>
    <t>240 гр.</t>
  </si>
  <si>
    <t>38,98 гр</t>
  </si>
  <si>
    <t>28,27 гр</t>
  </si>
  <si>
    <t>65,36 гр</t>
  </si>
  <si>
    <t>Сырный темпура ролл с креветкой</t>
  </si>
  <si>
    <t>19,87 гр</t>
  </si>
  <si>
    <t>22,99 гр</t>
  </si>
  <si>
    <t>76,90 гр</t>
  </si>
  <si>
    <t>Салаты</t>
  </si>
  <si>
    <t>23,99 гр</t>
  </si>
  <si>
    <t>16,06 гр</t>
  </si>
  <si>
    <t>210 гр.</t>
  </si>
  <si>
    <t>26,82 гр</t>
  </si>
  <si>
    <t>21,17 гр</t>
  </si>
  <si>
    <t>41,48 гр</t>
  </si>
  <si>
    <t>19,35 гр</t>
  </si>
  <si>
    <t>14,07 гр</t>
  </si>
  <si>
    <t>31,40 гр</t>
  </si>
  <si>
    <t>15,97 гр</t>
  </si>
  <si>
    <t>18,23 гр</t>
  </si>
  <si>
    <t>5,4 гр.</t>
  </si>
  <si>
    <t>8,04 гр</t>
  </si>
  <si>
    <t>42,20 гр</t>
  </si>
  <si>
    <t>Закуски</t>
  </si>
  <si>
    <t>250 гр.</t>
  </si>
  <si>
    <t>14,79 гр</t>
  </si>
  <si>
    <t>3,6 гр</t>
  </si>
  <si>
    <t>21,71 гр</t>
  </si>
  <si>
    <t>130 гр.</t>
  </si>
  <si>
    <t>12,55 гр</t>
  </si>
  <si>
    <t>11,66 гр</t>
  </si>
  <si>
    <t xml:space="preserve">20,06 гр </t>
  </si>
  <si>
    <t>Ржаные гренки с чесноком</t>
  </si>
  <si>
    <t>120 гр.</t>
  </si>
  <si>
    <t>4,99 гр</t>
  </si>
  <si>
    <t>5.77 гр</t>
  </si>
  <si>
    <t>36.75 гр</t>
  </si>
  <si>
    <t>Картошка фри</t>
  </si>
  <si>
    <t>4,88 гр</t>
  </si>
  <si>
    <t>2,49 гр</t>
  </si>
  <si>
    <t>26,29 гр</t>
  </si>
  <si>
    <t>4,9 гр</t>
  </si>
  <si>
    <t>2,5 гр</t>
  </si>
  <si>
    <t xml:space="preserve">26,4 гр </t>
  </si>
  <si>
    <t xml:space="preserve">Куриные наггетсы </t>
  </si>
  <si>
    <t>19,53 гр</t>
  </si>
  <si>
    <t>9,59 гр</t>
  </si>
  <si>
    <t>11,12 гр</t>
  </si>
  <si>
    <t>95 гр.</t>
  </si>
  <si>
    <t>19,42 гр</t>
  </si>
  <si>
    <t>3,16 гр</t>
  </si>
  <si>
    <t>23,02 гр</t>
  </si>
  <si>
    <t xml:space="preserve">Креветки темпура </t>
  </si>
  <si>
    <t xml:space="preserve">120 гр. </t>
  </si>
  <si>
    <t>3,0 гр</t>
  </si>
  <si>
    <t>16,0 гр</t>
  </si>
  <si>
    <t xml:space="preserve">Хркстящий мендаль и арахис </t>
  </si>
  <si>
    <t>80 гр.</t>
  </si>
  <si>
    <t>56,30 гр</t>
  </si>
  <si>
    <t>23,87 гр</t>
  </si>
  <si>
    <t>21,10 гр</t>
  </si>
  <si>
    <t xml:space="preserve">Для компании </t>
  </si>
  <si>
    <t>220 гр.</t>
  </si>
  <si>
    <t>500 гр.</t>
  </si>
  <si>
    <t>8,99 гр</t>
  </si>
  <si>
    <t>7,24 гр</t>
  </si>
  <si>
    <t>19,13 гр</t>
  </si>
  <si>
    <t xml:space="preserve">Сет из свиных ребер в трех соусах </t>
  </si>
  <si>
    <t xml:space="preserve">940 гр. </t>
  </si>
  <si>
    <t>18,68 гр</t>
  </si>
  <si>
    <t>16,48 гр</t>
  </si>
  <si>
    <t>4,6 гр</t>
  </si>
  <si>
    <t xml:space="preserve">Микс из крыльев в трех соусах </t>
  </si>
  <si>
    <t>16,52 гр</t>
  </si>
  <si>
    <t>16,67 гр</t>
  </si>
  <si>
    <t>6,2 гр</t>
  </si>
  <si>
    <t xml:space="preserve">500 гр. </t>
  </si>
  <si>
    <t>16,71 гр</t>
  </si>
  <si>
    <t>8,3 гр</t>
  </si>
  <si>
    <t>21,12 гр</t>
  </si>
  <si>
    <t xml:space="preserve">Гриль с огоньком </t>
  </si>
  <si>
    <t>14,95 гр</t>
  </si>
  <si>
    <t>11,39 гр</t>
  </si>
  <si>
    <t>10,95 гр</t>
  </si>
  <si>
    <t xml:space="preserve">Сообразим на троих </t>
  </si>
  <si>
    <t xml:space="preserve">1000 гр. </t>
  </si>
  <si>
    <t>12,49 гр</t>
  </si>
  <si>
    <t>8,07 гр</t>
  </si>
  <si>
    <t>22,19 гр</t>
  </si>
  <si>
    <t xml:space="preserve">Мясной пир </t>
  </si>
  <si>
    <t>1100 гр.</t>
  </si>
  <si>
    <t>11,14 гр</t>
  </si>
  <si>
    <t>12,21 гр</t>
  </si>
  <si>
    <t>5,23 гр</t>
  </si>
  <si>
    <t xml:space="preserve">Тарелка мясных деликатесов </t>
  </si>
  <si>
    <t xml:space="preserve">130 гр. </t>
  </si>
  <si>
    <t>32,18 гр</t>
  </si>
  <si>
    <t>16,01 гр</t>
  </si>
  <si>
    <t>4,89 гр</t>
  </si>
  <si>
    <t xml:space="preserve">Овощи на закуску </t>
  </si>
  <si>
    <t xml:space="preserve">300 гр. </t>
  </si>
  <si>
    <t>5,6 гр</t>
  </si>
  <si>
    <t>1,7 гр</t>
  </si>
  <si>
    <t>7,4 гр</t>
  </si>
  <si>
    <t xml:space="preserve">Хрустящие овощи </t>
  </si>
  <si>
    <t xml:space="preserve">550 гр. </t>
  </si>
  <si>
    <t>1,3 гр</t>
  </si>
  <si>
    <t>1,04 гр</t>
  </si>
  <si>
    <t>4,4 гр</t>
  </si>
  <si>
    <t>Супы</t>
  </si>
  <si>
    <t>Яркий. смелый и пряный тыквенный крем-суп</t>
  </si>
  <si>
    <t>300 гр.</t>
  </si>
  <si>
    <t>9,45 гр</t>
  </si>
  <si>
    <t>2,97 гр</t>
  </si>
  <si>
    <t>4,78 гр</t>
  </si>
  <si>
    <t xml:space="preserve">Борщ с копченой сметаной и ростбифом </t>
  </si>
  <si>
    <t>400 гр.</t>
  </si>
  <si>
    <t>12,97 гр</t>
  </si>
  <si>
    <t>3,79 гр</t>
  </si>
  <si>
    <t>6,89 гр</t>
  </si>
  <si>
    <t>7,08 гр</t>
  </si>
  <si>
    <t>5,40 гр</t>
  </si>
  <si>
    <t>11,64 гр</t>
  </si>
  <si>
    <t>131,98 гр</t>
  </si>
  <si>
    <t>9,49 гр</t>
  </si>
  <si>
    <t>7,29 гр</t>
  </si>
  <si>
    <t>Горячее</t>
  </si>
  <si>
    <t>230 гр</t>
  </si>
  <si>
    <t>14,30 гр</t>
  </si>
  <si>
    <t>6,1 гр</t>
  </si>
  <si>
    <t>9,01 гр</t>
  </si>
  <si>
    <t>Паста Карбонара по-Бруклински</t>
  </si>
  <si>
    <t>250 гр</t>
  </si>
  <si>
    <t>21,04 гр</t>
  </si>
  <si>
    <t>6,74 гр</t>
  </si>
  <si>
    <t>8,94 гр</t>
  </si>
  <si>
    <t>Паста с креветками в соусе том ям</t>
  </si>
  <si>
    <t>12,08 гр</t>
  </si>
  <si>
    <t>7,47 гр</t>
  </si>
  <si>
    <t>9,61 гр</t>
  </si>
  <si>
    <t>300 гр</t>
  </si>
  <si>
    <t>11,75 гр</t>
  </si>
  <si>
    <t>10,64 гр</t>
  </si>
  <si>
    <t>5,11 гр</t>
  </si>
  <si>
    <t>Цыплёнок гриль</t>
  </si>
  <si>
    <t>10,77 гр</t>
  </si>
  <si>
    <t>7,98 гр</t>
  </si>
  <si>
    <t>5,64 гр</t>
  </si>
  <si>
    <t>13,56 гр</t>
  </si>
  <si>
    <t>1,42 гр</t>
  </si>
  <si>
    <t>13,45 гр</t>
  </si>
  <si>
    <t>11,20 гр</t>
  </si>
  <si>
    <t>11,07 гр</t>
  </si>
  <si>
    <t>9,93 гр</t>
  </si>
  <si>
    <t>6,86 гр</t>
  </si>
  <si>
    <t>10,99 гр</t>
  </si>
  <si>
    <t>170 гр.</t>
  </si>
  <si>
    <t>2,91 гр</t>
  </si>
  <si>
    <t>1,76 гр</t>
  </si>
  <si>
    <t>7,00 гр</t>
  </si>
  <si>
    <t xml:space="preserve">Заморские котлеты </t>
  </si>
  <si>
    <t>20,80 гр</t>
  </si>
  <si>
    <t>6,76 гр</t>
  </si>
  <si>
    <t>11,18 гр</t>
  </si>
  <si>
    <t xml:space="preserve">Кебаб из курицы </t>
  </si>
  <si>
    <t>10,85 гр</t>
  </si>
  <si>
    <t>11,42 гр</t>
  </si>
  <si>
    <t>3,36 гр</t>
  </si>
  <si>
    <t xml:space="preserve">кебаб из говядины </t>
  </si>
  <si>
    <t xml:space="preserve">200 гр. </t>
  </si>
  <si>
    <t>18,44 гр</t>
  </si>
  <si>
    <t>10,16 гр</t>
  </si>
  <si>
    <t>13,52 гр</t>
  </si>
  <si>
    <t xml:space="preserve">Крылья барбекю </t>
  </si>
  <si>
    <t>320 гр.</t>
  </si>
  <si>
    <t>16,69 гр</t>
  </si>
  <si>
    <t>15,70 гр</t>
  </si>
  <si>
    <t>9,06 гр</t>
  </si>
  <si>
    <t>Крылья Чиз</t>
  </si>
  <si>
    <t>17,29 гр</t>
  </si>
  <si>
    <t>17,19 гр</t>
  </si>
  <si>
    <t>2,44 гр</t>
  </si>
  <si>
    <t>Крылья Хот</t>
  </si>
  <si>
    <t>13,13 гр</t>
  </si>
  <si>
    <t>14,68 гр</t>
  </si>
  <si>
    <t>6,09 гр</t>
  </si>
  <si>
    <t xml:space="preserve">Ребра барбекю </t>
  </si>
  <si>
    <t>16,53 гр</t>
  </si>
  <si>
    <t>14,01 гр</t>
  </si>
  <si>
    <t>8,95 гр</t>
  </si>
  <si>
    <t>Ребра Чиз</t>
  </si>
  <si>
    <t xml:space="preserve">320 гр. </t>
  </si>
  <si>
    <t>18,74 гр</t>
  </si>
  <si>
    <t>16,38 гр</t>
  </si>
  <si>
    <t>2,08 гр</t>
  </si>
  <si>
    <t>Ребра Хот</t>
  </si>
  <si>
    <t>19,09 гр</t>
  </si>
  <si>
    <t>17,86 гр</t>
  </si>
  <si>
    <t>0,89 гр</t>
  </si>
  <si>
    <t xml:space="preserve">Равиоли с семгой и красной икрой </t>
  </si>
  <si>
    <t>32,49 гр</t>
  </si>
  <si>
    <t>13,19 гр</t>
  </si>
  <si>
    <t>16,60 гр</t>
  </si>
  <si>
    <t xml:space="preserve">Позолоченные равиоли с говядиной </t>
  </si>
  <si>
    <t>42,33 гр</t>
  </si>
  <si>
    <t>14,61 гр</t>
  </si>
  <si>
    <t>25,80 гр</t>
  </si>
  <si>
    <t>17,68 гр</t>
  </si>
  <si>
    <t>5,79 гр</t>
  </si>
  <si>
    <t>10,57 гр</t>
  </si>
  <si>
    <t xml:space="preserve">Сочный бифштекс </t>
  </si>
  <si>
    <t>350 гр.</t>
  </si>
  <si>
    <t>16,31 гр</t>
  </si>
  <si>
    <t>13,34 гр</t>
  </si>
  <si>
    <t>2,76 гр</t>
  </si>
  <si>
    <t>Бургеры</t>
  </si>
  <si>
    <t>13,43 гр</t>
  </si>
  <si>
    <t>7,8 гр</t>
  </si>
  <si>
    <t>14,62 гр</t>
  </si>
  <si>
    <t>Бургер "Гориллаз"</t>
  </si>
  <si>
    <t>23,45 гр</t>
  </si>
  <si>
    <t>8,28 гр</t>
  </si>
  <si>
    <t>Бургер Ред Хот 2.0</t>
  </si>
  <si>
    <t>25,11 гр</t>
  </si>
  <si>
    <t>10,11 гр</t>
  </si>
  <si>
    <t>6,29 гр</t>
  </si>
  <si>
    <t xml:space="preserve">350 гр. </t>
  </si>
  <si>
    <t>25,54 гр</t>
  </si>
  <si>
    <t>7,99 гр</t>
  </si>
  <si>
    <t>13,01 гр</t>
  </si>
  <si>
    <t>12,38 гр</t>
  </si>
  <si>
    <t>12,48 гр</t>
  </si>
  <si>
    <t>Ровный срез</t>
  </si>
  <si>
    <t>20,19 гр</t>
  </si>
  <si>
    <t>9,07 гр</t>
  </si>
  <si>
    <t>5,10 гр</t>
  </si>
  <si>
    <t>Пицца</t>
  </si>
  <si>
    <t>430 гр</t>
  </si>
  <si>
    <t>6,55 гр</t>
  </si>
  <si>
    <t>7,59 гр</t>
  </si>
  <si>
    <t>24,73 гр</t>
  </si>
  <si>
    <t>520 гр.</t>
  </si>
  <si>
    <t>8,09 гр</t>
  </si>
  <si>
    <t>9,00 гр</t>
  </si>
  <si>
    <t>22,97 гр</t>
  </si>
  <si>
    <t>8,37 гр</t>
  </si>
  <si>
    <t>8,16 гр</t>
  </si>
  <si>
    <t>23,03 гр</t>
  </si>
  <si>
    <t>11,23 гр</t>
  </si>
  <si>
    <t>9,42 гр</t>
  </si>
  <si>
    <t>22,54 гр</t>
  </si>
  <si>
    <t>560 гр.</t>
  </si>
  <si>
    <t>6,18 гр</t>
  </si>
  <si>
    <t>9,39 гр</t>
  </si>
  <si>
    <t>22,91 гр</t>
  </si>
  <si>
    <t>11,58 гр</t>
  </si>
  <si>
    <t>21,93 гр</t>
  </si>
  <si>
    <t>Пицца шесть сыров</t>
  </si>
  <si>
    <t>450 гр.</t>
  </si>
  <si>
    <t>11,29 гр</t>
  </si>
  <si>
    <t>10,19 гр</t>
  </si>
  <si>
    <t>24,28 гр</t>
  </si>
  <si>
    <t>1200 гр.</t>
  </si>
  <si>
    <t>8,26 гр</t>
  </si>
  <si>
    <t>9,17 гр</t>
  </si>
  <si>
    <t>24,33 гр</t>
  </si>
  <si>
    <t>Десерт</t>
  </si>
  <si>
    <t>22,11 гр</t>
  </si>
  <si>
    <t>7,11 гр</t>
  </si>
  <si>
    <t>52,10 гр</t>
  </si>
  <si>
    <t>12,72 гр</t>
  </si>
  <si>
    <t>2,53 гр</t>
  </si>
  <si>
    <t>29,51 гр</t>
  </si>
  <si>
    <t>135 гр</t>
  </si>
  <si>
    <t>20,97 гр</t>
  </si>
  <si>
    <t>Карамельный фундучино</t>
  </si>
  <si>
    <t>29,86 гр</t>
  </si>
  <si>
    <t>6,68 гр</t>
  </si>
  <si>
    <t>37,83 гр</t>
  </si>
  <si>
    <t>8,5 гр</t>
  </si>
  <si>
    <t>3,3 гр</t>
  </si>
  <si>
    <t>23,0 гр</t>
  </si>
  <si>
    <t xml:space="preserve">Белый кролик </t>
  </si>
  <si>
    <t>28,14 гр</t>
  </si>
  <si>
    <t>15,99 гр</t>
  </si>
  <si>
    <t>5,48 гр</t>
  </si>
  <si>
    <t>18,98 гр</t>
  </si>
  <si>
    <t>Круассан с малиной</t>
  </si>
  <si>
    <t>150 гр.</t>
  </si>
  <si>
    <t>21,38 гр</t>
  </si>
  <si>
    <t>6,20 гр</t>
  </si>
  <si>
    <t>25,46 гр</t>
  </si>
  <si>
    <t xml:space="preserve">Круассан с шоколадом </t>
  </si>
  <si>
    <t>19,0 гр</t>
  </si>
  <si>
    <t>29,29 гр</t>
  </si>
  <si>
    <t xml:space="preserve">Пирожное лимон с мятной начинкой </t>
  </si>
  <si>
    <t xml:space="preserve">75 гр. </t>
  </si>
  <si>
    <t>12,29 гр</t>
  </si>
  <si>
    <t>5,28 гр</t>
  </si>
  <si>
    <t>32,39 гр</t>
  </si>
  <si>
    <t xml:space="preserve">Шоколадный торт </t>
  </si>
  <si>
    <t>140 гр.</t>
  </si>
  <si>
    <t>14,77 гр</t>
  </si>
  <si>
    <t>4,75 гр</t>
  </si>
  <si>
    <t>33,79 гр</t>
  </si>
  <si>
    <t>Соуса/допы</t>
  </si>
  <si>
    <t>50 гр</t>
  </si>
  <si>
    <t>0,0 гр</t>
  </si>
  <si>
    <t>0,3 гр</t>
  </si>
  <si>
    <t>2,9 гр</t>
  </si>
  <si>
    <t>бекон</t>
  </si>
  <si>
    <t>30 гр</t>
  </si>
  <si>
    <t>13,5 гр</t>
  </si>
  <si>
    <t>2,1 гр</t>
  </si>
  <si>
    <t>0,6 гр</t>
  </si>
  <si>
    <t>7,3 гр</t>
  </si>
  <si>
    <t>4,8 гр</t>
  </si>
  <si>
    <t>7,2 гр</t>
  </si>
  <si>
    <t>5,4 гр</t>
  </si>
  <si>
    <t>1,1 гр</t>
  </si>
  <si>
    <t>4,2 гр</t>
  </si>
  <si>
    <t>15 гр</t>
  </si>
  <si>
    <t>0,1 гр</t>
  </si>
  <si>
    <t>Болгарский перец</t>
  </si>
  <si>
    <t>0,4 гр</t>
  </si>
  <si>
    <t>1,6 гр</t>
  </si>
  <si>
    <t>6,0 гр</t>
  </si>
  <si>
    <t>0,8 гр</t>
  </si>
  <si>
    <t>1,0 гр</t>
  </si>
  <si>
    <t>кетчуп</t>
  </si>
  <si>
    <t>7,5 гр</t>
  </si>
  <si>
    <t>0,2 гр</t>
  </si>
  <si>
    <t>19,9 гр</t>
  </si>
  <si>
    <t>0,7 гр</t>
  </si>
  <si>
    <t>19,8 гр</t>
  </si>
  <si>
    <t>1,2 гр</t>
  </si>
  <si>
    <t>18,9 гр</t>
  </si>
  <si>
    <t>19,3 гр</t>
  </si>
  <si>
    <t>соус тартар</t>
  </si>
  <si>
    <t>33,4 гр</t>
  </si>
  <si>
    <t>0,9 гр</t>
  </si>
  <si>
    <t>23,3 гр</t>
  </si>
  <si>
    <t>21,0 гр</t>
  </si>
  <si>
    <t>14,92 гр</t>
  </si>
  <si>
    <t>0,36 гр</t>
  </si>
  <si>
    <t>5,44 гр</t>
  </si>
  <si>
    <t>120 гр</t>
  </si>
  <si>
    <t>2,3 гр</t>
  </si>
  <si>
    <t>12,4 гр</t>
  </si>
  <si>
    <t>71,6 гр</t>
  </si>
  <si>
    <t>3,9 гр</t>
  </si>
  <si>
    <t>5,9 гр</t>
  </si>
  <si>
    <t>43,1 гр</t>
  </si>
  <si>
    <t>фокачо с песто</t>
  </si>
  <si>
    <t>140 гр</t>
  </si>
  <si>
    <t>19,1 гр</t>
  </si>
  <si>
    <t>133,6 гр</t>
  </si>
  <si>
    <t>Детское меню</t>
  </si>
  <si>
    <t>9,35 гр</t>
  </si>
  <si>
    <t>3,69 гр</t>
  </si>
  <si>
    <t>15,82 гр</t>
  </si>
  <si>
    <t>3,8 гр</t>
  </si>
  <si>
    <t>4,5 гр</t>
  </si>
  <si>
    <t xml:space="preserve">Куриный суп с макарошками и брокколи </t>
  </si>
  <si>
    <t>2,2 гр</t>
  </si>
  <si>
    <t>6,7 гр</t>
  </si>
  <si>
    <t>30,67 гр</t>
  </si>
  <si>
    <t>7,1 гр</t>
  </si>
  <si>
    <t>11,19 гр</t>
  </si>
  <si>
    <t>160 гр.</t>
  </si>
  <si>
    <t>8,1 гр</t>
  </si>
  <si>
    <t>5,1 гр</t>
  </si>
  <si>
    <t>14,39 гр</t>
  </si>
  <si>
    <t xml:space="preserve">ДЕТСКАЯ Пепперони </t>
  </si>
  <si>
    <t>8,4 гр</t>
  </si>
  <si>
    <t>7,6 гр</t>
  </si>
  <si>
    <t>26,35 гр</t>
  </si>
  <si>
    <t>ДЕТСКАЯ Маргарита</t>
  </si>
  <si>
    <t>31,33 гр</t>
  </si>
  <si>
    <t>Сливочные макарошки с брокколи и сосисками</t>
  </si>
  <si>
    <t>9,8 гр</t>
  </si>
  <si>
    <t>14,02 гр</t>
  </si>
  <si>
    <t>Летнее меню</t>
  </si>
  <si>
    <t>Батат с трюфельным соусом</t>
  </si>
  <si>
    <t>140/30 гр.</t>
  </si>
  <si>
    <t>3,2 гр</t>
  </si>
  <si>
    <t>22,07 гр</t>
  </si>
  <si>
    <t>15,7 гр</t>
  </si>
  <si>
    <t>4,7 гр</t>
  </si>
  <si>
    <t>5,7 гр</t>
  </si>
  <si>
    <t>300/30/20 гр.</t>
  </si>
  <si>
    <t>5,8 гр</t>
  </si>
  <si>
    <t>4,1 гр</t>
  </si>
  <si>
    <t>280/30 гр.</t>
  </si>
  <si>
    <t>11,44 гр</t>
  </si>
  <si>
    <t>15,5 гр</t>
  </si>
  <si>
    <t>27,29 гр</t>
  </si>
  <si>
    <t>удаляем из меню</t>
  </si>
  <si>
    <t>новая позиция</t>
  </si>
  <si>
    <t>внесли изменения в текущю позицию (состав, описание, назание и тд)</t>
  </si>
  <si>
    <t>Проверил Чуфистов И.В. 11.06.2024</t>
  </si>
  <si>
    <t>Категория для фин. отдела</t>
  </si>
  <si>
    <t>Новая цена</t>
  </si>
  <si>
    <t>Фруктовый пунш 700мл</t>
  </si>
  <si>
    <t>Манговый улун 700 мл</t>
  </si>
  <si>
    <t>Пуэр 700 мл</t>
  </si>
  <si>
    <t>Цитрусовый  чай с имбирем 600мл</t>
  </si>
  <si>
    <t>Эрл грей 6гр, сироп мёд 40мл, имбирь 15гр, апельсин 20гр, лимон 20гр, бадьян 2гр</t>
  </si>
  <si>
    <t>Эрл грей, медовый сироп, имбирь, апельсин, лимон</t>
  </si>
  <si>
    <t>Облепиховый чай 600мл</t>
  </si>
  <si>
    <t>Облепиха см 60гр, медовый сироп 40мл, ассам 6гр</t>
  </si>
  <si>
    <t>Ассам, облепиха, медовый сироп</t>
  </si>
  <si>
    <t>Ягодный чай 600мл</t>
  </si>
  <si>
    <t>Ежевика см 60гр, сироп земляника 40мл, Ассам 6гр</t>
  </si>
  <si>
    <t xml:space="preserve">Ассам, ежевика сироп земляника, </t>
  </si>
  <si>
    <t>Согреться зимой или как-то так</t>
  </si>
  <si>
    <t>Глинтвейн на красном вине</t>
  </si>
  <si>
    <t>Красный глинтвейн</t>
  </si>
  <si>
    <t>Вино красное сухое, медовый сироп, специи</t>
  </si>
  <si>
    <t>Глинтвейн на белом вине</t>
  </si>
  <si>
    <t>Белый глинтвейн</t>
  </si>
  <si>
    <t>Вино белое сухое, сироп персик, специи</t>
  </si>
  <si>
    <t xml:space="preserve">Взвар яблочный пирог </t>
  </si>
  <si>
    <t>Яблочный пирог</t>
  </si>
  <si>
    <t>Яблочный сок, лимон, сироп яблочный пирог, специи</t>
  </si>
  <si>
    <t>Тропический взвар</t>
  </si>
  <si>
    <t>Тропический</t>
  </si>
  <si>
    <t>Апельсиновый сок, сироп пряный манго, лимон, специи</t>
  </si>
  <si>
    <t xml:space="preserve">добавки </t>
  </si>
  <si>
    <t>добавки</t>
  </si>
  <si>
    <t>Сливки 50 мл</t>
  </si>
  <si>
    <t>Молоко 50 мл</t>
  </si>
  <si>
    <r>
      <rPr>
        <rFont val="Proxima Nova"/>
        <color theme="1"/>
        <sz val="11.0"/>
      </rPr>
      <t>Молоко кокосовое 200мл, кофе 12г</t>
    </r>
    <r>
      <rPr>
        <rFont val="Proxima Nova"/>
        <color theme="1"/>
        <sz val="11.0"/>
      </rPr>
      <t>р</t>
    </r>
  </si>
  <si>
    <t>Лимонад ягодный  0.4</t>
  </si>
  <si>
    <t>Ежевика 30, сироп ежевика 20, сироп малина 20, лайм 15гр</t>
  </si>
  <si>
    <t>Ежевика, лайм, сироп малина, сироп ежевика</t>
  </si>
  <si>
    <t>Лимонад ягодный  1л</t>
  </si>
  <si>
    <t>Ежевика 60, сироп ежевика 40, сироп малина 40, лайм 30гр</t>
  </si>
  <si>
    <t>Грейфпрут 50, сироп грейпфрут  25, сироп саханый  25</t>
  </si>
  <si>
    <t>Мохито Клубничный б\а</t>
  </si>
  <si>
    <t>Клубника с\м 40, сироп земляника 30, гренадин 10, лайм 20,мята 3, содовая</t>
  </si>
  <si>
    <t xml:space="preserve">Клубника, лайм, мята, сироп земляника, сироп гренадин, </t>
  </si>
  <si>
    <t>Сироп перик 15, сироп маракуйя 15, топинг манго, лайм 15, семена чиа, содовая</t>
  </si>
  <si>
    <t>Земляника-черная смородина тоник</t>
  </si>
  <si>
    <t xml:space="preserve">Тоник, сироп земляника 20, сирпо черная смородина 20, лайм 20, </t>
  </si>
  <si>
    <t>Ежевика, сироп земляника, сироп черная смородина, тоник</t>
  </si>
  <si>
    <t>Клюква с\м 30, лимон 30, сироп черная смородина 40, мята 2гр, содовая</t>
  </si>
  <si>
    <t>Клубника с\м, топпинг клубника, сироп гренадин, лимон, тоник</t>
  </si>
  <si>
    <t>Лимонад земляника маракуйя  0.4</t>
  </si>
  <si>
    <t>Милкшейки</t>
  </si>
  <si>
    <t>ваниль, шоколад, бабл гам, клубника, банан</t>
  </si>
  <si>
    <t>Молоко 200, топинг 30, флури 40гр, вафельный рожок с шоколадом и сливками и брендированное печенье на украшение</t>
  </si>
  <si>
    <t>Грейпфрутовый фреш</t>
  </si>
  <si>
    <t>убираем вкус байкал</t>
  </si>
  <si>
    <t>Brookyn Beer Живое 300мл</t>
  </si>
  <si>
    <t>Фильтрованное 4.0%</t>
  </si>
  <si>
    <t>Brooklyn Beer Пшеничное 300мл</t>
  </si>
  <si>
    <t>"Крушовице" светлое 300мл</t>
  </si>
  <si>
    <t>"Крушовице" светлое 500мл</t>
  </si>
  <si>
    <t>"Гессер" светлое 300мл</t>
  </si>
  <si>
    <t>В банке с азотной капсулой, ипорт Ирландия</t>
  </si>
  <si>
    <t>безалкогольное,импортс Чехия</t>
  </si>
  <si>
    <t>Жираф Brooklyn Beer 4л</t>
  </si>
  <si>
    <t>Жираф Brooklyn Beer Пшеничное 4л</t>
  </si>
  <si>
    <t>Жираф  Гессер  4л</t>
  </si>
  <si>
    <t>Жираф Крушовице 4л</t>
  </si>
  <si>
    <t>Белое вино по бокалам</t>
  </si>
  <si>
    <t>Красное вино по бокалам</t>
  </si>
  <si>
    <t>Розовое вино по бокалам</t>
  </si>
  <si>
    <t>Красное вино 7шт</t>
  </si>
  <si>
    <t>Шато Тамань Эритаж Мерло</t>
  </si>
  <si>
    <t>Белое вино 7шт</t>
  </si>
  <si>
    <t>Шато Тамань Эритаж Совиньон</t>
  </si>
  <si>
    <t>Розовое вино  2шт</t>
  </si>
  <si>
    <t>Сангрия 2шт</t>
  </si>
  <si>
    <t xml:space="preserve">Сангрия </t>
  </si>
  <si>
    <t>На белом вине</t>
  </si>
  <si>
    <t>Белое сухое вино 200 мл, водка 50 мл, вино игристое 200 мл, сироп фруктовый 50 мл, 7up 150 мл, свежие фрукты 130 мл, вишня коктейльная 30  мл</t>
  </si>
  <si>
    <t>На красном вине</t>
  </si>
  <si>
    <t>Красное сухое вино 200 мл, водка 50 мл, вино игристое 200 мл, сироп ягодный 50 мл, 7up 150 мл, свежие фрукты  130 мл, вишня коктейльная 30 г</t>
  </si>
  <si>
    <t>Аперитивные коктейли 9шт</t>
  </si>
  <si>
    <t>Мартини Фиеро Тоник 2+1</t>
  </si>
  <si>
    <t>Прописать спец акция, через дробь цена одного коктейля\цена за сет из 3х коктейлей</t>
  </si>
  <si>
    <t>Бьянко Хани</t>
  </si>
  <si>
    <t>Мартини бьянко 50, сироп мед 15, сок яблоко 50, игристое 100</t>
  </si>
  <si>
    <t>Черри Россо</t>
  </si>
  <si>
    <t>Мартини россо 50, сироп вишня 15, сок вишня 30, тоник 100</t>
  </si>
  <si>
    <t>Апероль спритц</t>
  </si>
  <si>
    <t>Апероль 75, сироп апероль 25,  игристое вино 100, содовая</t>
  </si>
  <si>
    <t>Апероль, игристое вино, содовая</t>
  </si>
  <si>
    <t>Негрони</t>
  </si>
  <si>
    <t>Джин 30, кампари 30, мартини россо 30</t>
  </si>
  <si>
    <t>Джин, кампари, мартини россо</t>
  </si>
  <si>
    <t>Голивуд мартини</t>
  </si>
  <si>
    <t>Мартини бьянко 30, трипл сек 20, сок ананас 50, сок лимон 15</t>
  </si>
  <si>
    <t>Коктейли с джином 6шт</t>
  </si>
  <si>
    <t>Ягодный физ</t>
  </si>
  <si>
    <t>Джин, сок вишня, сок лимона, сироп черная смородина, бабл дропс</t>
  </si>
  <si>
    <t>Джин, вишневый и лимонные соки, сироп черная смородина, бабл дропс</t>
  </si>
  <si>
    <t>Джин 50, тоник, лимон</t>
  </si>
  <si>
    <t>Шерлок</t>
  </si>
  <si>
    <t>Джин 50, бабл дропс,сок лимона 25,сироп ежевика 25</t>
  </si>
  <si>
    <t>Джин, бабл дропс, сок лимона, сироп смородиновый</t>
  </si>
  <si>
    <t>Классичесские коктейли 8шт</t>
  </si>
  <si>
    <t xml:space="preserve">Вильям Лоусонс Кола </t>
  </si>
  <si>
    <t>Виски-кола Биг сайз</t>
  </si>
  <si>
    <t>Лонг айленд Биг Сайз</t>
  </si>
  <si>
    <t>Хантер Черри</t>
  </si>
  <si>
    <t>Егерь, сироп сморородина, сливки 10%, сок вишня, водка, сливочный ликер</t>
  </si>
  <si>
    <t>Коктейли на основе рома 10 шт</t>
  </si>
  <si>
    <t>Оакхарт Ориджинал  Кола</t>
  </si>
  <si>
    <t>Ром Оакхарт, кола</t>
  </si>
  <si>
    <t xml:space="preserve">Мохито клубничный </t>
  </si>
  <si>
    <t>Ром- кола Биг сайз</t>
  </si>
  <si>
    <t>Ром 50, сок ананасовый 150, сироп кокос 30, сливки 20</t>
  </si>
  <si>
    <t>Ром, ананасовый сок, кокосовый сироп, сливки</t>
  </si>
  <si>
    <t>Май тай</t>
  </si>
  <si>
    <t>Ром белый 40 мл, ром черный 20 мл, апельсиновый ликер 25 мл, миндальный сироп 25 мл, ананасовый сок 50 мл,апельсин 16гр</t>
  </si>
  <si>
    <t>Ром, трипл сек, минадльный сироп, сок лимона, сок анансовый</t>
  </si>
  <si>
    <t>Зомби</t>
  </si>
  <si>
    <t>Ром хаус 60, персиковый сироп 15 мл,  сок ананасовый 20 мл, сок лимона 20 мл, сироп Grenadine 10 мл, абсент 10 мл,апельсин 16гр</t>
  </si>
  <si>
    <t>Ром, сироп персиковый, сироп гренадин, сок лимона, сок ананас, абсент</t>
  </si>
  <si>
    <t xml:space="preserve">Ураган </t>
  </si>
  <si>
    <t>Ром хаус 50, сироп маракуйя 20, сок лимона 15, сок апельсин 50, сок ананас 50</t>
  </si>
  <si>
    <t>Ром, сироп маракуйя, сок лимона, сок апельсиновый, сок ананасовый</t>
  </si>
  <si>
    <t>Коктейли на основе водки 4 шт</t>
  </si>
  <si>
    <t>Ватсон</t>
  </si>
  <si>
    <t>Водка 50, сок ананас 30, сок лимона 15, сироп маракуйя 20</t>
  </si>
  <si>
    <t>Водка, ананасовый и лимонные соки, сироп маракуйя, топинг манго, бабл дропс</t>
  </si>
  <si>
    <t>Водка 50, сок ананас 75, морс ягодный 75, сироп персик 20</t>
  </si>
  <si>
    <t>Сет настоек 7х50</t>
  </si>
  <si>
    <t>Настойки на джине 2шт</t>
  </si>
  <si>
    <t>Грейпфрутовая</t>
  </si>
  <si>
    <t>Шоты 4шт</t>
  </si>
  <si>
    <t>ШОТЫ</t>
  </si>
  <si>
    <t>Сливочный ликер 20 мл, кофейный ликер 20 мл, апельсиновый ликер 20 мл</t>
  </si>
  <si>
    <t>Кофейный ликер 20, самбука 20, абсент 20</t>
  </si>
  <si>
    <t>E-ON Energy set 2шт</t>
  </si>
  <si>
    <t>Мощность бруклина</t>
  </si>
  <si>
    <t>Водка Хаски 0.5, 6 банок E-ON  оригинал</t>
  </si>
  <si>
    <t>E-ON  х 6 банок + водка</t>
  </si>
  <si>
    <t>Бруклин Хантер</t>
  </si>
  <si>
    <t>Ягермайстер 0.5, 6 банок E-ON  цитрусовый</t>
  </si>
  <si>
    <t>E-ON  х 6 банок + Ягермайстер</t>
  </si>
  <si>
    <t>E-ON Energy mix 5шт</t>
  </si>
  <si>
    <t>Мощный</t>
  </si>
  <si>
    <t>Водка, Е-ОН оригинал</t>
  </si>
  <si>
    <t>E-ON оригинальны + водка</t>
  </si>
  <si>
    <t>Дикая малина</t>
  </si>
  <si>
    <t>Джин, Е-ОН грейпфрут малина</t>
  </si>
  <si>
    <t>Е-ОN Грейпфрут-малина + джин</t>
  </si>
  <si>
    <t>Перфоратор</t>
  </si>
  <si>
    <t>Ром, Е-ОН абрикос миндаль</t>
  </si>
  <si>
    <t>E-ON Абрикос-миндаль + ром</t>
  </si>
  <si>
    <t>Мельдоний</t>
  </si>
  <si>
    <t>Абсент, Е-ОН лемограсс</t>
  </si>
  <si>
    <t>E-ON оригинальный + абсент</t>
  </si>
  <si>
    <t>Цитрусовый олень</t>
  </si>
  <si>
    <t>Ягермайстер, Е-ОН лемонграсс</t>
  </si>
  <si>
    <t>E-ON Цитрусовый + Егермейстер</t>
  </si>
  <si>
    <t>вместо апельсинового оленя</t>
  </si>
  <si>
    <t>Пати миксы 6шт</t>
  </si>
  <si>
    <t>ШОТ СЕТ</t>
  </si>
  <si>
    <t>Малиновый сет</t>
  </si>
  <si>
    <t>ром хаус 100, сироп малина 30, сок лимона 30, сок вишня 100</t>
  </si>
  <si>
    <t>Ром, сироп малина, сок лимона, сок вишневый</t>
  </si>
  <si>
    <t>Джин 100, сироп дыня 30, сок лимона 30, сок яблоко 100</t>
  </si>
  <si>
    <t>Водка хаус 100, сироп маракуйя 30, сок лимона 30, сок ананас 100</t>
  </si>
  <si>
    <t>Амиго сет</t>
  </si>
  <si>
    <t>Текила, трипл сек, топпинг манго, сок лимона, сок апельсин, гренадин</t>
  </si>
  <si>
    <t xml:space="preserve">Текила, трипл сек, сироп маракуйя, сироп гренадин,  топпинг манго, сок лимона, сок апельсиновый, </t>
  </si>
  <si>
    <t>3л аквариум с водкой, блю карасао и газировкой, на манер американских пуншей</t>
  </si>
  <si>
    <t>ВинChesterы</t>
  </si>
  <si>
    <t>3 коктейля на основе Джина и грейпфрутового сидра</t>
  </si>
  <si>
    <t>Белуга</t>
  </si>
  <si>
    <t>Дюарс 12 лет</t>
  </si>
  <si>
    <t>Вермут 4шт</t>
  </si>
  <si>
    <t xml:space="preserve"> Vermouth</t>
  </si>
  <si>
    <t>Джин 3шт</t>
  </si>
  <si>
    <t>Gin</t>
  </si>
  <si>
    <t>Бомбей Сапфир</t>
  </si>
  <si>
    <t>Барристер B47</t>
  </si>
  <si>
    <t>Ликеры 6шт</t>
  </si>
  <si>
    <t>Liqueurs</t>
  </si>
  <si>
    <t>Апероль</t>
  </si>
  <si>
    <t>Кампари</t>
  </si>
  <si>
    <t>Спец пердложение Элитный алкоголь</t>
  </si>
  <si>
    <t>объем бутылки</t>
  </si>
  <si>
    <t>цена за бут</t>
  </si>
  <si>
    <t>Мамонт</t>
  </si>
  <si>
    <t>0.5</t>
  </si>
  <si>
    <t>Грей Гуз</t>
  </si>
  <si>
    <t>Виски</t>
  </si>
  <si>
    <t>Шотландский купажированный виски</t>
  </si>
  <si>
    <t>Чивас ригал 12 лет</t>
  </si>
  <si>
    <t>1л</t>
  </si>
  <si>
    <t>Джонни Уокер Блэк Лейбл</t>
  </si>
  <si>
    <t>Шотландсикй Односолодовый Виски</t>
  </si>
  <si>
    <t>Карду 12 лет</t>
  </si>
  <si>
    <t>0.7</t>
  </si>
  <si>
    <t>Акентошан Американ Оак</t>
  </si>
  <si>
    <t>Клод Шателье ХО</t>
  </si>
  <si>
    <t>Черника фреш</t>
  </si>
  <si>
    <t>черника с\м 40, сироп черника 40, лайм 20, мята 2, содовая</t>
  </si>
  <si>
    <t>Яблоко-хуго</t>
  </si>
  <si>
    <t>сироп яблоко 30, сироп хуго 20, лайм 20, лимон 20, содовая</t>
  </si>
  <si>
    <t>Жасмин-грейпфрут</t>
  </si>
  <si>
    <t>Сироп грейпфрут 30, сироп жасмин 20, грейпфрут 15, тоник 150</t>
  </si>
  <si>
    <t>Ром 50, сок ананас 150, сироп черника 25, сливки 10% 20</t>
  </si>
  <si>
    <t>Хуго джин</t>
  </si>
  <si>
    <t>Джин 50, сироп хуго 30, сок лимон 10, тоник 150</t>
  </si>
  <si>
    <t>Жасмин</t>
  </si>
  <si>
    <t>Мартини бьянко 50, игристое брют 100, сок яблоко 50, сок лимон 10, сироп жасмин 30</t>
  </si>
  <si>
    <t>Настойка ириска 50, кофейный ликер 30, сливки 10% 20</t>
  </si>
  <si>
    <t>Сообразим на двоих</t>
  </si>
  <si>
    <t xml:space="preserve">Крылышки глазури </t>
  </si>
  <si>
    <t>крылья куриные,дайкон марринованый,соус руй</t>
  </si>
  <si>
    <t>бедро куриное с картофелем  и соусом баффало</t>
  </si>
  <si>
    <t>НОВЫЙ ГОД 25(обновил с\с цены 11.11)</t>
  </si>
  <si>
    <t>описание</t>
  </si>
  <si>
    <t>с/с в руб</t>
  </si>
  <si>
    <t>КУХНЯ</t>
  </si>
  <si>
    <t>б/а макс +морс</t>
  </si>
  <si>
    <t>б/а мин +морс</t>
  </si>
  <si>
    <t>алк мин</t>
  </si>
  <si>
    <t>ФБ без программы пакет ба</t>
  </si>
  <si>
    <t xml:space="preserve">ФБ с программой </t>
  </si>
  <si>
    <t>НГ команда  ба</t>
  </si>
  <si>
    <t>закуски общие в стол расчет на 1 персону( 630 гр.)</t>
  </si>
  <si>
    <t>Мясная плато</t>
  </si>
  <si>
    <t>ростбиф маринованый с зернистой горчицей, карбонат из свинины с розмарином, пастрома из свинины.</t>
  </si>
  <si>
    <t>Рыбная плато</t>
  </si>
  <si>
    <t>форель слабосоленая, сельдь маринованая, тунец татаки подается с лимоном и маслинами.</t>
  </si>
  <si>
    <t>60 гр.</t>
  </si>
  <si>
    <t>Овощное плато с молодым сыром</t>
  </si>
  <si>
    <t>огурец, томаты черри, моцарелла мини, бальзамик, зелень</t>
  </si>
  <si>
    <t>Фрукты</t>
  </si>
  <si>
    <t>мандарины,яблоки, виноград, апельсин</t>
  </si>
  <si>
    <t>Хлебная корзина</t>
  </si>
  <si>
    <t>фокачо, булочка белая, булочка ржаная</t>
  </si>
  <si>
    <t>90 гр</t>
  </si>
  <si>
    <t>салат на выбор(150 гр.)</t>
  </si>
  <si>
    <t>Салат брусуаз</t>
  </si>
  <si>
    <t>Ростбиф запеченный. Огурец маринованный. Томаты черри. Соус медово-горчичный Крошка из бородинского хлеба. Салат айсберг Соус Бальзамик Запеченный картофель бейби.</t>
  </si>
  <si>
    <t>Салат айсберг Соус цезарь Яйцо перепелиное Томаты черри Курица горячего копчения.Сухари из багета. Сыр пармезан</t>
  </si>
  <si>
    <t>горячее на выбор(130/100 гр.)</t>
  </si>
  <si>
    <t>Запеченый стейк из форели маринованый в лайме ,подаем с молодым картофелем.</t>
  </si>
  <si>
    <t>Бифштекс из говядины с мясным соусом и жареным цукини</t>
  </si>
  <si>
    <t>Крупно рубленая говяжья котлета,запеченая с мясным соусом, подаем на жареных цукини с соусом дзадзыки и зеленым салатом.</t>
  </si>
  <si>
    <t>Бедро куриное без кости маринованое в копченой паприке, жареное до румяной корочки, подаем на давленом молодом картофеле с соусом дзадзыки.</t>
  </si>
  <si>
    <t>блюдо для тех кто не ест мясо</t>
  </si>
  <si>
    <t>закуски общие в стол(замена мясного)</t>
  </si>
  <si>
    <t xml:space="preserve">рулетики из баклажана с овощами стир фрай и кунжутом </t>
  </si>
  <si>
    <t>лепестки баклажана грили чиненые овощами жареными в соусе терияки</t>
  </si>
  <si>
    <t>салат(150 гр.)</t>
  </si>
  <si>
    <t>Баклажан без кожи,руккола,томат свежий,брынза,</t>
  </si>
  <si>
    <t>горячее (130 /100 гр.)</t>
  </si>
  <si>
    <t>Загорелые цукини</t>
  </si>
  <si>
    <t>Жареные цукини подаем на креме из сыра фетта с рукколой и чипсами из пармезана.</t>
  </si>
  <si>
    <t>130/100 гр</t>
  </si>
  <si>
    <t>детское меню на ночь НГ</t>
  </si>
  <si>
    <t>закуски общие в стол расчет на 1 персону</t>
  </si>
  <si>
    <t>Сырные елочные игрушки</t>
  </si>
  <si>
    <t>ассорти из трех сырных шариков в орехах/зелени/паприки</t>
  </si>
  <si>
    <t>45 гр.</t>
  </si>
  <si>
    <t>Овощные палочки с соусом</t>
  </si>
  <si>
    <t>свежие овощи морковь/огуре/перец/сельдерей с соусом из сметаны</t>
  </si>
  <si>
    <t>100 гр</t>
  </si>
  <si>
    <t>Мини-пицца с ветчиной</t>
  </si>
  <si>
    <t>ну какой же ребенок без пиццы</t>
  </si>
  <si>
    <t>салат</t>
  </si>
  <si>
    <t>Оливье с ветчиной</t>
  </si>
  <si>
    <t>класический салат в виде зайчика</t>
  </si>
  <si>
    <t>горячее</t>
  </si>
  <si>
    <t>Мини-шашлычок из курицы с картофелем фри</t>
  </si>
  <si>
    <t>подадим на шпажках с и двумя видами соуса кетчупом и сырным</t>
  </si>
  <si>
    <t>150/150/60 гр.</t>
  </si>
  <si>
    <t>БАР Тюмень/ЮГРА/Ижевск/Аура</t>
  </si>
  <si>
    <t>Вино красное:</t>
  </si>
  <si>
    <t>цена в меню</t>
  </si>
  <si>
    <t>с/с</t>
  </si>
  <si>
    <t>Густо Полусладкое</t>
  </si>
  <si>
    <t>полусладкое, Россия</t>
  </si>
  <si>
    <t>0.75</t>
  </si>
  <si>
    <t>Густо Сухое</t>
  </si>
  <si>
    <t>сухое, Россия</t>
  </si>
  <si>
    <t>Вино белое:</t>
  </si>
  <si>
    <t>Игристое вино:</t>
  </si>
  <si>
    <t>Шато Тамань Эритаж\Эритаж Брют</t>
  </si>
  <si>
    <t>Россия, полусладкое\сухое</t>
  </si>
  <si>
    <t>Водка:</t>
  </si>
  <si>
    <t>Хаски оригинал</t>
  </si>
  <si>
    <t>Напитки б\а:</t>
  </si>
  <si>
    <t xml:space="preserve">Морс </t>
  </si>
  <si>
    <t>Черная смородина</t>
  </si>
  <si>
    <t xml:space="preserve">Блюдо </t>
  </si>
  <si>
    <t>Вариант названия</t>
  </si>
  <si>
    <t xml:space="preserve">Английский завтрак </t>
  </si>
  <si>
    <t>Американский завтрак</t>
  </si>
  <si>
    <t xml:space="preserve">Здесь нужен соус, точно тебе говорю ;) </t>
  </si>
  <si>
    <t xml:space="preserve">Яичница с сосисками, беконом, помидорами и фасолью. Подается с чиабаттой </t>
  </si>
  <si>
    <t xml:space="preserve">Завтрак По-деревенски </t>
  </si>
  <si>
    <t>Бруклинский завтрак</t>
  </si>
  <si>
    <t xml:space="preserve">Пышный омлет с беконом и шампиньонами, помидорами и сосиской. Подается с картофельными дольками </t>
  </si>
  <si>
    <t>1 неделя</t>
  </si>
  <si>
    <t>Комбо</t>
  </si>
  <si>
    <t xml:space="preserve">цена в меню </t>
  </si>
  <si>
    <t>%</t>
  </si>
  <si>
    <t>овощной салат под кунжутным соусом с брынзой</t>
  </si>
  <si>
    <t>Салат + суп + морс/чай + хлеб</t>
  </si>
  <si>
    <t>салат с куцрицей терияки и фасолью</t>
  </si>
  <si>
    <t>Салат/суп + горячее + морс/чай + хлеб</t>
  </si>
  <si>
    <t>салат с ветчиной</t>
  </si>
  <si>
    <t>суп лапша куриный</t>
  </si>
  <si>
    <t>Салат + суп + горячее + морс/чай + хлеб</t>
  </si>
  <si>
    <t xml:space="preserve">Супчик Дня </t>
  </si>
  <si>
    <t>уточни у офицанта</t>
  </si>
  <si>
    <t>Шашлычок с отжареным картофелем</t>
  </si>
  <si>
    <t xml:space="preserve">жареха </t>
  </si>
  <si>
    <t>паста со шпинатом и курицей</t>
  </si>
  <si>
    <t xml:space="preserve">Десерт Дня </t>
  </si>
  <si>
    <t>Десерт дня</t>
  </si>
  <si>
    <t>Официант точно знает, какой он сегодня</t>
  </si>
  <si>
    <t xml:space="preserve">Бруклинская лепешка </t>
  </si>
  <si>
    <t xml:space="preserve">Лепешка с Песто </t>
  </si>
  <si>
    <t xml:space="preserve">Лепешка с песто </t>
  </si>
  <si>
    <t xml:space="preserve">Соус на твой выбор </t>
  </si>
  <si>
    <t>Соус еще закажи</t>
  </si>
  <si>
    <t>Чесночный/Тар-тар/Цезарь/Тысяча островов</t>
  </si>
  <si>
    <t>2 неделя</t>
  </si>
  <si>
    <t>цена в меню ТМН</t>
  </si>
  <si>
    <t>салат к ланчу с ветчиной</t>
  </si>
  <si>
    <t xml:space="preserve">брускетта с томленой свининой </t>
  </si>
  <si>
    <t>салат зеленый с курицей</t>
  </si>
  <si>
    <t>паста ручной работы с томленой свининой</t>
  </si>
  <si>
    <t>кнели из цыпленка в грибном соусе с картофельным пюре</t>
  </si>
  <si>
    <t>отбивная из курицы с рисом и овощами</t>
  </si>
  <si>
    <t>Бизнес ланч БАР</t>
  </si>
  <si>
    <t xml:space="preserve">Кофе </t>
  </si>
  <si>
    <t xml:space="preserve">Американо </t>
  </si>
  <si>
    <t xml:space="preserve">180 мл </t>
  </si>
  <si>
    <t xml:space="preserve">Капучино </t>
  </si>
  <si>
    <t xml:space="preserve">200 мл </t>
  </si>
  <si>
    <t xml:space="preserve">Чай </t>
  </si>
  <si>
    <t>Черный чай</t>
  </si>
  <si>
    <t>Зеленый чай</t>
  </si>
  <si>
    <t>Напитки безалкогольные</t>
  </si>
  <si>
    <t xml:space="preserve">Морс Ягодный </t>
  </si>
  <si>
    <t xml:space="preserve">Фреш апельсиновый </t>
  </si>
  <si>
    <t>Вино по бокалам</t>
  </si>
  <si>
    <t>125 гр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</si>
</sst>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-m"/>
    <numFmt numFmtId="165" formatCode="d mmmm"/>
    <numFmt numFmtId="166" formatCode="d mmm"/>
    <numFmt numFmtId="167" formatCode="0 гр"/>
    <numFmt numFmtId="168" formatCode="#,##0[$ р]"/>
    <numFmt numFmtId="169" formatCode="#,##0[$ г]"/>
    <numFmt numFmtId="170" formatCode="#,##0.00[$ р]"/>
    <numFmt numFmtId="171" formatCode="0 мл"/>
    <numFmt numFmtId="172" formatCode="#,##0.00&quot;руб.&quot;"/>
    <numFmt numFmtId="173" formatCode="0.00&quot; руб.&quot;"/>
    <numFmt numFmtId="174" formatCode="#,##0.00&quot; руб.&quot;"/>
    <numFmt numFmtId="175" formatCode="d.m.yyyy"/>
  </numFmts>
  <fonts count="47">
    <font>
      <sz val="11.0"/>
      <color rgb="FF000000"/>
      <name val="Calibri"/>
      <scheme val="minor"/>
    </font>
    <font>
      <b/>
      <sz val="10.0"/>
      <color theme="1"/>
      <name val="Proxima Nova"/>
    </font>
    <font/>
    <font>
      <sz val="10.0"/>
      <color theme="1"/>
      <name val="Proxima Nova"/>
    </font>
    <font>
      <color theme="1"/>
      <name val="Calibri"/>
      <scheme val="minor"/>
    </font>
    <font>
      <b/>
      <color theme="1"/>
      <name val="Proxima Nova"/>
    </font>
    <font>
      <b/>
      <color theme="1"/>
      <name val="Calibri"/>
      <scheme val="minor"/>
    </font>
    <font>
      <b/>
      <sz val="10.0"/>
      <color rgb="FF000000"/>
      <name val="Proxima Nova"/>
    </font>
    <font>
      <b/>
      <sz val="10.0"/>
      <color rgb="FFFF0000"/>
      <name val="Proxima Nova"/>
    </font>
    <font>
      <b/>
      <sz val="10.0"/>
      <color rgb="FF666666"/>
      <name val="Proxima Nova"/>
    </font>
    <font>
      <sz val="10.0"/>
      <color rgb="FF000000"/>
      <name val="Proxima Nova"/>
    </font>
    <font>
      <sz val="10.0"/>
      <color rgb="FF666666"/>
      <name val="Proxima Nova"/>
    </font>
    <font>
      <sz val="10.0"/>
      <color rgb="FFFF0000"/>
      <name val="Proxima Nova"/>
    </font>
    <font>
      <b/>
      <sz val="9.0"/>
      <color rgb="FF1F1F1F"/>
      <name val="Proxima Nova"/>
    </font>
    <font>
      <color rgb="FF666666"/>
      <name val="Proxima Nova"/>
    </font>
    <font>
      <sz val="11.0"/>
      <color theme="1"/>
      <name val="Calibri"/>
    </font>
    <font>
      <sz val="10.0"/>
      <color theme="1"/>
      <name val="Calibri"/>
    </font>
    <font>
      <color rgb="FF000000"/>
      <name val="Proxima Nova"/>
    </font>
    <font>
      <sz val="11.0"/>
      <color rgb="FF666666"/>
      <name val="Proxima Nova"/>
    </font>
    <font>
      <color theme="1"/>
      <name val="Proxima Nova"/>
    </font>
    <font>
      <color rgb="FFFF0000"/>
      <name val="Proxima Nova"/>
    </font>
    <font>
      <b/>
      <sz val="11.0"/>
      <color theme="1"/>
      <name val="Calibri"/>
    </font>
    <font>
      <b/>
      <sz val="11.0"/>
      <color rgb="FF000000"/>
      <name val="Proxima Nova"/>
    </font>
    <font>
      <b/>
      <color rgb="FF000000"/>
      <name val="Proxima Nova"/>
    </font>
    <font>
      <sz val="11.0"/>
      <color rgb="FF000000"/>
      <name val="Proxima Nova"/>
    </font>
    <font>
      <sz val="11.0"/>
      <color rgb="FF1F1F1F"/>
      <name val="Proxima Nova"/>
    </font>
    <font>
      <sz val="11.0"/>
      <color theme="1"/>
      <name val="Proxima Nova"/>
    </font>
    <font>
      <b/>
      <sz val="11.0"/>
      <color theme="1"/>
      <name val="Proxima Nova"/>
    </font>
    <font>
      <b/>
      <i/>
      <sz val="11.0"/>
      <color theme="1"/>
      <name val="Proxima Nova"/>
    </font>
    <font>
      <color theme="1"/>
      <name val="Arial"/>
    </font>
    <font>
      <sz val="15.0"/>
      <color rgb="FF000000"/>
      <name val="Proxima Nova"/>
    </font>
    <font>
      <sz val="9.0"/>
      <color rgb="FF000000"/>
      <name val="Calibri"/>
    </font>
    <font>
      <sz val="10.0"/>
      <color rgb="FF1F1F1F"/>
      <name val="Arial"/>
    </font>
    <font>
      <sz val="10.0"/>
      <color rgb="FF00FF00"/>
      <name val="Proxima Nova"/>
    </font>
    <font>
      <b/>
      <sz val="11.0"/>
      <color rgb="FF666666"/>
      <name val="Proxima Nova"/>
    </font>
    <font>
      <sz val="11.0"/>
      <color theme="1"/>
      <name val="Calibri"/>
      <scheme val="minor"/>
    </font>
    <font>
      <sz val="11.0"/>
      <color theme="1"/>
      <name val="Arial"/>
    </font>
    <font>
      <sz val="9.0"/>
      <color rgb="FF000000"/>
      <name val="Arial"/>
    </font>
    <font>
      <b/>
      <sz val="14.0"/>
      <color theme="1"/>
      <name val="Arial"/>
    </font>
    <font>
      <b/>
      <sz val="17.0"/>
      <color theme="1"/>
      <name val="Arial"/>
    </font>
    <font>
      <b/>
      <sz val="22.0"/>
      <color theme="1"/>
      <name val="Arial"/>
    </font>
    <font>
      <b/>
      <sz val="21.0"/>
      <color theme="1"/>
      <name val="Arial"/>
    </font>
    <font>
      <b/>
      <sz val="16.0"/>
      <color theme="1"/>
      <name val="Arial"/>
    </font>
    <font>
      <b/>
      <sz val="16.0"/>
      <color theme="1"/>
      <name val="Calibri"/>
    </font>
    <font>
      <sz val="12.0"/>
      <color rgb="FF1F1F1F"/>
      <name val="Proxima Nova"/>
    </font>
    <font>
      <sz val="11.0"/>
      <color rgb="FF222222"/>
      <name val="Proxima Nova"/>
    </font>
    <font>
      <sz val="9.0"/>
      <color theme="1"/>
      <name val="Proxima Nova"/>
    </font>
  </fonts>
  <fills count="19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CFC"/>
        <bgColor rgb="FFFFFCFC"/>
      </patternFill>
    </fill>
    <fill>
      <patternFill patternType="solid">
        <fgColor rgb="FF87CEAB"/>
        <bgColor rgb="FF87CEAB"/>
      </patternFill>
    </fill>
    <fill>
      <patternFill patternType="solid">
        <fgColor rgb="FFD0E0E3"/>
        <bgColor rgb="FFD0E0E3"/>
      </patternFill>
    </fill>
    <fill>
      <patternFill patternType="solid">
        <fgColor rgb="FF66C194"/>
        <bgColor rgb="FF66C194"/>
      </patternFill>
    </fill>
    <fill>
      <patternFill patternType="solid">
        <fgColor rgb="FFB7E1CD"/>
        <bgColor rgb="FFB7E1CD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9CD7BA"/>
        <bgColor rgb="FF9CD7BA"/>
      </patternFill>
    </fill>
    <fill>
      <patternFill patternType="solid">
        <fgColor rgb="FFABDDC4"/>
        <bgColor rgb="FFABDDC4"/>
      </patternFill>
    </fill>
    <fill>
      <patternFill patternType="solid">
        <fgColor rgb="FF65C093"/>
        <bgColor rgb="FF65C093"/>
      </patternFill>
    </fill>
    <fill>
      <patternFill patternType="solid">
        <fgColor rgb="FF57BB8A"/>
        <bgColor rgb="FF57BB8A"/>
      </patternFill>
    </fill>
    <fill>
      <patternFill patternType="solid">
        <fgColor rgb="FFADDEC6"/>
        <bgColor rgb="FFADDEC6"/>
      </patternFill>
    </fill>
    <fill>
      <patternFill patternType="solid">
        <fgColor rgb="FFC3E6D5"/>
        <bgColor rgb="FFC3E6D5"/>
      </patternFill>
    </fill>
    <fill>
      <patternFill patternType="solid">
        <fgColor rgb="FFAFDEC7"/>
        <bgColor rgb="FFAFDEC7"/>
      </patternFill>
    </fill>
    <fill>
      <patternFill patternType="solid">
        <fgColor rgb="FFCDEADC"/>
        <bgColor rgb="FFCDEADC"/>
      </patternFill>
    </fill>
    <fill>
      <patternFill patternType="solid">
        <fgColor rgb="FFB1DFC9"/>
        <bgColor rgb="FFB1DFC9"/>
      </patternFill>
    </fill>
    <fill>
      <patternFill patternType="solid">
        <fgColor rgb="FF93D3B3"/>
        <bgColor rgb="FF93D3B3"/>
      </patternFill>
    </fill>
    <fill>
      <patternFill patternType="solid">
        <fgColor rgb="FF95D4B5"/>
        <bgColor rgb="FF95D4B5"/>
      </patternFill>
    </fill>
    <fill>
      <patternFill patternType="solid">
        <fgColor rgb="FF91D2B2"/>
        <bgColor rgb="FF91D2B2"/>
      </patternFill>
    </fill>
    <fill>
      <patternFill patternType="solid">
        <fgColor rgb="FFB0DFC8"/>
        <bgColor rgb="FFB0DFC8"/>
      </patternFill>
    </fill>
    <fill>
      <patternFill patternType="solid">
        <fgColor rgb="FFC7E8D8"/>
        <bgColor rgb="FFC7E8D8"/>
      </patternFill>
    </fill>
    <fill>
      <patternFill patternType="solid">
        <fgColor rgb="FFD0ECDE"/>
        <bgColor rgb="FFD0ECDE"/>
      </patternFill>
    </fill>
    <fill>
      <patternFill patternType="solid">
        <fgColor rgb="FFCAE9DA"/>
        <bgColor rgb="FFCAE9DA"/>
      </patternFill>
    </fill>
    <fill>
      <patternFill patternType="solid">
        <fgColor rgb="FFB6E1CC"/>
        <bgColor rgb="FFB6E1CC"/>
      </patternFill>
    </fill>
    <fill>
      <patternFill patternType="solid">
        <fgColor rgb="FFBAE3CF"/>
        <bgColor rgb="FFBAE3CF"/>
      </patternFill>
    </fill>
    <fill>
      <patternFill patternType="solid">
        <fgColor rgb="FFF2F9F6"/>
        <bgColor rgb="FFF2F9F6"/>
      </patternFill>
    </fill>
    <fill>
      <patternFill patternType="solid">
        <fgColor rgb="FFC0E5D3"/>
        <bgColor rgb="FFC0E5D3"/>
      </patternFill>
    </fill>
    <fill>
      <patternFill patternType="solid">
        <fgColor rgb="FFACDDC5"/>
        <bgColor rgb="FFACDDC5"/>
      </patternFill>
    </fill>
    <fill>
      <patternFill patternType="solid">
        <fgColor rgb="FFE1F3EA"/>
        <bgColor rgb="FFE1F3EA"/>
      </patternFill>
    </fill>
    <fill>
      <patternFill patternType="solid">
        <fgColor rgb="FFBEE4D1"/>
        <bgColor rgb="FFBEE4D1"/>
      </patternFill>
    </fill>
    <fill>
      <patternFill patternType="solid">
        <fgColor rgb="FFF0F9F5"/>
        <bgColor rgb="FFF0F9F5"/>
      </patternFill>
    </fill>
    <fill>
      <patternFill patternType="solid">
        <fgColor rgb="FFFEF5F5"/>
        <bgColor rgb="FFFEF5F5"/>
      </patternFill>
    </fill>
    <fill>
      <patternFill patternType="solid">
        <fgColor rgb="FFFEFEFE"/>
        <bgColor rgb="FFFEFEFE"/>
      </patternFill>
    </fill>
    <fill>
      <patternFill patternType="solid">
        <fgColor rgb="FFF2FAF6"/>
        <bgColor rgb="FFF2FAF6"/>
      </patternFill>
    </fill>
    <fill>
      <patternFill patternType="solid">
        <fgColor rgb="FFECF7F2"/>
        <bgColor rgb="FFECF7F2"/>
      </patternFill>
    </fill>
    <fill>
      <patternFill patternType="solid">
        <fgColor rgb="FFFEF6F6"/>
        <bgColor rgb="FFFEF6F6"/>
      </patternFill>
    </fill>
    <fill>
      <patternFill patternType="solid">
        <fgColor rgb="FFF9FCFB"/>
        <bgColor rgb="FFF9FCFB"/>
      </patternFill>
    </fill>
    <fill>
      <patternFill patternType="solid">
        <fgColor rgb="FFEFF8F3"/>
        <bgColor rgb="FFEFF8F3"/>
      </patternFill>
    </fill>
    <fill>
      <patternFill patternType="solid">
        <fgColor rgb="FFFFFCFB"/>
        <bgColor rgb="FFFFFCFB"/>
      </patternFill>
    </fill>
    <fill>
      <patternFill patternType="solid">
        <fgColor rgb="FFFBE7E6"/>
        <bgColor rgb="FFFBE7E6"/>
      </patternFill>
    </fill>
    <fill>
      <patternFill patternType="solid">
        <fgColor rgb="FFFEFAF9"/>
        <bgColor rgb="FFFEFAF9"/>
      </patternFill>
    </fill>
    <fill>
      <patternFill patternType="solid">
        <fgColor rgb="FFFBE9E7"/>
        <bgColor rgb="FFFBE9E7"/>
      </patternFill>
    </fill>
    <fill>
      <patternFill patternType="solid">
        <fgColor rgb="FFF6CFCC"/>
        <bgColor rgb="FFF6CFCC"/>
      </patternFill>
    </fill>
    <fill>
      <patternFill patternType="solid">
        <fgColor rgb="FFFAE5E3"/>
        <bgColor rgb="FFFAE5E3"/>
      </patternFill>
    </fill>
    <fill>
      <patternFill patternType="solid">
        <fgColor rgb="FFFBE7E5"/>
        <bgColor rgb="FFFBE7E5"/>
      </patternFill>
    </fill>
    <fill>
      <patternFill patternType="solid">
        <fgColor rgb="FFF9DFDD"/>
        <bgColor rgb="FFF9DFDD"/>
      </patternFill>
    </fill>
    <fill>
      <patternFill patternType="solid">
        <fgColor rgb="FFFBE6E4"/>
        <bgColor rgb="FFFBE6E4"/>
      </patternFill>
    </fill>
    <fill>
      <patternFill patternType="solid">
        <fgColor rgb="FFFBE8E6"/>
        <bgColor rgb="FFFBE8E6"/>
      </patternFill>
    </fill>
    <fill>
      <patternFill patternType="solid">
        <fgColor rgb="FFFCEBEA"/>
        <bgColor rgb="FFFCEBEA"/>
      </patternFill>
    </fill>
    <fill>
      <patternFill patternType="solid">
        <fgColor rgb="FFF9DEDC"/>
        <bgColor rgb="FFF9DEDC"/>
      </patternFill>
    </fill>
    <fill>
      <patternFill patternType="solid">
        <fgColor rgb="FFF6D0CD"/>
        <bgColor rgb="FFF6D0CD"/>
      </patternFill>
    </fill>
    <fill>
      <patternFill patternType="solid">
        <fgColor rgb="FFF8D9D6"/>
        <bgColor rgb="FFF8D9D6"/>
      </patternFill>
    </fill>
    <fill>
      <patternFill patternType="solid">
        <fgColor rgb="FFF9DDDB"/>
        <bgColor rgb="FFF9DDDB"/>
      </patternFill>
    </fill>
    <fill>
      <patternFill patternType="solid">
        <fgColor rgb="FFF8DAD8"/>
        <bgColor rgb="FFF8DAD8"/>
      </patternFill>
    </fill>
    <fill>
      <patternFill patternType="solid">
        <fgColor rgb="FFF3BEBA"/>
        <bgColor rgb="FFF3BEBA"/>
      </patternFill>
    </fill>
    <fill>
      <patternFill patternType="solid">
        <fgColor rgb="FFF3BFBB"/>
        <bgColor rgb="FFF3BFBB"/>
      </patternFill>
    </fill>
    <fill>
      <patternFill patternType="solid">
        <fgColor rgb="FFF4C1BD"/>
        <bgColor rgb="FFF4C1BD"/>
      </patternFill>
    </fill>
    <fill>
      <patternFill patternType="solid">
        <fgColor rgb="FFF1B3AE"/>
        <bgColor rgb="FFF1B3AE"/>
      </patternFill>
    </fill>
    <fill>
      <patternFill patternType="solid">
        <fgColor rgb="FFF7FCF9"/>
        <bgColor rgb="FFF7FCF9"/>
      </patternFill>
    </fill>
    <fill>
      <patternFill patternType="solid">
        <fgColor rgb="FFEDF7F2"/>
        <bgColor rgb="FFEDF7F2"/>
      </patternFill>
    </fill>
    <fill>
      <patternFill patternType="solid">
        <fgColor rgb="FFFFFEFE"/>
        <bgColor rgb="FFFFFEFE"/>
      </patternFill>
    </fill>
    <fill>
      <patternFill patternType="solid">
        <fgColor rgb="FFD9EFE4"/>
        <bgColor rgb="FFD9EFE4"/>
      </patternFill>
    </fill>
    <fill>
      <patternFill patternType="solid">
        <fgColor rgb="FFF7FCFA"/>
        <bgColor rgb="FFF7FCFA"/>
      </patternFill>
    </fill>
    <fill>
      <patternFill patternType="solid">
        <fgColor rgb="FFF5FBF8"/>
        <bgColor rgb="FFF5FBF8"/>
      </patternFill>
    </fill>
    <fill>
      <patternFill patternType="solid">
        <fgColor rgb="FFFFFDFD"/>
        <bgColor rgb="FFFFFDFD"/>
      </patternFill>
    </fill>
    <fill>
      <patternFill patternType="solid">
        <fgColor rgb="FFDBF0E5"/>
        <bgColor rgb="FFDBF0E5"/>
      </patternFill>
    </fill>
    <fill>
      <patternFill patternType="solid">
        <fgColor rgb="FFFDF1F0"/>
        <bgColor rgb="FFFDF1F0"/>
      </patternFill>
    </fill>
    <fill>
      <patternFill patternType="solid">
        <fgColor rgb="FFFDF3F2"/>
        <bgColor rgb="FFFDF3F2"/>
      </patternFill>
    </fill>
    <fill>
      <patternFill patternType="solid">
        <fgColor rgb="FFFCEFEE"/>
        <bgColor rgb="FFFCEFEE"/>
      </patternFill>
    </fill>
    <fill>
      <patternFill patternType="solid">
        <fgColor rgb="FFFDF2F1"/>
        <bgColor rgb="FFFDF2F1"/>
      </patternFill>
    </fill>
    <fill>
      <patternFill patternType="solid">
        <fgColor rgb="FFFFFDFC"/>
        <bgColor rgb="FFFFFDFC"/>
      </patternFill>
    </fill>
    <fill>
      <patternFill patternType="solid">
        <fgColor rgb="FFFDFEFE"/>
        <bgColor rgb="FFFDFEFE"/>
      </patternFill>
    </fill>
    <fill>
      <patternFill patternType="solid">
        <fgColor rgb="FFCFEBDD"/>
        <bgColor rgb="FFCFEBDD"/>
      </patternFill>
    </fill>
    <fill>
      <patternFill patternType="solid">
        <fgColor rgb="FFEFF8F4"/>
        <bgColor rgb="FFEFF8F4"/>
      </patternFill>
    </fill>
    <fill>
      <patternFill patternType="solid">
        <fgColor rgb="FFF6FBF9"/>
        <bgColor rgb="FFF6FBF9"/>
      </patternFill>
    </fill>
    <fill>
      <patternFill patternType="solid">
        <fgColor rgb="FFFDF4F3"/>
        <bgColor rgb="FFFDF4F3"/>
      </patternFill>
    </fill>
    <fill>
      <patternFill patternType="solid">
        <fgColor rgb="FFDEF2E8"/>
        <bgColor rgb="FFDEF2E8"/>
      </patternFill>
    </fill>
    <fill>
      <patternFill patternType="solid">
        <fgColor rgb="FFF8D7D4"/>
        <bgColor rgb="FFF8D7D4"/>
      </patternFill>
    </fill>
    <fill>
      <patternFill patternType="solid">
        <fgColor rgb="FFFDF4F4"/>
        <bgColor rgb="FFFDF4F4"/>
      </patternFill>
    </fill>
    <fill>
      <patternFill patternType="solid">
        <fgColor rgb="FFF0ACA6"/>
        <bgColor rgb="FFF0ACA6"/>
      </patternFill>
    </fill>
    <fill>
      <patternFill patternType="solid">
        <fgColor rgb="FFF8FCFA"/>
        <bgColor rgb="FFF8FCFA"/>
      </patternFill>
    </fill>
    <fill>
      <patternFill patternType="solid">
        <fgColor rgb="FFFEF9F9"/>
        <bgColor rgb="FFFEF9F9"/>
      </patternFill>
    </fill>
    <fill>
      <patternFill patternType="solid">
        <fgColor rgb="FFF3BFBA"/>
        <bgColor rgb="FFF3BFBA"/>
      </patternFill>
    </fill>
    <fill>
      <patternFill patternType="solid">
        <fgColor rgb="FFF5C6C2"/>
        <bgColor rgb="FFF5C6C2"/>
      </patternFill>
    </fill>
    <fill>
      <patternFill patternType="solid">
        <fgColor rgb="FFEB958E"/>
        <bgColor rgb="FFEB958E"/>
      </patternFill>
    </fill>
    <fill>
      <patternFill patternType="solid">
        <fgColor rgb="FFFDF0EF"/>
        <bgColor rgb="FFFDF0EF"/>
      </patternFill>
    </fill>
    <fill>
      <patternFill patternType="solid">
        <fgColor rgb="FFF9E0DD"/>
        <bgColor rgb="FFF9E0DD"/>
      </patternFill>
    </fill>
    <fill>
      <patternFill patternType="solid">
        <fgColor rgb="FFFBE6E5"/>
        <bgColor rgb="FFFBE6E5"/>
      </patternFill>
    </fill>
    <fill>
      <patternFill patternType="solid">
        <fgColor rgb="FFFAE4E2"/>
        <bgColor rgb="FFFAE4E2"/>
      </patternFill>
    </fill>
    <fill>
      <patternFill patternType="solid">
        <fgColor rgb="FFFAE1DF"/>
        <bgColor rgb="FFFAE1DF"/>
      </patternFill>
    </fill>
    <fill>
      <patternFill patternType="solid">
        <fgColor rgb="FFFEF7F6"/>
        <bgColor rgb="FFFEF7F6"/>
      </patternFill>
    </fill>
    <fill>
      <patternFill patternType="solid">
        <fgColor rgb="FFFCEEED"/>
        <bgColor rgb="FFFCEEED"/>
      </patternFill>
    </fill>
    <fill>
      <patternFill patternType="solid">
        <fgColor rgb="FFEAF6F0"/>
        <bgColor rgb="FFEAF6F0"/>
      </patternFill>
    </fill>
    <fill>
      <patternFill patternType="solid">
        <fgColor rgb="FFFDF1F1"/>
        <bgColor rgb="FFFDF1F1"/>
      </patternFill>
    </fill>
    <fill>
      <patternFill patternType="solid">
        <fgColor rgb="FFA4DABF"/>
        <bgColor rgb="FFA4DABF"/>
      </patternFill>
    </fill>
    <fill>
      <patternFill patternType="solid">
        <fgColor rgb="FF9FD8BC"/>
        <bgColor rgb="FF9FD8BC"/>
      </patternFill>
    </fill>
    <fill>
      <patternFill patternType="solid">
        <fgColor rgb="FFA1D9BE"/>
        <bgColor rgb="FFA1D9BE"/>
      </patternFill>
    </fill>
    <fill>
      <patternFill patternType="solid">
        <fgColor rgb="FFAEDEC6"/>
        <bgColor rgb="FFAEDEC6"/>
      </patternFill>
    </fill>
    <fill>
      <patternFill patternType="solid">
        <fgColor rgb="FFE3F3EB"/>
        <bgColor rgb="FFE3F3EB"/>
      </patternFill>
    </fill>
    <fill>
      <patternFill patternType="solid">
        <fgColor rgb="FFDFF2E8"/>
        <bgColor rgb="FFDFF2E8"/>
      </patternFill>
    </fill>
    <fill>
      <patternFill patternType="solid">
        <fgColor rgb="FFD7EFE3"/>
        <bgColor rgb="FFD7EFE3"/>
      </patternFill>
    </fill>
    <fill>
      <patternFill patternType="solid">
        <fgColor rgb="FFE8F5EF"/>
        <bgColor rgb="FFE8F5EF"/>
      </patternFill>
    </fill>
    <fill>
      <patternFill patternType="solid">
        <fgColor rgb="FFDCF0E6"/>
        <bgColor rgb="FFDCF0E6"/>
      </patternFill>
    </fill>
    <fill>
      <patternFill patternType="solid">
        <fgColor rgb="FFE0F2E9"/>
        <bgColor rgb="FFE0F2E9"/>
      </patternFill>
    </fill>
    <fill>
      <patternFill patternType="solid">
        <fgColor rgb="FFF5FAF8"/>
        <bgColor rgb="FFF5FAF8"/>
      </patternFill>
    </fill>
    <fill>
      <patternFill patternType="solid">
        <fgColor rgb="FFD6EEE2"/>
        <bgColor rgb="FFD6EEE2"/>
      </patternFill>
    </fill>
    <fill>
      <patternFill patternType="solid">
        <fgColor rgb="FFCFEBDE"/>
        <bgColor rgb="FFCFEBDE"/>
      </patternFill>
    </fill>
    <fill>
      <patternFill patternType="solid">
        <fgColor rgb="FFFEF6F5"/>
        <bgColor rgb="FFFEF6F5"/>
      </patternFill>
    </fill>
    <fill>
      <patternFill patternType="solid">
        <fgColor rgb="FFC3E7D5"/>
        <bgColor rgb="FFC3E7D5"/>
      </patternFill>
    </fill>
    <fill>
      <patternFill patternType="solid">
        <fgColor rgb="FFBEE5D2"/>
        <bgColor rgb="FFBEE5D2"/>
      </patternFill>
    </fill>
    <fill>
      <patternFill patternType="solid">
        <fgColor rgb="FFCBEADB"/>
        <bgColor rgb="FFCBEADB"/>
      </patternFill>
    </fill>
    <fill>
      <patternFill patternType="solid">
        <fgColor rgb="FFFEF8F7"/>
        <bgColor rgb="FFFEF8F7"/>
      </patternFill>
    </fill>
    <fill>
      <patternFill patternType="solid">
        <fgColor rgb="FFDAF0E5"/>
        <bgColor rgb="FFDAF0E5"/>
      </patternFill>
    </fill>
    <fill>
      <patternFill patternType="solid">
        <fgColor rgb="FFE6F4ED"/>
        <bgColor rgb="FFE6F4ED"/>
      </patternFill>
    </fill>
    <fill>
      <patternFill patternType="solid">
        <fgColor rgb="FFF7D2CF"/>
        <bgColor rgb="FFF7D2CF"/>
      </patternFill>
    </fill>
    <fill>
      <patternFill patternType="solid">
        <fgColor rgb="FFFCEDEB"/>
        <bgColor rgb="FFFCEDEB"/>
      </patternFill>
    </fill>
    <fill>
      <patternFill patternType="solid">
        <fgColor rgb="FFF2B6B1"/>
        <bgColor rgb="FFF2B6B1"/>
      </patternFill>
    </fill>
    <fill>
      <patternFill patternType="solid">
        <fgColor rgb="FFF3BCB7"/>
        <bgColor rgb="FFF3BCB7"/>
      </patternFill>
    </fill>
    <fill>
      <patternFill patternType="solid">
        <fgColor rgb="FFFDFEFD"/>
        <bgColor rgb="FFFDFEFD"/>
      </patternFill>
    </fill>
    <fill>
      <patternFill patternType="solid">
        <fgColor rgb="FFE5F4ED"/>
        <bgColor rgb="FFE5F4ED"/>
      </patternFill>
    </fill>
    <fill>
      <patternFill patternType="solid">
        <fgColor rgb="FFDFF2E9"/>
        <bgColor rgb="FFDFF2E9"/>
      </patternFill>
    </fill>
    <fill>
      <patternFill patternType="solid">
        <fgColor rgb="FF9ED7BB"/>
        <bgColor rgb="FF9ED7BB"/>
      </patternFill>
    </fill>
    <fill>
      <patternFill patternType="solid">
        <fgColor rgb="FFEEF8F3"/>
        <bgColor rgb="FFEEF8F3"/>
      </patternFill>
    </fill>
    <fill>
      <patternFill patternType="solid">
        <fgColor rgb="FFC1E6D4"/>
        <bgColor rgb="FFC1E6D4"/>
      </patternFill>
    </fill>
    <fill>
      <patternFill patternType="solid">
        <fgColor rgb="FFF7FBF9"/>
        <bgColor rgb="FFF7FBF9"/>
      </patternFill>
    </fill>
    <fill>
      <patternFill patternType="solid">
        <fgColor rgb="FFFAE2E0"/>
        <bgColor rgb="FFFAE2E0"/>
      </patternFill>
    </fill>
    <fill>
      <patternFill patternType="solid">
        <fgColor rgb="FFFAFDFB"/>
        <bgColor rgb="FFFAFDFB"/>
      </patternFill>
    </fill>
    <fill>
      <patternFill patternType="solid">
        <fgColor rgb="FFDBF0E6"/>
        <bgColor rgb="FFDBF0E6"/>
      </patternFill>
    </fill>
    <fill>
      <patternFill patternType="solid">
        <fgColor rgb="FFF7D3CF"/>
        <bgColor rgb="FFF7D3CF"/>
      </patternFill>
    </fill>
    <fill>
      <patternFill patternType="solid">
        <fgColor rgb="FFF4C5C1"/>
        <bgColor rgb="FFF4C5C1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DF5F4"/>
        <bgColor rgb="FFFDF5F4"/>
      </patternFill>
    </fill>
    <fill>
      <patternFill patternType="solid">
        <fgColor rgb="FFFCFEFD"/>
        <bgColor rgb="FFFCFEFD"/>
      </patternFill>
    </fill>
    <fill>
      <patternFill patternType="solid">
        <fgColor rgb="FF9AD6B8"/>
        <bgColor rgb="FF9AD6B8"/>
      </patternFill>
    </fill>
    <fill>
      <patternFill patternType="solid">
        <fgColor rgb="FF67C195"/>
        <bgColor rgb="FF67C195"/>
      </patternFill>
    </fill>
    <fill>
      <patternFill patternType="solid">
        <fgColor rgb="FFCEEBDD"/>
        <bgColor rgb="FFCEEBDD"/>
      </patternFill>
    </fill>
    <fill>
      <patternFill patternType="solid">
        <fgColor rgb="FFF7D3D0"/>
        <bgColor rgb="FFF7D3D0"/>
      </patternFill>
    </fill>
    <fill>
      <patternFill patternType="solid">
        <fgColor rgb="FF7BC9A3"/>
        <bgColor rgb="FF7BC9A3"/>
      </patternFill>
    </fill>
    <fill>
      <patternFill patternType="solid">
        <fgColor rgb="FFF7D1CE"/>
        <bgColor rgb="FFF7D1CE"/>
      </patternFill>
    </fill>
    <fill>
      <patternFill patternType="solid">
        <fgColor rgb="FFF4C2BE"/>
        <bgColor rgb="FFF4C2BE"/>
      </patternFill>
    </fill>
    <fill>
      <patternFill patternType="solid">
        <fgColor rgb="FFFEF7F7"/>
        <bgColor rgb="FFFEF7F7"/>
      </patternFill>
    </fill>
    <fill>
      <patternFill patternType="solid">
        <fgColor rgb="FFF7D4D1"/>
        <bgColor rgb="FFF7D4D1"/>
      </patternFill>
    </fill>
    <fill>
      <patternFill patternType="solid">
        <fgColor rgb="FFA0D8BD"/>
        <bgColor rgb="FFA0D8BD"/>
      </patternFill>
    </fill>
    <fill>
      <patternFill patternType="solid">
        <fgColor rgb="FFFBEAE9"/>
        <bgColor rgb="FFFBEAE9"/>
      </patternFill>
    </fill>
    <fill>
      <patternFill patternType="solid">
        <fgColor rgb="FFE77E75"/>
        <bgColor rgb="FFE77E75"/>
      </patternFill>
    </fill>
    <fill>
      <patternFill patternType="solid">
        <fgColor rgb="FFF9DEDB"/>
        <bgColor rgb="FFF9DEDB"/>
      </patternFill>
    </fill>
    <fill>
      <patternFill patternType="solid">
        <fgColor rgb="FFFFFAFA"/>
        <bgColor rgb="FFFFFAFA"/>
      </patternFill>
    </fill>
    <fill>
      <patternFill patternType="solid">
        <fgColor rgb="FFED9E97"/>
        <bgColor rgb="FFED9E97"/>
      </patternFill>
    </fill>
    <fill>
      <patternFill patternType="solid">
        <fgColor rgb="FFFCECEB"/>
        <bgColor rgb="FFFCECEB"/>
      </patternFill>
    </fill>
    <fill>
      <patternFill patternType="solid">
        <fgColor rgb="FFFCEDEC"/>
        <bgColor rgb="FFFCEDEC"/>
      </patternFill>
    </fill>
    <fill>
      <patternFill patternType="solid">
        <fgColor rgb="FFF8DBD8"/>
        <bgColor rgb="FFF8DBD8"/>
      </patternFill>
    </fill>
    <fill>
      <patternFill patternType="solid">
        <fgColor rgb="FFFCEFED"/>
        <bgColor rgb="FFFCEFED"/>
      </patternFill>
    </fill>
    <fill>
      <patternFill patternType="solid">
        <fgColor rgb="FFF1B5B0"/>
        <bgColor rgb="FFF1B5B0"/>
      </patternFill>
    </fill>
    <fill>
      <patternFill patternType="solid">
        <fgColor rgb="FFBDE4D1"/>
        <bgColor rgb="FFBDE4D1"/>
      </patternFill>
    </fill>
    <fill>
      <patternFill patternType="solid">
        <fgColor rgb="FFE1F2EA"/>
        <bgColor rgb="FFE1F2EA"/>
      </patternFill>
    </fill>
    <fill>
      <patternFill patternType="solid">
        <fgColor rgb="FFF1F9F5"/>
        <bgColor rgb="FFF1F9F5"/>
      </patternFill>
    </fill>
    <fill>
      <patternFill patternType="solid">
        <fgColor rgb="FFFAE3E1"/>
        <bgColor rgb="FFFAE3E1"/>
      </patternFill>
    </fill>
    <fill>
      <patternFill patternType="solid">
        <fgColor rgb="FFF5C9C5"/>
        <bgColor rgb="FFF5C9C5"/>
      </patternFill>
    </fill>
    <fill>
      <patternFill patternType="solid">
        <fgColor rgb="FF6FC59B"/>
        <bgColor rgb="FF6FC59B"/>
      </patternFill>
    </fill>
    <fill>
      <patternFill patternType="solid">
        <fgColor rgb="FFF7D5D2"/>
        <bgColor rgb="FFF7D5D2"/>
      </patternFill>
    </fill>
    <fill>
      <patternFill patternType="solid">
        <fgColor rgb="FF5CBD8D"/>
        <bgColor rgb="FF5CBD8D"/>
      </patternFill>
    </fill>
    <fill>
      <patternFill patternType="solid">
        <fgColor rgb="FFFCFDFD"/>
        <bgColor rgb="FFFCFDFD"/>
      </patternFill>
    </fill>
    <fill>
      <patternFill patternType="solid">
        <fgColor rgb="FFB3E0CA"/>
        <bgColor rgb="FFB3E0CA"/>
      </patternFill>
    </fill>
    <fill>
      <patternFill patternType="solid">
        <fgColor rgb="FFC1E5D3"/>
        <bgColor rgb="FFC1E5D3"/>
      </patternFill>
    </fill>
    <fill>
      <patternFill patternType="solid">
        <fgColor rgb="FFF8D8D5"/>
        <bgColor rgb="FFF8D8D5"/>
      </patternFill>
    </fill>
    <fill>
      <patternFill patternType="solid">
        <fgColor rgb="FFC4E7D6"/>
        <bgColor rgb="FFC4E7D6"/>
      </patternFill>
    </fill>
    <fill>
      <patternFill patternType="solid">
        <fgColor rgb="FFABDDC5"/>
        <bgColor rgb="FFABDDC5"/>
      </patternFill>
    </fill>
    <fill>
      <patternFill patternType="solid">
        <fgColor rgb="FFFCF0EF"/>
        <bgColor rgb="FFFCF0EF"/>
      </patternFill>
    </fill>
    <fill>
      <patternFill patternType="solid">
        <fgColor rgb="FFDEF1E8"/>
        <bgColor rgb="FFDEF1E8"/>
      </patternFill>
    </fill>
    <fill>
      <patternFill patternType="solid">
        <fgColor rgb="FFA5DAC0"/>
        <bgColor rgb="FFA5DAC0"/>
      </patternFill>
    </fill>
    <fill>
      <patternFill patternType="solid">
        <fgColor rgb="FFBCE3D0"/>
        <bgColor rgb="FFBCE3D0"/>
      </patternFill>
    </fill>
    <fill>
      <patternFill patternType="solid">
        <fgColor rgb="FF63C092"/>
        <bgColor rgb="FF63C092"/>
      </patternFill>
    </fill>
    <fill>
      <patternFill patternType="solid">
        <fgColor rgb="FF7FCBA5"/>
        <bgColor rgb="FF7FCBA5"/>
      </patternFill>
    </fill>
    <fill>
      <patternFill patternType="solid">
        <fgColor rgb="FF3C78D8"/>
        <bgColor rgb="FF3C78D8"/>
      </patternFill>
    </fill>
    <fill>
      <patternFill patternType="solid">
        <fgColor rgb="FFF4C2BD"/>
        <bgColor rgb="FFF4C2BD"/>
      </patternFill>
    </fill>
  </fills>
  <borders count="11">
    <border/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666666"/>
      </right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2" numFmtId="0" xfId="0" applyBorder="1" applyFont="1"/>
    <xf borderId="0" fillId="2" fontId="1" numFmtId="0" xfId="0" applyAlignment="1" applyFill="1" applyFont="1">
      <alignment horizontal="left" shrinkToFit="0" vertical="bottom" wrapText="1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3" fontId="3" numFmtId="0" xfId="0" applyAlignment="1" applyBorder="1" applyFill="1" applyFont="1">
      <alignment vertical="bottom"/>
    </xf>
    <xf borderId="3" fillId="0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5" fontId="3" numFmtId="0" xfId="0" applyAlignment="1" applyFill="1" applyFont="1">
      <alignment vertical="bottom"/>
    </xf>
    <xf borderId="2" fillId="4" fontId="3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4" fillId="4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4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4" fillId="4" fontId="3" numFmtId="164" xfId="0" applyAlignment="1" applyBorder="1" applyFont="1" applyNumberFormat="1">
      <alignment vertical="bottom"/>
    </xf>
    <xf borderId="3" fillId="6" fontId="3" numFmtId="0" xfId="0" applyAlignment="1" applyBorder="1" applyFill="1" applyFont="1">
      <alignment vertical="bottom"/>
    </xf>
    <xf borderId="3" fillId="7" fontId="3" numFmtId="0" xfId="0" applyAlignment="1" applyBorder="1" applyFill="1" applyFont="1">
      <alignment vertical="bottom"/>
    </xf>
    <xf borderId="3" fillId="8" fontId="3" numFmtId="0" xfId="0" applyAlignment="1" applyBorder="1" applyFill="1" applyFont="1">
      <alignment vertical="bottom"/>
    </xf>
    <xf borderId="0" fillId="5" fontId="3" numFmtId="164" xfId="0" applyAlignment="1" applyFont="1" applyNumberFormat="1">
      <alignment vertical="bottom"/>
    </xf>
    <xf borderId="0" fillId="8" fontId="3" numFmtId="0" xfId="0" applyAlignment="1" applyFont="1">
      <alignment vertical="bottom"/>
    </xf>
    <xf borderId="3" fillId="7" fontId="3" numFmtId="164" xfId="0" applyAlignment="1" applyBorder="1" applyFont="1" applyNumberFormat="1">
      <alignment vertical="bottom"/>
    </xf>
    <xf borderId="0" fillId="6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8" fontId="3" numFmtId="164" xfId="0" applyAlignment="1" applyFont="1" applyNumberFormat="1">
      <alignment vertical="bottom"/>
    </xf>
    <xf borderId="0" fillId="6" fontId="3" numFmtId="164" xfId="0" applyAlignment="1" applyFont="1" applyNumberFormat="1">
      <alignment vertical="bottom"/>
    </xf>
    <xf borderId="0" fillId="7" fontId="3" numFmtId="164" xfId="0" applyAlignment="1" applyFont="1" applyNumberFormat="1">
      <alignment vertical="bottom"/>
    </xf>
    <xf borderId="7" fillId="3" fontId="1" numFmtId="0" xfId="0" applyAlignment="1" applyBorder="1" applyFont="1">
      <alignment vertical="bottom"/>
    </xf>
    <xf borderId="7" fillId="6" fontId="1" numFmtId="0" xfId="0" applyAlignment="1" applyBorder="1" applyFont="1">
      <alignment vertical="bottom"/>
    </xf>
    <xf borderId="7" fillId="7" fontId="1" numFmtId="0" xfId="0" applyAlignment="1" applyBorder="1" applyFont="1">
      <alignment vertical="bottom"/>
    </xf>
    <xf borderId="0" fillId="0" fontId="1" numFmtId="0" xfId="0" applyAlignment="1" applyFont="1">
      <alignment horizontal="left" vertical="bottom"/>
    </xf>
    <xf borderId="0" fillId="9" fontId="4" numFmtId="0" xfId="0" applyAlignment="1" applyFill="1" applyFont="1">
      <alignment horizontal="center"/>
    </xf>
    <xf borderId="0" fillId="10" fontId="4" numFmtId="0" xfId="0" applyAlignment="1" applyFill="1" applyFont="1">
      <alignment horizontal="center"/>
    </xf>
    <xf borderId="0" fillId="11" fontId="4" numFmtId="0" xfId="0" applyAlignment="1" applyFill="1" applyFont="1">
      <alignment horizontal="center"/>
    </xf>
    <xf borderId="0" fillId="12" fontId="4" numFmtId="0" xfId="0" applyAlignment="1" applyFill="1" applyFont="1">
      <alignment horizontal="center"/>
    </xf>
    <xf borderId="0" fillId="0" fontId="5" numFmtId="0" xfId="0" applyFont="1"/>
    <xf borderId="0" fillId="6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4" fillId="0" fontId="5" numFmtId="0" xfId="0" applyBorder="1" applyFont="1"/>
    <xf borderId="4" fillId="0" fontId="2" numFmtId="0" xfId="0" applyBorder="1" applyFont="1"/>
    <xf borderId="0" fillId="10" fontId="4" numFmtId="0" xfId="0" applyFont="1"/>
    <xf borderId="0" fillId="3" fontId="4" numFmtId="0" xfId="0" applyFont="1"/>
    <xf borderId="0" fillId="12" fontId="4" numFmtId="0" xfId="0" applyFont="1"/>
    <xf borderId="0" fillId="6" fontId="4" numFmtId="0" xfId="0" applyFont="1"/>
    <xf borderId="0" fillId="9" fontId="4" numFmtId="0" xfId="0" applyFont="1"/>
    <xf borderId="0" fillId="5" fontId="4" numFmtId="0" xfId="0" applyFont="1"/>
    <xf borderId="0" fillId="0" fontId="3" numFmtId="0" xfId="0" applyAlignment="1" applyFont="1">
      <alignment shrinkToFit="0" vertical="bottom" wrapText="1"/>
    </xf>
    <xf borderId="4" fillId="0" fontId="4" numFmtId="0" xfId="0" applyBorder="1" applyFont="1"/>
    <xf borderId="4" fillId="10" fontId="6" numFmtId="0" xfId="0" applyBorder="1" applyFont="1"/>
    <xf borderId="4" fillId="10" fontId="6" numFmtId="165" xfId="0" applyBorder="1" applyFont="1" applyNumberFormat="1"/>
    <xf borderId="4" fillId="3" fontId="6" numFmtId="166" xfId="0" applyBorder="1" applyFont="1" applyNumberFormat="1"/>
    <xf borderId="4" fillId="12" fontId="6" numFmtId="165" xfId="0" applyBorder="1" applyFont="1" applyNumberFormat="1"/>
    <xf borderId="4" fillId="6" fontId="6" numFmtId="166" xfId="0" applyBorder="1" applyFont="1" applyNumberFormat="1"/>
    <xf borderId="4" fillId="9" fontId="6" numFmtId="166" xfId="0" applyBorder="1" applyFont="1" applyNumberFormat="1"/>
    <xf borderId="0" fillId="4" fontId="6" numFmtId="0" xfId="0" applyFont="1"/>
    <xf borderId="3" fillId="4" fontId="6" numFmtId="0" xfId="0" applyBorder="1" applyFont="1"/>
    <xf borderId="0" fillId="5" fontId="7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5" fontId="7" numFmtId="167" xfId="0" applyAlignment="1" applyFont="1" applyNumberFormat="1">
      <alignment horizontal="center" shrinkToFit="0" vertical="center" wrapText="1"/>
    </xf>
    <xf borderId="0" fillId="5" fontId="1" numFmtId="167" xfId="0" applyAlignment="1" applyFont="1" applyNumberFormat="1">
      <alignment horizontal="center" shrinkToFit="0" vertical="center" wrapText="1"/>
    </xf>
    <xf borderId="0" fillId="5" fontId="9" numFmtId="168" xfId="0" applyAlignment="1" applyFont="1" applyNumberFormat="1">
      <alignment horizontal="center" shrinkToFit="0" vertical="center" wrapText="1"/>
    </xf>
    <xf borderId="0" fillId="5" fontId="9" numFmtId="9" xfId="0" applyAlignment="1" applyFont="1" applyNumberForma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5" fontId="10" numFmtId="167" xfId="0" applyAlignment="1" applyBorder="1" applyFont="1" applyNumberForma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10" numFmtId="169" xfId="0" applyAlignment="1" applyBorder="1" applyFont="1" applyNumberFormat="1">
      <alignment horizontal="center" shrinkToFit="0" vertical="center" wrapText="1"/>
    </xf>
    <xf borderId="4" fillId="5" fontId="10" numFmtId="168" xfId="0" applyAlignment="1" applyBorder="1" applyFont="1" applyNumberFormat="1">
      <alignment horizontal="center" shrinkToFit="0" vertical="center" wrapText="1"/>
    </xf>
    <xf borderId="4" fillId="5" fontId="10" numFmtId="168" xfId="0" applyAlignment="1" applyBorder="1" applyFont="1" applyNumberFormat="1">
      <alignment horizontal="left" shrinkToFit="0" vertical="center" wrapText="1"/>
    </xf>
    <xf borderId="4" fillId="5" fontId="10" numFmtId="9" xfId="0" applyAlignment="1" applyBorder="1" applyFont="1" applyNumberFormat="1">
      <alignment horizontal="center" shrinkToFit="0" vertical="center" wrapText="1"/>
    </xf>
    <xf borderId="4" fillId="5" fontId="10" numFmtId="3" xfId="0" applyAlignment="1" applyBorder="1" applyFont="1" applyNumberFormat="1">
      <alignment horizontal="left" shrinkToFit="0" vertical="center" wrapText="1"/>
    </xf>
    <xf borderId="4" fillId="12" fontId="10" numFmtId="0" xfId="0" applyAlignment="1" applyBorder="1" applyFont="1">
      <alignment horizontal="center" shrinkToFit="0" vertical="center" wrapText="1"/>
    </xf>
    <xf borderId="0" fillId="12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left" shrinkToFit="0" vertical="center" wrapText="1"/>
    </xf>
    <xf borderId="0" fillId="5" fontId="10" numFmtId="0" xfId="0" applyAlignment="1" applyFont="1">
      <alignment horizontal="left" shrinkToFit="0" vertical="center" wrapText="1"/>
    </xf>
    <xf borderId="0" fillId="5" fontId="7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center"/>
    </xf>
    <xf borderId="0" fillId="5" fontId="10" numFmtId="169" xfId="0" applyAlignment="1" applyFont="1" applyNumberFormat="1">
      <alignment horizontal="center" shrinkToFit="0" vertical="center" wrapText="1"/>
    </xf>
    <xf borderId="0" fillId="5" fontId="10" numFmtId="168" xfId="0" applyAlignment="1" applyFont="1" applyNumberFormat="1">
      <alignment horizontal="center" shrinkToFit="0" vertical="center" wrapText="1"/>
    </xf>
    <xf borderId="0" fillId="5" fontId="7" numFmtId="168" xfId="0" applyAlignment="1" applyFont="1" applyNumberFormat="1">
      <alignment horizontal="center" shrinkToFit="0" vertical="center" wrapText="1"/>
    </xf>
    <xf borderId="0" fillId="5" fontId="11" numFmtId="168" xfId="0" applyAlignment="1" applyFont="1" applyNumberFormat="1">
      <alignment horizontal="center" shrinkToFit="0" vertical="center" wrapText="1"/>
    </xf>
    <xf borderId="0" fillId="5" fontId="11" numFmtId="9" xfId="0" applyAlignment="1" applyFont="1" applyNumberFormat="1">
      <alignment horizontal="center" shrinkToFit="0" vertical="center" wrapText="1"/>
    </xf>
    <xf borderId="0" fillId="5" fontId="11" numFmtId="3" xfId="0" applyAlignment="1" applyFont="1" applyNumberForma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4" fillId="5" fontId="11" numFmtId="168" xfId="0" applyAlignment="1" applyBorder="1" applyFont="1" applyNumberFormat="1">
      <alignment horizontal="center" shrinkToFit="0" vertical="center" wrapText="1"/>
    </xf>
    <xf borderId="4" fillId="5" fontId="11" numFmtId="9" xfId="0" applyAlignment="1" applyBorder="1" applyFont="1" applyNumberFormat="1">
      <alignment horizontal="center" shrinkToFit="0" vertical="center" wrapText="1"/>
    </xf>
    <xf borderId="4" fillId="5" fontId="11" numFmtId="3" xfId="0" applyAlignment="1" applyBorder="1" applyFont="1" applyNumberFormat="1">
      <alignment horizontal="center" shrinkToFit="0" vertical="center" wrapText="1"/>
    </xf>
    <xf borderId="0" fillId="6" fontId="10" numFmtId="0" xfId="0" applyAlignment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left" shrinkToFit="0" vertical="center" wrapText="1"/>
    </xf>
    <xf borderId="0" fillId="5" fontId="7" numFmtId="0" xfId="0" applyAlignment="1" applyFont="1">
      <alignment shrinkToFit="0" vertical="center" wrapText="1"/>
    </xf>
    <xf borderId="0" fillId="3" fontId="10" numFmtId="0" xfId="0" applyAlignment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vertical="center"/>
    </xf>
    <xf borderId="0" fillId="5" fontId="11" numFmtId="0" xfId="0" applyAlignment="1" applyFont="1">
      <alignment vertical="center"/>
    </xf>
    <xf borderId="4" fillId="5" fontId="7" numFmtId="168" xfId="0" applyAlignment="1" applyBorder="1" applyFont="1" applyNumberFormat="1">
      <alignment horizontal="center" shrinkToFit="0" vertical="center" wrapText="1"/>
    </xf>
    <xf borderId="0" fillId="5" fontId="13" numFmtId="0" xfId="0" applyAlignment="1" applyFont="1">
      <alignment shrinkToFit="0" vertical="center" wrapText="1"/>
    </xf>
    <xf borderId="0" fillId="5" fontId="12" numFmtId="0" xfId="0" applyAlignment="1" applyFont="1">
      <alignment shrinkToFit="0" vertical="center" wrapText="1"/>
    </xf>
    <xf borderId="0" fillId="5" fontId="14" numFmtId="9" xfId="0" applyAlignment="1" applyFont="1" applyNumberFormat="1">
      <alignment horizontal="center" shrinkToFit="0" wrapText="1"/>
    </xf>
    <xf borderId="0" fillId="5" fontId="14" numFmtId="9" xfId="0" applyAlignment="1" applyFont="1" applyNumberFormat="1">
      <alignment horizontal="center" shrinkToFit="0" vertical="center" wrapText="1"/>
    </xf>
    <xf borderId="4" fillId="5" fontId="14" numFmtId="9" xfId="0" applyAlignment="1" applyBorder="1" applyFont="1" applyNumberFormat="1">
      <alignment horizontal="center" shrinkToFit="0" wrapText="1"/>
    </xf>
    <xf borderId="0" fillId="5" fontId="3" numFmtId="0" xfId="0" applyAlignment="1" applyFont="1">
      <alignment horizontal="left" shrinkToFit="0" vertical="center" wrapText="1"/>
    </xf>
    <xf borderId="0" fillId="5" fontId="1" numFmtId="0" xfId="0" applyAlignment="1" applyFont="1">
      <alignment horizontal="left" shrinkToFit="0" vertical="center" wrapText="1"/>
    </xf>
    <xf borderId="0" fillId="5" fontId="13" numFmtId="0" xfId="0" applyAlignment="1" applyFont="1">
      <alignment horizontal="left" shrinkToFit="0" vertical="center" wrapText="1"/>
    </xf>
    <xf borderId="0" fillId="5" fontId="11" numFmtId="0" xfId="0" applyAlignment="1" applyFont="1">
      <alignment shrinkToFit="0" vertical="center" wrapText="1"/>
    </xf>
    <xf borderId="4" fillId="5" fontId="14" numFmtId="9" xfId="0" applyAlignment="1" applyBorder="1" applyFont="1" applyNumberFormat="1">
      <alignment horizontal="center" shrinkToFit="0" vertical="center" wrapText="1"/>
    </xf>
    <xf borderId="0" fillId="13" fontId="10" numFmtId="0" xfId="0" applyAlignment="1" applyFill="1" applyFont="1">
      <alignment horizontal="center" shrinkToFit="0" vertical="center" wrapText="1"/>
    </xf>
    <xf borderId="0" fillId="13" fontId="11" numFmtId="0" xfId="0" applyAlignment="1" applyFont="1">
      <alignment horizontal="center" shrinkToFit="0" vertical="center" wrapText="1"/>
    </xf>
    <xf borderId="0" fillId="13" fontId="10" numFmtId="0" xfId="0" applyAlignment="1" applyFont="1">
      <alignment horizontal="left" shrinkToFit="0" vertical="center" wrapText="1"/>
    </xf>
    <xf borderId="0" fillId="13" fontId="7" numFmtId="0" xfId="0" applyAlignment="1" applyFont="1">
      <alignment horizontal="left" shrinkToFit="0" vertical="center" wrapText="1"/>
    </xf>
    <xf borderId="0" fillId="13" fontId="7" numFmtId="0" xfId="0" applyAlignment="1" applyFont="1">
      <alignment horizontal="center" shrinkToFit="0" vertical="center" wrapText="1"/>
    </xf>
    <xf borderId="0" fillId="13" fontId="10" numFmtId="169" xfId="0" applyAlignment="1" applyFont="1" applyNumberFormat="1">
      <alignment horizontal="center" shrinkToFit="0" vertical="center" wrapText="1"/>
    </xf>
    <xf borderId="0" fillId="13" fontId="10" numFmtId="168" xfId="0" applyAlignment="1" applyFont="1" applyNumberFormat="1">
      <alignment horizontal="center" shrinkToFit="0" vertical="center" wrapText="1"/>
    </xf>
    <xf borderId="0" fillId="13" fontId="11" numFmtId="168" xfId="0" applyAlignment="1" applyFont="1" applyNumberFormat="1">
      <alignment horizontal="center" shrinkToFit="0" vertical="center" wrapText="1"/>
    </xf>
    <xf borderId="0" fillId="13" fontId="14" numFmtId="9" xfId="0" applyAlignment="1" applyFont="1" applyNumberFormat="1">
      <alignment horizontal="center" shrinkToFit="0" wrapText="1"/>
    </xf>
    <xf borderId="0" fillId="13" fontId="11" numFmtId="9" xfId="0" applyAlignment="1" applyFont="1" applyNumberFormat="1">
      <alignment horizontal="center" shrinkToFit="0" vertical="center" wrapText="1"/>
    </xf>
    <xf borderId="0" fillId="13" fontId="11" numFmtId="3" xfId="0" applyAlignment="1" applyFont="1" applyNumberFormat="1">
      <alignment horizontal="center" shrinkToFit="0" vertical="center" wrapText="1"/>
    </xf>
    <xf borderId="0" fillId="13" fontId="3" numFmtId="169" xfId="0" applyAlignment="1" applyFont="1" applyNumberFormat="1">
      <alignment horizontal="center" shrinkToFit="0" vertical="center" wrapText="1"/>
    </xf>
    <xf borderId="0" fillId="13" fontId="3" numFmtId="168" xfId="0" applyAlignment="1" applyFont="1" applyNumberFormat="1">
      <alignment horizontal="center" shrinkToFit="0" vertical="center" wrapText="1"/>
    </xf>
    <xf borderId="0" fillId="5" fontId="3" numFmtId="168" xfId="0" applyAlignment="1" applyFont="1" applyNumberFormat="1">
      <alignment horizontal="center" shrinkToFit="0" vertical="center" wrapText="1"/>
    </xf>
    <xf borderId="4" fillId="5" fontId="3" numFmtId="168" xfId="0" applyAlignment="1" applyBorder="1" applyFont="1" applyNumberFormat="1">
      <alignment horizontal="center" shrinkToFit="0" vertical="center" wrapText="1"/>
    </xf>
    <xf borderId="4" fillId="5" fontId="10" numFmtId="169" xfId="0" applyAlignment="1" applyBorder="1" applyFont="1" applyNumberFormat="1">
      <alignment horizontal="left" shrinkToFit="0" vertical="center" wrapText="1"/>
    </xf>
    <xf borderId="0" fillId="13" fontId="15" numFmtId="0" xfId="0" applyFont="1"/>
    <xf borderId="0" fillId="13" fontId="16" numFmtId="0" xfId="0" applyFont="1"/>
    <xf borderId="0" fillId="13" fontId="17" numFmtId="0" xfId="0" applyAlignment="1" applyFont="1">
      <alignment horizontal="center" shrinkToFit="0" wrapText="1"/>
    </xf>
    <xf borderId="0" fillId="13" fontId="17" numFmtId="169" xfId="0" applyAlignment="1" applyFont="1" applyNumberFormat="1">
      <alignment horizontal="center" shrinkToFit="0" vertical="center" wrapText="1"/>
    </xf>
    <xf borderId="0" fillId="13" fontId="17" numFmtId="168" xfId="0" applyAlignment="1" applyFont="1" applyNumberFormat="1">
      <alignment horizontal="center" shrinkToFit="0" wrapText="1"/>
    </xf>
    <xf borderId="0" fillId="13" fontId="14" numFmtId="168" xfId="0" applyAlignment="1" applyFont="1" applyNumberFormat="1">
      <alignment horizontal="center" shrinkToFit="0" wrapText="1"/>
    </xf>
    <xf borderId="0" fillId="13" fontId="14" numFmtId="3" xfId="0" applyAlignment="1" applyFont="1" applyNumberFormat="1">
      <alignment horizontal="center" shrinkToFit="0" wrapText="1"/>
    </xf>
    <xf borderId="4" fillId="5" fontId="17" numFmtId="0" xfId="0" applyAlignment="1" applyBorder="1" applyFont="1">
      <alignment horizontal="center" shrinkToFit="0" wrapText="1"/>
    </xf>
    <xf borderId="4" fillId="5" fontId="17" numFmtId="168" xfId="0" applyAlignment="1" applyBorder="1" applyFont="1" applyNumberFormat="1">
      <alignment horizontal="center" shrinkToFit="0" wrapText="1"/>
    </xf>
    <xf borderId="4" fillId="5" fontId="14" numFmtId="168" xfId="0" applyAlignment="1" applyBorder="1" applyFont="1" applyNumberFormat="1">
      <alignment horizontal="center" shrinkToFit="0" wrapText="1"/>
    </xf>
    <xf borderId="4" fillId="5" fontId="14" numFmtId="3" xfId="0" applyAlignment="1" applyBorder="1" applyFont="1" applyNumberFormat="1">
      <alignment horizontal="center" shrinkToFit="0" wrapText="1"/>
    </xf>
    <xf borderId="4" fillId="5" fontId="15" numFmtId="0" xfId="0" applyBorder="1" applyFont="1"/>
    <xf borderId="4" fillId="6" fontId="17" numFmtId="0" xfId="0" applyAlignment="1" applyBorder="1" applyFont="1">
      <alignment horizontal="center" shrinkToFit="0" wrapText="1"/>
    </xf>
    <xf borderId="0" fillId="6" fontId="17" numFmtId="0" xfId="0" applyAlignment="1" applyFont="1">
      <alignment horizontal="center" shrinkToFit="0" wrapText="1"/>
    </xf>
    <xf borderId="0" fillId="13" fontId="12" numFmtId="0" xfId="0" applyAlignment="1" applyFont="1">
      <alignment horizontal="center" shrinkToFit="0" vertical="center" wrapText="1"/>
    </xf>
    <xf borderId="0" fillId="13" fontId="18" numFmtId="9" xfId="0" applyAlignment="1" applyFont="1" applyNumberFormat="1">
      <alignment horizontal="center" shrinkToFit="0" vertical="bottom" wrapText="1"/>
    </xf>
    <xf borderId="0" fillId="5" fontId="18" numFmtId="9" xfId="0" applyAlignment="1" applyFont="1" applyNumberFormat="1">
      <alignment horizontal="center" shrinkToFit="0" vertical="bottom" wrapText="1"/>
    </xf>
    <xf borderId="4" fillId="5" fontId="18" numFmtId="9" xfId="0" applyAlignment="1" applyBorder="1" applyFont="1" applyNumberFormat="1">
      <alignment horizontal="center" shrinkToFit="0" vertical="bottom" wrapText="1"/>
    </xf>
    <xf borderId="0" fillId="5" fontId="18" numFmtId="9" xfId="0" applyAlignment="1" applyFont="1" applyNumberFormat="1">
      <alignment horizontal="center" shrinkToFit="0" vertical="center" wrapText="1"/>
    </xf>
    <xf borderId="0" fillId="5" fontId="10" numFmtId="169" xfId="0" applyAlignment="1" applyFont="1" applyNumberFormat="1">
      <alignment horizontal="left" shrinkToFit="0" vertical="center" wrapText="1"/>
    </xf>
    <xf borderId="0" fillId="5" fontId="10" numFmtId="168" xfId="0" applyAlignment="1" applyFont="1" applyNumberFormat="1">
      <alignment horizontal="left" shrinkToFit="0" vertical="center" wrapText="1"/>
    </xf>
    <xf borderId="0" fillId="5" fontId="10" numFmtId="9" xfId="0" applyAlignment="1" applyFont="1" applyNumberFormat="1">
      <alignment horizontal="center" shrinkToFit="0" vertical="center" wrapText="1"/>
    </xf>
    <xf borderId="0" fillId="5" fontId="10" numFmtId="3" xfId="0" applyAlignment="1" applyFont="1" applyNumberFormat="1">
      <alignment horizontal="left" shrinkToFit="0" vertical="center" wrapText="1"/>
    </xf>
    <xf borderId="0" fillId="5" fontId="19" numFmtId="0" xfId="0" applyAlignment="1" applyFont="1">
      <alignment horizontal="center" vertical="bottom"/>
    </xf>
    <xf borderId="0" fillId="14" fontId="10" numFmtId="168" xfId="0" applyAlignment="1" applyFill="1" applyFont="1" applyNumberFormat="1">
      <alignment horizontal="center" shrinkToFit="0" vertical="center" wrapText="1"/>
    </xf>
    <xf borderId="0" fillId="5" fontId="11" numFmtId="170" xfId="0" applyAlignment="1" applyFont="1" applyNumberFormat="1">
      <alignment horizontal="center" shrinkToFit="0" vertical="center" wrapText="1"/>
    </xf>
    <xf borderId="0" fillId="5" fontId="19" numFmtId="0" xfId="0" applyAlignment="1" applyFont="1">
      <alignment horizontal="center" shrinkToFit="0" wrapText="1"/>
    </xf>
    <xf borderId="0" fillId="5" fontId="15" numFmtId="0" xfId="0" applyFont="1"/>
    <xf borderId="0" fillId="5" fontId="20" numFmtId="0" xfId="0" applyAlignment="1" applyFont="1">
      <alignment shrinkToFit="0" wrapText="1"/>
    </xf>
    <xf borderId="0" fillId="5" fontId="16" numFmtId="0" xfId="0" applyFont="1"/>
    <xf borderId="0" fillId="5" fontId="21" numFmtId="0" xfId="0" applyAlignment="1" applyFont="1">
      <alignment vertical="center"/>
    </xf>
    <xf borderId="0" fillId="5" fontId="17" numFmtId="169" xfId="0" applyAlignment="1" applyFont="1" applyNumberFormat="1">
      <alignment horizontal="center" shrinkToFit="0" vertical="center" wrapText="1"/>
    </xf>
    <xf borderId="0" fillId="5" fontId="17" numFmtId="168" xfId="0" applyAlignment="1" applyFont="1" applyNumberFormat="1">
      <alignment horizontal="center" shrinkToFit="0" wrapText="1"/>
    </xf>
    <xf borderId="0" fillId="5" fontId="14" numFmtId="168" xfId="0" applyAlignment="1" applyFont="1" applyNumberFormat="1">
      <alignment horizontal="center" shrinkToFit="0" wrapText="1"/>
    </xf>
    <xf borderId="0" fillId="5" fontId="14" numFmtId="3" xfId="0" applyAlignment="1" applyFont="1" applyNumberFormat="1">
      <alignment horizontal="center" shrinkToFit="0" wrapText="1"/>
    </xf>
    <xf borderId="0" fillId="5" fontId="17" numFmtId="0" xfId="0" applyAlignment="1" applyFont="1">
      <alignment horizontal="center" shrinkToFit="0" wrapText="1"/>
    </xf>
    <xf borderId="0" fillId="3" fontId="17" numFmtId="0" xfId="0" applyAlignment="1" applyFont="1">
      <alignment horizontal="center" shrinkToFit="0" wrapText="1"/>
    </xf>
    <xf borderId="4" fillId="3" fontId="17" numFmtId="0" xfId="0" applyAlignment="1" applyBorder="1" applyFont="1">
      <alignment horizontal="center" shrinkToFit="0" wrapText="1"/>
    </xf>
    <xf borderId="0" fillId="5" fontId="17" numFmtId="168" xfId="0" applyAlignment="1" applyFont="1" applyNumberFormat="1">
      <alignment horizontal="center" shrinkToFit="0" vertical="center" wrapText="1"/>
    </xf>
    <xf borderId="4" fillId="5" fontId="14" numFmtId="168" xfId="0" applyAlignment="1" applyBorder="1" applyFont="1" applyNumberFormat="1">
      <alignment horizontal="center" shrinkToFit="0" vertical="center" wrapText="1"/>
    </xf>
    <xf borderId="4" fillId="5" fontId="14" numFmtId="3" xfId="0" applyAlignment="1" applyBorder="1" applyFont="1" applyNumberFormat="1">
      <alignment horizontal="center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0" fillId="5" fontId="17" numFmtId="0" xfId="0" applyAlignment="1" applyFont="1">
      <alignment horizontal="center" shrinkToFit="0" vertical="center" wrapText="1"/>
    </xf>
    <xf borderId="0" fillId="3" fontId="17" numFmtId="0" xfId="0" applyAlignment="1" applyFont="1">
      <alignment horizontal="center" shrinkToFit="0" vertical="center" wrapText="1"/>
    </xf>
    <xf borderId="0" fillId="5" fontId="10" numFmtId="0" xfId="0" applyAlignment="1" applyFont="1">
      <alignment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10" numFmtId="169" xfId="0" applyAlignment="1" applyBorder="1" applyFont="1" applyNumberFormat="1">
      <alignment horizontal="center" shrinkToFit="0" vertical="center" wrapText="1"/>
    </xf>
    <xf borderId="0" fillId="3" fontId="10" numFmtId="168" xfId="0" applyAlignment="1" applyFont="1" applyNumberFormat="1">
      <alignment horizontal="center" shrinkToFit="0" vertical="center" wrapText="1"/>
    </xf>
    <xf borderId="0" fillId="3" fontId="11" numFmtId="168" xfId="0" applyAlignment="1" applyFont="1" applyNumberFormat="1">
      <alignment horizontal="center" shrinkToFit="0" vertical="center" wrapText="1"/>
    </xf>
    <xf borderId="4" fillId="3" fontId="11" numFmtId="9" xfId="0" applyAlignment="1" applyBorder="1" applyFont="1" applyNumberFormat="1">
      <alignment horizontal="center" shrinkToFit="0" vertical="center" wrapText="1"/>
    </xf>
    <xf borderId="0" fillId="3" fontId="11" numFmtId="3" xfId="0" applyAlignment="1" applyFont="1" applyNumberForma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5" fontId="9" numFmtId="0" xfId="0" applyAlignment="1" applyFont="1">
      <alignment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3" fontId="10" numFmtId="169" xfId="0" applyAlignment="1" applyFont="1" applyNumberFormat="1">
      <alignment horizontal="center" shrinkToFit="0" vertical="center" wrapText="1"/>
    </xf>
    <xf borderId="0" fillId="3" fontId="11" numFmtId="9" xfId="0" applyAlignment="1" applyFont="1" applyNumberFormat="1">
      <alignment horizontal="center" shrinkToFit="0" vertical="center" wrapText="1"/>
    </xf>
    <xf borderId="0" fillId="3" fontId="10" numFmtId="3" xfId="0" applyAlignment="1" applyFont="1" applyNumberFormat="1">
      <alignment horizontal="center" shrinkToFit="0" vertical="center" wrapText="1"/>
    </xf>
    <xf borderId="0" fillId="6" fontId="7" numFmtId="0" xfId="0" applyAlignment="1" applyFont="1">
      <alignment horizontal="left" shrinkToFit="0" vertical="center" wrapText="1"/>
    </xf>
    <xf borderId="0" fillId="6" fontId="7" numFmtId="0" xfId="0" applyAlignment="1" applyFont="1">
      <alignment shrinkToFit="0" vertical="center" wrapText="1"/>
    </xf>
    <xf borderId="0" fillId="5" fontId="9" numFmtId="0" xfId="0" applyAlignment="1" applyFont="1">
      <alignment horizontal="left" shrinkToFit="0" vertical="center" wrapText="1"/>
    </xf>
    <xf borderId="0" fillId="5" fontId="12" numFmtId="169" xfId="0" applyAlignment="1" applyFont="1" applyNumberForma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left" vertical="center"/>
    </xf>
    <xf borderId="0" fillId="5" fontId="7" numFmtId="0" xfId="0" applyAlignment="1" applyFont="1">
      <alignment horizontal="left" vertical="center"/>
    </xf>
    <xf borderId="0" fillId="5" fontId="1" numFmtId="0" xfId="0" applyAlignment="1" applyFont="1">
      <alignment shrinkToFit="0" vertical="center" wrapText="1"/>
    </xf>
    <xf borderId="0" fillId="5" fontId="10" numFmtId="0" xfId="0" applyAlignment="1" applyFont="1">
      <alignment vertical="center"/>
    </xf>
    <xf borderId="0" fillId="5" fontId="10" numFmtId="168" xfId="0" applyAlignment="1" applyFont="1" applyNumberFormat="1">
      <alignment shrinkToFit="0" vertical="center" wrapText="1"/>
    </xf>
    <xf borderId="0" fillId="5" fontId="10" numFmtId="9" xfId="0" applyAlignment="1" applyFont="1" applyNumberFormat="1">
      <alignment vertical="center"/>
    </xf>
    <xf borderId="0" fillId="5" fontId="10" numFmtId="3" xfId="0" applyAlignment="1" applyFont="1" applyNumberFormat="1">
      <alignment horizontal="center" shrinkToFit="0" vertical="center" wrapText="1"/>
    </xf>
    <xf borderId="0" fillId="15" fontId="10" numFmtId="0" xfId="0" applyAlignment="1" applyFill="1" applyFont="1">
      <alignment horizontal="center" shrinkToFit="0" vertical="center" wrapText="1"/>
    </xf>
    <xf borderId="0" fillId="15" fontId="11" numFmtId="0" xfId="0" applyAlignment="1" applyFont="1">
      <alignment horizontal="left" shrinkToFit="0" vertical="center" wrapText="1"/>
    </xf>
    <xf borderId="0" fillId="15" fontId="3" numFmtId="0" xfId="0" applyAlignment="1" applyFont="1">
      <alignment horizontal="left" shrinkToFit="0" vertical="center" wrapText="1"/>
    </xf>
    <xf borderId="0" fillId="15" fontId="3" numFmtId="0" xfId="0" applyAlignment="1" applyFont="1">
      <alignment horizontal="center" shrinkToFit="0" vertical="center" wrapText="1"/>
    </xf>
    <xf borderId="0" fillId="15" fontId="10" numFmtId="0" xfId="0" applyAlignment="1" applyFont="1">
      <alignment horizontal="left" shrinkToFit="0" vertical="center" wrapText="1"/>
    </xf>
    <xf borderId="0" fillId="15" fontId="3" numFmtId="0" xfId="0" applyAlignment="1" applyFont="1">
      <alignment shrinkToFit="0" vertical="center" wrapText="1"/>
    </xf>
    <xf borderId="0" fillId="15" fontId="3" numFmtId="0" xfId="0" applyAlignment="1" applyFont="1">
      <alignment horizontal="center"/>
    </xf>
    <xf borderId="0" fillId="15" fontId="10" numFmtId="169" xfId="0" applyAlignment="1" applyFont="1" applyNumberFormat="1">
      <alignment horizontal="center" shrinkToFit="0" vertical="center" wrapText="1"/>
    </xf>
    <xf borderId="0" fillId="15" fontId="10" numFmtId="168" xfId="0" applyAlignment="1" applyFont="1" applyNumberFormat="1">
      <alignment horizontal="center" shrinkToFit="0" vertical="center" wrapText="1"/>
    </xf>
    <xf borderId="0" fillId="15" fontId="11" numFmtId="168" xfId="0" applyAlignment="1" applyFont="1" applyNumberFormat="1">
      <alignment horizontal="center" shrinkToFit="0" vertical="center" wrapText="1"/>
    </xf>
    <xf borderId="0" fillId="15" fontId="11" numFmtId="9" xfId="0" applyAlignment="1" applyFont="1" applyNumberFormat="1">
      <alignment horizontal="center" shrinkToFit="0" vertical="center" wrapText="1"/>
    </xf>
    <xf borderId="0" fillId="15" fontId="11" numFmtId="3" xfId="0" applyAlignment="1" applyFont="1" applyNumberFormat="1">
      <alignment horizontal="center" shrinkToFit="0" vertical="center" wrapText="1"/>
    </xf>
    <xf borderId="0" fillId="15" fontId="11" numFmtId="0" xfId="0" applyAlignment="1" applyFont="1">
      <alignment shrinkToFit="0" vertical="center" wrapText="1"/>
    </xf>
    <xf borderId="0" fillId="15" fontId="10" numFmtId="0" xfId="0" applyAlignment="1" applyFont="1">
      <alignment shrinkToFit="0" vertical="center" wrapText="1"/>
    </xf>
    <xf borderId="0" fillId="13" fontId="9" numFmtId="0" xfId="0" applyAlignment="1" applyFont="1">
      <alignment horizontal="center" shrinkToFit="0" vertical="center" wrapText="1"/>
    </xf>
    <xf borderId="0" fillId="13" fontId="3" numFmtId="0" xfId="0" applyAlignment="1" applyFont="1">
      <alignment horizontal="left" shrinkToFit="0" vertical="center" wrapText="1"/>
    </xf>
    <xf borderId="0" fillId="13" fontId="3" numFmtId="0" xfId="0" applyAlignment="1" applyFont="1">
      <alignment horizontal="center" shrinkToFit="0" vertical="center" wrapText="1"/>
    </xf>
    <xf borderId="0" fillId="13" fontId="1" numFmtId="0" xfId="0" applyAlignment="1" applyFont="1">
      <alignment horizontal="left" shrinkToFit="0" vertical="center" wrapText="1"/>
    </xf>
    <xf borderId="0" fillId="13" fontId="1" numFmtId="0" xfId="0" applyAlignment="1" applyFont="1">
      <alignment shrinkToFit="0" vertical="center" wrapText="1"/>
    </xf>
    <xf borderId="0" fillId="5" fontId="11" numFmtId="168" xfId="0" applyAlignment="1" applyFont="1" applyNumberFormat="1">
      <alignment horizontal="center" shrinkToFit="0" vertical="center" wrapText="0"/>
    </xf>
    <xf borderId="0" fillId="3" fontId="11" numFmtId="0" xfId="0" applyAlignment="1" applyFont="1">
      <alignment horizontal="left" shrinkToFit="0" vertical="center" wrapText="1"/>
    </xf>
    <xf borderId="0" fillId="3" fontId="10" numFmtId="0" xfId="0" applyAlignment="1" applyFont="1">
      <alignment horizontal="right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left" shrinkToFit="0" vertical="center" wrapText="1"/>
    </xf>
    <xf borderId="0" fillId="3" fontId="1" numFmtId="0" xfId="0" applyAlignment="1" applyFont="1">
      <alignment shrinkToFit="0" vertical="center" wrapText="1"/>
    </xf>
    <xf borderId="0" fillId="3" fontId="11" numFmtId="168" xfId="0" applyAlignment="1" applyFont="1" applyNumberFormat="1">
      <alignment horizontal="center" shrinkToFit="0" vertical="center" wrapText="0"/>
    </xf>
    <xf borderId="0" fillId="3" fontId="3" numFmtId="168" xfId="0" applyAlignment="1" applyFont="1" applyNumberFormat="1">
      <alignment horizontal="center" shrinkToFit="0" vertical="center" wrapText="1"/>
    </xf>
    <xf borderId="0" fillId="3" fontId="10" numFmtId="0" xfId="0" applyAlignment="1" applyFont="1">
      <alignment horizontal="left" shrinkToFit="0" vertical="center" wrapText="1"/>
    </xf>
    <xf borderId="0" fillId="13" fontId="11" numFmtId="0" xfId="0" applyAlignment="1" applyFont="1">
      <alignment horizontal="left" shrinkToFit="0" vertical="center" wrapText="1"/>
    </xf>
    <xf borderId="0" fillId="13" fontId="11" numFmtId="168" xfId="0" applyAlignment="1" applyFont="1" applyNumberFormat="1">
      <alignment horizontal="center" shrinkToFit="0" vertical="center" wrapText="0"/>
    </xf>
    <xf borderId="0" fillId="3" fontId="3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3" fontId="10" numFmtId="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0" numFmtId="169" xfId="0" applyAlignment="1" applyFont="1" applyNumberFormat="1">
      <alignment horizontal="center" shrinkToFit="0" vertical="center" wrapText="1"/>
    </xf>
    <xf borderId="0" fillId="0" fontId="10" numFmtId="168" xfId="0" applyAlignment="1" applyFont="1" applyNumberFormat="1">
      <alignment horizontal="center" shrinkToFit="0" vertical="center" wrapText="1"/>
    </xf>
    <xf borderId="0" fillId="0" fontId="11" numFmtId="168" xfId="0" applyAlignment="1" applyFont="1" applyNumberFormat="1">
      <alignment horizontal="center" shrinkToFit="0" vertical="center" wrapText="1"/>
    </xf>
    <xf borderId="0" fillId="0" fontId="11" numFmtId="9" xfId="0" applyAlignment="1" applyFont="1" applyNumberFormat="1">
      <alignment horizontal="center" shrinkToFit="0" vertical="center" wrapText="1"/>
    </xf>
    <xf borderId="0" fillId="0" fontId="11" numFmtId="3" xfId="0" applyAlignment="1" applyFont="1" applyNumberFormat="1">
      <alignment horizontal="center" shrinkToFit="0" vertical="center" wrapText="1"/>
    </xf>
    <xf borderId="0" fillId="0" fontId="10" numFmtId="9" xfId="0" applyAlignment="1" applyFont="1" applyNumberFormat="1">
      <alignment horizontal="center" shrinkToFit="0" vertical="center" wrapText="1"/>
    </xf>
    <xf borderId="0" fillId="0" fontId="22" numFmtId="167" xfId="0" applyAlignment="1" applyFont="1" applyNumberForma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7" numFmtId="168" xfId="0" applyAlignment="1" applyFont="1" applyNumberFormat="1">
      <alignment horizontal="center" shrinkToFit="0" vertical="center" wrapText="1"/>
    </xf>
    <xf borderId="0" fillId="0" fontId="9" numFmtId="170" xfId="0" applyAlignment="1" applyFont="1" applyNumberFormat="1">
      <alignment horizontal="center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3" fontId="23" numFmtId="0" xfId="0" applyAlignment="1" applyFont="1">
      <alignment horizontal="center" shrinkToFit="0" vertical="bottom" wrapText="0"/>
    </xf>
    <xf borderId="0" fillId="3" fontId="17" numFmtId="0" xfId="0" applyAlignment="1" applyFont="1">
      <alignment shrinkToFit="0" vertical="bottom" wrapText="0"/>
    </xf>
    <xf borderId="0" fillId="16" fontId="7" numFmtId="9" xfId="0" applyAlignment="1" applyFill="1" applyFont="1" applyNumberFormat="1">
      <alignment horizontal="center" shrinkToFit="0" vertical="center" wrapText="1"/>
    </xf>
    <xf borderId="0" fillId="0" fontId="24" numFmtId="0" xfId="0" applyAlignment="1" applyFont="1">
      <alignment horizontal="left" shrinkToFit="0" vertical="bottom" wrapText="0"/>
    </xf>
    <xf borderId="0" fillId="5" fontId="10" numFmtId="0" xfId="0" applyAlignment="1" applyFont="1">
      <alignment horizontal="center" shrinkToFit="0" vertical="bottom" wrapText="1"/>
    </xf>
    <xf borderId="0" fillId="5" fontId="10" numFmtId="167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shrinkToFit="0" vertical="bottom" wrapText="0"/>
    </xf>
    <xf borderId="0" fillId="5" fontId="10" numFmtId="0" xfId="0" applyAlignment="1" applyFont="1">
      <alignment shrinkToFit="0" vertical="bottom" wrapText="1"/>
    </xf>
    <xf borderId="0" fillId="5" fontId="24" numFmtId="0" xfId="0" applyAlignment="1" applyFont="1">
      <alignment shrinkToFit="0" vertical="bottom" wrapText="0"/>
    </xf>
    <xf borderId="0" fillId="5" fontId="17" numFmtId="0" xfId="0" applyAlignment="1" applyFont="1">
      <alignment horizontal="right" shrinkToFit="0" vertical="bottom" wrapText="0"/>
    </xf>
    <xf borderId="0" fillId="5" fontId="11" numFmtId="170" xfId="0" applyAlignment="1" applyFont="1" applyNumberFormat="1">
      <alignment horizontal="center" vertical="center"/>
    </xf>
    <xf borderId="0" fillId="0" fontId="17" numFmtId="0" xfId="0" applyAlignment="1" applyFont="1">
      <alignment horizontal="right" shrinkToFit="0" vertical="bottom" wrapText="0"/>
    </xf>
    <xf borderId="0" fillId="0" fontId="10" numFmtId="167" xfId="0" applyAlignment="1" applyFont="1" applyNumberFormat="1">
      <alignment horizontal="center" shrinkToFit="0" vertical="center" wrapText="1"/>
    </xf>
    <xf borderId="0" fillId="5" fontId="24" numFmtId="0" xfId="0" applyFont="1"/>
    <xf borderId="0" fillId="5" fontId="25" numFmtId="0" xfId="0" applyAlignment="1" applyFont="1">
      <alignment shrinkToFit="0" wrapText="0"/>
    </xf>
    <xf borderId="0" fillId="0" fontId="10" numFmtId="0" xfId="0" applyAlignment="1" applyFont="1">
      <alignment shrinkToFit="0" vertical="bottom" wrapText="1"/>
    </xf>
    <xf borderId="0" fillId="3" fontId="10" numFmtId="167" xfId="0" applyAlignment="1" applyFont="1" applyNumberFormat="1">
      <alignment horizontal="center" shrinkToFit="0" vertical="center" wrapText="1"/>
    </xf>
    <xf borderId="0" fillId="5" fontId="26" numFmtId="0" xfId="0" applyAlignment="1" applyFont="1">
      <alignment horizontal="left" shrinkToFit="0" vertical="bottom" wrapText="1"/>
    </xf>
    <xf borderId="0" fillId="5" fontId="10" numFmtId="0" xfId="0" applyAlignment="1" applyFont="1">
      <alignment horizontal="left" shrinkToFit="0" vertical="bottom" wrapText="1"/>
    </xf>
    <xf borderId="0" fillId="5" fontId="10" numFmtId="167" xfId="0" applyAlignment="1" applyFont="1" applyNumberFormat="1">
      <alignment horizontal="center" shrinkToFit="0" wrapText="1"/>
    </xf>
    <xf borderId="0" fillId="5" fontId="11" numFmtId="170" xfId="0" applyAlignment="1" applyFont="1" applyNumberFormat="1">
      <alignment horizontal="center" shrinkToFit="0" wrapText="1"/>
    </xf>
    <xf borderId="0" fillId="0" fontId="10" numFmtId="0" xfId="0" applyAlignment="1" applyFont="1">
      <alignment shrinkToFit="0" vertical="center" wrapText="1"/>
    </xf>
    <xf borderId="0" fillId="0" fontId="11" numFmtId="170" xfId="0" applyAlignment="1" applyFont="1" applyNumberFormat="1">
      <alignment horizontal="center" shrinkToFit="0" vertical="center" wrapText="1"/>
    </xf>
    <xf borderId="0" fillId="0" fontId="26" numFmtId="0" xfId="0" applyFont="1"/>
    <xf borderId="0" fillId="5" fontId="27" numFmtId="0" xfId="0" applyAlignment="1" applyFont="1">
      <alignment shrinkToFit="0" vertical="center" wrapText="1"/>
    </xf>
    <xf borderId="8" fillId="5" fontId="27" numFmtId="0" xfId="0" applyAlignment="1" applyBorder="1" applyFont="1">
      <alignment shrinkToFit="0" vertical="center" wrapText="1"/>
    </xf>
    <xf borderId="0" fillId="5" fontId="27" numFmtId="0" xfId="0" applyAlignment="1" applyFont="1">
      <alignment horizontal="center" shrinkToFit="0" vertical="center" wrapText="1"/>
    </xf>
    <xf borderId="0" fillId="5" fontId="27" numFmtId="167" xfId="0" applyAlignment="1" applyFont="1" applyNumberFormat="1">
      <alignment horizontal="center" shrinkToFit="0" vertical="bottom" wrapText="1"/>
    </xf>
    <xf borderId="0" fillId="11" fontId="27" numFmtId="167" xfId="0" applyAlignment="1" applyFont="1" applyNumberFormat="1">
      <alignment horizontal="center" shrinkToFit="0" vertical="bottom" wrapText="1"/>
    </xf>
    <xf borderId="0" fillId="11" fontId="27" numFmtId="10" xfId="0" applyAlignment="1" applyFont="1" applyNumberFormat="1">
      <alignment horizontal="center" shrinkToFit="0" vertical="bottom" wrapText="1"/>
    </xf>
    <xf borderId="0" fillId="5" fontId="27" numFmtId="170" xfId="0" applyAlignment="1" applyFont="1" applyNumberFormat="1">
      <alignment horizontal="center" shrinkToFit="0" vertical="bottom" wrapText="1"/>
    </xf>
    <xf borderId="0" fillId="0" fontId="27" numFmtId="9" xfId="0" applyAlignment="1" applyFont="1" applyNumberFormat="1">
      <alignment horizontal="center" shrinkToFit="0" vertical="bottom" wrapText="1"/>
    </xf>
    <xf borderId="0" fillId="5" fontId="26" numFmtId="0" xfId="0" applyAlignment="1" applyFont="1">
      <alignment horizontal="center" shrinkToFit="0" vertical="bottom" wrapText="1"/>
    </xf>
    <xf borderId="0" fillId="5" fontId="27" numFmtId="9" xfId="0" applyAlignment="1" applyFont="1" applyNumberFormat="1">
      <alignment horizontal="center" shrinkToFit="0" vertical="bottom" wrapText="1"/>
    </xf>
    <xf borderId="0" fillId="5" fontId="27" numFmtId="168" xfId="0" applyAlignment="1" applyFont="1" applyNumberFormat="1">
      <alignment horizontal="right" shrinkToFit="0" vertical="bottom" wrapText="1"/>
    </xf>
    <xf borderId="0" fillId="12" fontId="27" numFmtId="0" xfId="0" applyAlignment="1" applyFont="1">
      <alignment shrinkToFit="0" vertical="center" wrapText="1"/>
    </xf>
    <xf borderId="0" fillId="12" fontId="26" numFmtId="0" xfId="0" applyAlignment="1" applyFont="1">
      <alignment shrinkToFit="0" vertical="center" wrapText="1"/>
    </xf>
    <xf borderId="0" fillId="12" fontId="26" numFmtId="0" xfId="0" applyAlignment="1" applyFont="1">
      <alignment vertical="bottom"/>
    </xf>
    <xf borderId="8" fillId="12" fontId="26" numFmtId="0" xfId="0" applyAlignment="1" applyBorder="1" applyFont="1">
      <alignment vertical="center"/>
    </xf>
    <xf borderId="0" fillId="12" fontId="26" numFmtId="0" xfId="0" applyAlignment="1" applyFont="1">
      <alignment horizontal="center" vertical="center"/>
    </xf>
    <xf borderId="0" fillId="12" fontId="26" numFmtId="167" xfId="0" applyAlignment="1" applyFont="1" applyNumberFormat="1">
      <alignment horizontal="center" vertical="bottom"/>
    </xf>
    <xf borderId="0" fillId="12" fontId="27" numFmtId="168" xfId="0" applyAlignment="1" applyFont="1" applyNumberFormat="1">
      <alignment horizontal="center" vertical="bottom"/>
    </xf>
    <xf borderId="0" fillId="12" fontId="27" numFmtId="10" xfId="0" applyAlignment="1" applyFont="1" applyNumberFormat="1">
      <alignment horizontal="center" vertical="bottom"/>
    </xf>
    <xf borderId="0" fillId="12" fontId="26" numFmtId="170" xfId="0" applyAlignment="1" applyFont="1" applyNumberFormat="1">
      <alignment horizontal="center" vertical="bottom"/>
    </xf>
    <xf borderId="0" fillId="12" fontId="26" numFmtId="9" xfId="0" applyAlignment="1" applyFont="1" applyNumberFormat="1">
      <alignment horizontal="center" shrinkToFit="0" vertical="bottom" wrapText="1"/>
    </xf>
    <xf borderId="0" fillId="12" fontId="26" numFmtId="168" xfId="0" applyAlignment="1" applyFont="1" applyNumberFormat="1">
      <alignment horizontal="center" vertical="bottom"/>
    </xf>
    <xf borderId="0" fillId="12" fontId="26" numFmtId="168" xfId="0" applyAlignment="1" applyFont="1" applyNumberFormat="1">
      <alignment horizontal="right" vertical="bottom"/>
    </xf>
    <xf borderId="0" fillId="5" fontId="26" numFmtId="168" xfId="0" applyAlignment="1" applyFont="1" applyNumberFormat="1">
      <alignment horizontal="center" vertical="bottom"/>
    </xf>
    <xf borderId="0" fillId="11" fontId="27" numFmtId="168" xfId="0" applyAlignment="1" applyFont="1" applyNumberFormat="1">
      <alignment horizontal="center" vertical="bottom"/>
    </xf>
    <xf borderId="0" fillId="12" fontId="27" numFmtId="9" xfId="0" applyAlignment="1" applyFont="1" applyNumberFormat="1">
      <alignment horizontal="center" vertical="bottom"/>
    </xf>
    <xf borderId="0" fillId="12" fontId="26" numFmtId="9" xfId="0" applyAlignment="1" applyFont="1" applyNumberFormat="1">
      <alignment horizontal="center" vertical="bottom"/>
    </xf>
    <xf borderId="0" fillId="12" fontId="26" numFmtId="0" xfId="0" applyAlignment="1" applyFont="1">
      <alignment horizontal="center" shrinkToFit="0" vertical="bottom" wrapText="1"/>
    </xf>
    <xf borderId="8" fillId="0" fontId="2" numFmtId="0" xfId="0" applyBorder="1" applyFont="1"/>
    <xf borderId="0" fillId="12" fontId="19" numFmtId="0" xfId="0" applyAlignment="1" applyFont="1">
      <alignment horizontal="center" vertical="center"/>
    </xf>
    <xf borderId="0" fillId="14" fontId="26" numFmtId="0" xfId="0" applyAlignment="1" applyFont="1">
      <alignment shrinkToFit="0" vertical="center" wrapText="1"/>
    </xf>
    <xf borderId="8" fillId="14" fontId="26" numFmtId="0" xfId="0" applyAlignment="1" applyBorder="1" applyFont="1">
      <alignment shrinkToFit="0" vertical="center" wrapText="1"/>
    </xf>
    <xf borderId="0" fillId="14" fontId="26" numFmtId="0" xfId="0" applyAlignment="1" applyFont="1">
      <alignment horizontal="center" shrinkToFit="0" vertical="center" wrapText="1"/>
    </xf>
    <xf borderId="0" fillId="14" fontId="26" numFmtId="171" xfId="0" applyAlignment="1" applyFont="1" applyNumberFormat="1">
      <alignment horizontal="center" shrinkToFit="0" vertical="bottom" wrapText="1"/>
    </xf>
    <xf borderId="0" fillId="11" fontId="27" numFmtId="168" xfId="0" applyAlignment="1" applyFont="1" applyNumberFormat="1">
      <alignment horizontal="center" shrinkToFit="0" vertical="bottom" wrapText="1"/>
    </xf>
    <xf borderId="0" fillId="11" fontId="27" numFmtId="9" xfId="0" applyAlignment="1" applyFont="1" applyNumberFormat="1">
      <alignment horizontal="center" shrinkToFit="0" vertical="bottom" wrapText="1"/>
    </xf>
    <xf borderId="0" fillId="14" fontId="26" numFmtId="170" xfId="0" applyAlignment="1" applyFont="1" applyNumberFormat="1">
      <alignment horizontal="center" shrinkToFit="0" vertical="bottom" wrapText="1"/>
    </xf>
    <xf borderId="0" fillId="17" fontId="26" numFmtId="9" xfId="0" applyAlignment="1" applyFill="1" applyFont="1" applyNumberFormat="1">
      <alignment horizontal="center" shrinkToFit="0" vertical="bottom" wrapText="1"/>
    </xf>
    <xf borderId="0" fillId="14" fontId="26" numFmtId="168" xfId="0" applyAlignment="1" applyFont="1" applyNumberFormat="1">
      <alignment horizontal="center" shrinkToFit="0" vertical="bottom" wrapText="1"/>
    </xf>
    <xf borderId="0" fillId="14" fontId="26" numFmtId="9" xfId="0" applyAlignment="1" applyFont="1" applyNumberFormat="1">
      <alignment horizontal="center" shrinkToFit="0" vertical="bottom" wrapText="1"/>
    </xf>
    <xf borderId="0" fillId="14" fontId="26" numFmtId="168" xfId="0" applyAlignment="1" applyFont="1" applyNumberFormat="1">
      <alignment horizontal="right" vertical="bottom"/>
    </xf>
    <xf borderId="0" fillId="4" fontId="26" numFmtId="0" xfId="0" applyAlignment="1" applyFont="1">
      <alignment horizontal="center" shrinkToFit="0" vertical="bottom" wrapText="1"/>
    </xf>
    <xf borderId="0" fillId="5" fontId="26" numFmtId="168" xfId="0" applyAlignment="1" applyFont="1" applyNumberFormat="1">
      <alignment horizontal="center" shrinkToFit="0" vertical="bottom" wrapText="1"/>
    </xf>
    <xf borderId="0" fillId="14" fontId="26" numFmtId="168" xfId="0" applyAlignment="1" applyFont="1" applyNumberFormat="1">
      <alignment vertical="bottom"/>
    </xf>
    <xf borderId="0" fillId="0" fontId="26" numFmtId="0" xfId="0" applyAlignment="1" applyFont="1">
      <alignment vertical="bottom"/>
    </xf>
    <xf borderId="0" fillId="12" fontId="26" numFmtId="0" xfId="0" applyAlignment="1" applyFont="1">
      <alignment horizontal="center" shrinkToFit="0" vertical="center" wrapText="1"/>
    </xf>
    <xf borderId="0" fillId="12" fontId="26" numFmtId="171" xfId="0" applyAlignment="1" applyFont="1" applyNumberFormat="1">
      <alignment horizontal="center" vertical="bottom"/>
    </xf>
    <xf borderId="0" fillId="12" fontId="27" numFmtId="9" xfId="0" applyAlignment="1" applyFont="1" applyNumberFormat="1">
      <alignment horizontal="center" shrinkToFit="0" vertical="bottom" wrapText="1"/>
    </xf>
    <xf borderId="0" fillId="12" fontId="26" numFmtId="170" xfId="0" applyAlignment="1" applyFont="1" applyNumberFormat="1">
      <alignment horizontal="center" shrinkToFit="0" vertical="bottom" wrapText="1"/>
    </xf>
    <xf borderId="0" fillId="12" fontId="26" numFmtId="168" xfId="0" applyAlignment="1" applyFont="1" applyNumberFormat="1">
      <alignment horizontal="center" shrinkToFit="0" vertical="bottom" wrapText="1"/>
    </xf>
    <xf borderId="0" fillId="5" fontId="26" numFmtId="0" xfId="0" applyAlignment="1" applyFont="1">
      <alignment shrinkToFit="0" vertical="center" wrapText="1"/>
    </xf>
    <xf borderId="0" fillId="12" fontId="26" numFmtId="0" xfId="0" applyAlignment="1" applyFont="1">
      <alignment vertical="center"/>
    </xf>
    <xf borderId="0" fillId="5" fontId="26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5" fontId="26" numFmtId="168" xfId="0" applyAlignment="1" applyFont="1" applyNumberFormat="1">
      <alignment horizontal="right" vertical="bottom"/>
    </xf>
    <xf borderId="0" fillId="5" fontId="26" numFmtId="9" xfId="0" applyAlignment="1" applyFont="1" applyNumberFormat="1">
      <alignment horizontal="center" shrinkToFit="0" vertical="bottom" wrapText="1"/>
    </xf>
    <xf borderId="0" fillId="5" fontId="26" numFmtId="0" xfId="0" applyAlignment="1" applyFont="1">
      <alignment horizontal="center" shrinkToFit="0" vertical="center" wrapText="1"/>
    </xf>
    <xf borderId="0" fillId="5" fontId="27" numFmtId="168" xfId="0" applyAlignment="1" applyFont="1" applyNumberFormat="1">
      <alignment horizontal="center" shrinkToFit="0" vertical="bottom" wrapText="1"/>
    </xf>
    <xf borderId="0" fillId="5" fontId="26" numFmtId="170" xfId="0" applyAlignment="1" applyFont="1" applyNumberFormat="1">
      <alignment horizontal="center" shrinkToFit="0" vertical="bottom" wrapText="1"/>
    </xf>
    <xf borderId="8" fillId="5" fontId="26" numFmtId="0" xfId="0" applyAlignment="1" applyBorder="1" applyFont="1">
      <alignment shrinkToFit="0" vertical="center" wrapText="1"/>
    </xf>
    <xf borderId="0" fillId="5" fontId="26" numFmtId="171" xfId="0" applyAlignment="1" applyFont="1" applyNumberFormat="1">
      <alignment horizontal="center" vertical="bottom"/>
    </xf>
    <xf borderId="8" fillId="12" fontId="27" numFmtId="0" xfId="0" applyAlignment="1" applyBorder="1" applyFont="1">
      <alignment shrinkToFit="0" vertical="center" wrapText="1"/>
    </xf>
    <xf borderId="0" fillId="5" fontId="26" numFmtId="171" xfId="0" applyAlignment="1" applyFont="1" applyNumberFormat="1">
      <alignment horizontal="center" shrinkToFit="0" vertical="bottom" wrapText="1"/>
    </xf>
    <xf borderId="8" fillId="12" fontId="26" numFmtId="0" xfId="0" applyAlignment="1" applyBorder="1" applyFont="1">
      <alignment shrinkToFit="0" vertical="center" wrapText="1"/>
    </xf>
    <xf borderId="0" fillId="5" fontId="27" numFmtId="168" xfId="0" applyAlignment="1" applyFont="1" applyNumberFormat="1">
      <alignment horizontal="center" vertical="bottom"/>
    </xf>
    <xf borderId="8" fillId="5" fontId="26" numFmtId="0" xfId="0" applyAlignment="1" applyBorder="1" applyFont="1">
      <alignment vertical="center"/>
    </xf>
    <xf borderId="0" fillId="18" fontId="26" numFmtId="0" xfId="0" applyAlignment="1" applyFill="1" applyFont="1">
      <alignment horizontal="center" shrinkToFit="0" vertical="bottom" wrapText="1"/>
    </xf>
    <xf borderId="0" fillId="5" fontId="19" numFmtId="0" xfId="0" applyAlignment="1" applyFont="1">
      <alignment horizontal="center"/>
    </xf>
    <xf borderId="0" fillId="5" fontId="26" numFmtId="170" xfId="0" applyAlignment="1" applyFont="1" applyNumberFormat="1">
      <alignment horizontal="right" shrinkToFit="0" vertical="bottom" wrapText="1"/>
    </xf>
    <xf borderId="0" fillId="12" fontId="19" numFmtId="0" xfId="0" applyAlignment="1" applyFont="1">
      <alignment shrinkToFit="0" vertical="center" wrapText="1"/>
    </xf>
    <xf borderId="8" fillId="12" fontId="19" numFmtId="0" xfId="0" applyAlignment="1" applyBorder="1" applyFont="1">
      <alignment vertical="center"/>
    </xf>
    <xf borderId="0" fillId="12" fontId="19" numFmtId="171" xfId="0" applyAlignment="1" applyFont="1" applyNumberFormat="1">
      <alignment vertical="bottom"/>
    </xf>
    <xf borderId="0" fillId="12" fontId="19" numFmtId="168" xfId="0" applyAlignment="1" applyFont="1" applyNumberFormat="1">
      <alignment horizontal="center" vertical="bottom"/>
    </xf>
    <xf borderId="0" fillId="12" fontId="19" numFmtId="170" xfId="0" applyAlignment="1" applyFont="1" applyNumberFormat="1">
      <alignment horizontal="center" vertical="bottom"/>
    </xf>
    <xf borderId="0" fillId="12" fontId="19" numFmtId="9" xfId="0" applyAlignment="1" applyFont="1" applyNumberFormat="1">
      <alignment horizontal="center" vertical="bottom"/>
    </xf>
    <xf borderId="0" fillId="12" fontId="19" numFmtId="0" xfId="0" applyFont="1"/>
    <xf borderId="0" fillId="12" fontId="19" numFmtId="0" xfId="0" applyAlignment="1" applyFont="1">
      <alignment vertical="bottom"/>
    </xf>
    <xf borderId="0" fillId="12" fontId="19" numFmtId="0" xfId="0" applyAlignment="1" applyFont="1">
      <alignment vertical="center"/>
    </xf>
    <xf borderId="0" fillId="19" fontId="26" numFmtId="0" xfId="0" applyAlignment="1" applyFill="1" applyFont="1">
      <alignment shrinkToFit="0" vertical="center" wrapText="1"/>
    </xf>
    <xf borderId="0" fillId="12" fontId="26" numFmtId="171" xfId="0" applyAlignment="1" applyFont="1" applyNumberFormat="1">
      <alignment horizontal="center" shrinkToFit="0" vertical="bottom" wrapText="1"/>
    </xf>
    <xf borderId="0" fillId="12" fontId="27" numFmtId="168" xfId="0" applyAlignment="1" applyFont="1" applyNumberFormat="1">
      <alignment horizontal="center" shrinkToFit="0" vertical="bottom" wrapText="1"/>
    </xf>
    <xf borderId="0" fillId="11" fontId="22" numFmtId="168" xfId="0" applyAlignment="1" applyFont="1" applyNumberFormat="1">
      <alignment horizontal="center" shrinkToFit="0" vertical="bottom" wrapText="1"/>
    </xf>
    <xf borderId="0" fillId="5" fontId="24" numFmtId="168" xfId="0" applyAlignment="1" applyFont="1" applyNumberFormat="1">
      <alignment horizontal="center" shrinkToFit="0" vertical="bottom" wrapText="1"/>
    </xf>
    <xf borderId="0" fillId="0" fontId="19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0" fillId="5" fontId="26" numFmtId="0" xfId="0" applyAlignment="1" applyFont="1">
      <alignment horizontal="center" vertical="center"/>
    </xf>
    <xf borderId="0" fillId="11" fontId="19" numFmtId="0" xfId="0" applyFont="1"/>
    <xf borderId="0" fillId="5" fontId="26" numFmtId="170" xfId="0" applyAlignment="1" applyFont="1" applyNumberFormat="1">
      <alignment horizontal="center" vertical="bottom"/>
    </xf>
    <xf borderId="0" fillId="12" fontId="28" numFmtId="172" xfId="0" applyAlignment="1" applyFont="1" applyNumberFormat="1">
      <alignment shrinkToFit="0" vertical="center" wrapText="1"/>
    </xf>
    <xf borderId="0" fillId="5" fontId="17" numFmtId="0" xfId="0" applyAlignment="1" applyFont="1">
      <alignment vertical="center"/>
    </xf>
    <xf borderId="0" fillId="5" fontId="26" numFmtId="172" xfId="0" applyAlignment="1" applyFont="1" applyNumberFormat="1">
      <alignment shrinkToFit="0" vertical="center" wrapText="1"/>
    </xf>
    <xf borderId="8" fillId="5" fontId="19" numFmtId="0" xfId="0" applyAlignment="1" applyBorder="1" applyFont="1">
      <alignment vertical="center"/>
    </xf>
    <xf borderId="0" fillId="16" fontId="27" numFmtId="168" xfId="0" applyAlignment="1" applyFont="1" applyNumberFormat="1">
      <alignment horizontal="center" vertical="bottom"/>
    </xf>
    <xf borderId="0" fillId="20" fontId="26" numFmtId="0" xfId="0" applyAlignment="1" applyFill="1" applyFont="1">
      <alignment shrinkToFit="0" vertical="center" wrapText="1"/>
    </xf>
    <xf borderId="0" fillId="16" fontId="27" numFmtId="168" xfId="0" applyAlignment="1" applyFont="1" applyNumberFormat="1">
      <alignment horizontal="center" shrinkToFit="0" vertical="bottom" wrapText="1"/>
    </xf>
    <xf borderId="0" fillId="5" fontId="26" numFmtId="168" xfId="0" applyAlignment="1" applyFont="1" applyNumberFormat="1">
      <alignment vertical="bottom"/>
    </xf>
    <xf borderId="0" fillId="4" fontId="26" numFmtId="9" xfId="0" applyAlignment="1" applyFont="1" applyNumberFormat="1">
      <alignment horizontal="center" shrinkToFit="0" vertical="bottom" wrapText="1"/>
    </xf>
    <xf borderId="0" fillId="5" fontId="26" numFmtId="173" xfId="0" applyAlignment="1" applyFont="1" applyNumberFormat="1">
      <alignment shrinkToFit="0" vertical="center" wrapText="1"/>
    </xf>
    <xf borderId="0" fillId="12" fontId="27" numFmtId="174" xfId="0" applyAlignment="1" applyFont="1" applyNumberFormat="1">
      <alignment vertical="center"/>
    </xf>
    <xf borderId="0" fillId="12" fontId="27" numFmtId="0" xfId="0" applyAlignment="1" applyFont="1">
      <alignment vertical="center"/>
    </xf>
    <xf borderId="0" fillId="12" fontId="26" numFmtId="9" xfId="0" applyAlignment="1" applyFont="1" applyNumberFormat="1">
      <alignment vertical="bottom"/>
    </xf>
    <xf borderId="8" fillId="12" fontId="28" numFmtId="0" xfId="0" applyAlignment="1" applyBorder="1" applyFont="1">
      <alignment shrinkToFit="0" vertical="center" wrapText="1"/>
    </xf>
    <xf borderId="0" fillId="5" fontId="25" numFmtId="0" xfId="0" applyAlignment="1" applyFont="1">
      <alignment vertical="center"/>
    </xf>
    <xf borderId="0" fillId="5" fontId="26" numFmtId="174" xfId="0" applyAlignment="1" applyFont="1" applyNumberFormat="1">
      <alignment shrinkToFit="0" vertical="center" wrapText="1"/>
    </xf>
    <xf borderId="0" fillId="12" fontId="27" numFmtId="174" xfId="0" applyAlignment="1" applyFont="1" applyNumberFormat="1">
      <alignment shrinkToFit="0" vertical="center" wrapText="1"/>
    </xf>
    <xf borderId="0" fillId="3" fontId="27" numFmtId="0" xfId="0" applyAlignment="1" applyFont="1">
      <alignment vertical="center"/>
    </xf>
    <xf borderId="0" fillId="3" fontId="27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vertical="bottom"/>
    </xf>
    <xf borderId="8" fillId="3" fontId="27" numFmtId="0" xfId="0" applyAlignment="1" applyBorder="1" applyFont="1">
      <alignment horizontal="center" vertical="center"/>
    </xf>
    <xf borderId="0" fillId="3" fontId="27" numFmtId="0" xfId="0" applyAlignment="1" applyFont="1">
      <alignment horizontal="center" vertical="center"/>
    </xf>
    <xf borderId="0" fillId="11" fontId="27" numFmtId="10" xfId="0" applyAlignment="1" applyFont="1" applyNumberFormat="1">
      <alignment horizontal="center" vertical="bottom"/>
    </xf>
    <xf borderId="0" fillId="5" fontId="26" numFmtId="9" xfId="0" applyAlignment="1" applyFont="1" applyNumberFormat="1">
      <alignment vertical="bottom"/>
    </xf>
    <xf borderId="0" fillId="3" fontId="26" numFmtId="0" xfId="0" applyAlignment="1" applyFont="1">
      <alignment shrinkToFit="0" vertical="center" wrapText="1"/>
    </xf>
    <xf borderId="0" fillId="3" fontId="26" numFmtId="0" xfId="0" applyAlignment="1" applyFont="1">
      <alignment shrinkToFit="0" vertical="bottom" wrapText="1"/>
    </xf>
    <xf borderId="8" fillId="3" fontId="26" numFmtId="0" xfId="0" applyAlignment="1" applyBorder="1" applyFont="1">
      <alignment shrinkToFit="0" vertical="center" wrapText="1"/>
    </xf>
    <xf borderId="0" fillId="3" fontId="26" numFmtId="0" xfId="0" applyAlignment="1" applyFont="1">
      <alignment horizontal="center" vertical="center"/>
    </xf>
    <xf borderId="0" fillId="21" fontId="26" numFmtId="9" xfId="0" applyAlignment="1" applyFill="1" applyFont="1" applyNumberFormat="1">
      <alignment horizontal="center" shrinkToFit="0" vertical="bottom" wrapText="1"/>
    </xf>
    <xf borderId="0" fillId="4" fontId="26" numFmtId="9" xfId="0" applyAlignment="1" applyFont="1" applyNumberFormat="1">
      <alignment vertical="bottom"/>
    </xf>
    <xf borderId="0" fillId="3" fontId="26" numFmtId="170" xfId="0" applyAlignment="1" applyFont="1" applyNumberFormat="1">
      <alignment shrinkToFit="0" vertical="center" wrapText="1"/>
    </xf>
    <xf borderId="0" fillId="3" fontId="26" numFmtId="170" xfId="0" applyAlignment="1" applyFont="1" applyNumberFormat="1">
      <alignment horizontal="center" vertical="center"/>
    </xf>
    <xf borderId="0" fillId="22" fontId="26" numFmtId="9" xfId="0" applyAlignment="1" applyFill="1" applyFont="1" applyNumberFormat="1">
      <alignment horizontal="center" shrinkToFit="0" vertical="bottom" wrapText="1"/>
    </xf>
    <xf borderId="0" fillId="23" fontId="26" numFmtId="9" xfId="0" applyAlignment="1" applyFill="1" applyFont="1" applyNumberFormat="1">
      <alignment horizontal="center" shrinkToFit="0" vertical="bottom" wrapText="1"/>
    </xf>
    <xf borderId="0" fillId="3" fontId="26" numFmtId="170" xfId="0" applyAlignment="1" applyFont="1" applyNumberFormat="1">
      <alignment horizontal="center" shrinkToFit="0" vertical="center" wrapText="1"/>
    </xf>
    <xf borderId="0" fillId="24" fontId="26" numFmtId="9" xfId="0" applyAlignment="1" applyFill="1" applyFont="1" applyNumberFormat="1">
      <alignment horizontal="center" shrinkToFit="0" vertical="bottom" wrapText="1"/>
    </xf>
    <xf borderId="0" fillId="25" fontId="26" numFmtId="9" xfId="0" applyAlignment="1" applyFill="1" applyFont="1" applyNumberFormat="1">
      <alignment horizontal="center" shrinkToFit="0" vertical="bottom" wrapText="1"/>
    </xf>
    <xf borderId="0" fillId="3" fontId="26" numFmtId="0" xfId="0" applyAlignment="1" applyFont="1">
      <alignment horizontal="center" shrinkToFit="0" vertical="center" wrapText="1"/>
    </xf>
    <xf borderId="0" fillId="26" fontId="26" numFmtId="9" xfId="0" applyAlignment="1" applyFill="1" applyFont="1" applyNumberFormat="1">
      <alignment horizontal="center" shrinkToFit="0" vertical="bottom" wrapText="1"/>
    </xf>
    <xf borderId="0" fillId="12" fontId="27" numFmtId="0" xfId="0" applyAlignment="1" applyFont="1">
      <alignment horizontal="left" vertical="center"/>
    </xf>
    <xf borderId="0" fillId="12" fontId="26" numFmtId="170" xfId="0" applyAlignment="1" applyFont="1" applyNumberFormat="1">
      <alignment horizontal="center" shrinkToFit="0" vertical="center" wrapText="1"/>
    </xf>
    <xf borderId="0" fillId="12" fontId="26" numFmtId="0" xfId="0" applyAlignment="1" applyFont="1">
      <alignment horizontal="center"/>
    </xf>
    <xf borderId="8" fillId="12" fontId="26" numFmtId="0" xfId="0" applyAlignment="1" applyBorder="1" applyFont="1">
      <alignment horizontal="center" vertical="center"/>
    </xf>
    <xf borderId="0" fillId="12" fontId="26" numFmtId="168" xfId="0" applyAlignment="1" applyFont="1" applyNumberFormat="1">
      <alignment vertical="bottom"/>
    </xf>
    <xf borderId="0" fillId="27" fontId="26" numFmtId="9" xfId="0" applyAlignment="1" applyFill="1" applyFont="1" applyNumberFormat="1">
      <alignment horizontal="center" shrinkToFit="0" vertical="bottom" wrapText="1"/>
    </xf>
    <xf borderId="0" fillId="28" fontId="26" numFmtId="9" xfId="0" applyAlignment="1" applyFill="1" applyFont="1" applyNumberFormat="1">
      <alignment horizontal="center" shrinkToFit="0" vertical="bottom" wrapText="1"/>
    </xf>
    <xf borderId="0" fillId="14" fontId="26" numFmtId="168" xfId="0" applyAlignment="1" applyFont="1" applyNumberFormat="1">
      <alignment horizontal="center" vertical="bottom"/>
    </xf>
    <xf borderId="0" fillId="29" fontId="26" numFmtId="9" xfId="0" applyAlignment="1" applyFill="1" applyFont="1" applyNumberFormat="1">
      <alignment horizontal="center" shrinkToFit="0" vertical="bottom" wrapText="1"/>
    </xf>
    <xf borderId="0" fillId="5" fontId="26" numFmtId="9" xfId="0" applyAlignment="1" applyFont="1" applyNumberFormat="1">
      <alignment horizontal="center" vertical="bottom"/>
    </xf>
    <xf borderId="0" fillId="30" fontId="26" numFmtId="9" xfId="0" applyAlignment="1" applyFill="1" applyFont="1" applyNumberFormat="1">
      <alignment horizontal="center" shrinkToFit="0" vertical="bottom" wrapText="1"/>
    </xf>
    <xf borderId="0" fillId="15" fontId="26" numFmtId="9" xfId="0" applyAlignment="1" applyFont="1" applyNumberFormat="1">
      <alignment horizontal="center" shrinkToFit="0" vertical="bottom" wrapText="1"/>
    </xf>
    <xf borderId="0" fillId="5" fontId="26" numFmtId="0" xfId="0" applyAlignment="1" applyFont="1">
      <alignment vertical="bottom"/>
    </xf>
    <xf borderId="0" fillId="5" fontId="27" numFmtId="10" xfId="0" applyAlignment="1" applyFont="1" applyNumberFormat="1">
      <alignment horizontal="center" vertical="bottom"/>
    </xf>
    <xf borderId="0" fillId="12" fontId="27" numFmtId="0" xfId="0" applyAlignment="1" applyFont="1">
      <alignment vertical="bottom"/>
    </xf>
    <xf borderId="8" fillId="12" fontId="27" numFmtId="0" xfId="0" applyAlignment="1" applyBorder="1" applyFont="1">
      <alignment vertical="center"/>
    </xf>
    <xf borderId="0" fillId="12" fontId="27" numFmtId="0" xfId="0" applyAlignment="1" applyFont="1">
      <alignment horizontal="center" vertical="center"/>
    </xf>
    <xf borderId="0" fillId="12" fontId="26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8" fillId="0" fontId="26" numFmtId="0" xfId="0" applyAlignment="1" applyBorder="1" applyFont="1">
      <alignment shrinkToFit="0" vertical="center" wrapText="1"/>
    </xf>
    <xf borderId="0" fillId="0" fontId="26" numFmtId="0" xfId="0" applyAlignment="1" applyFont="1">
      <alignment horizontal="center" vertical="center"/>
    </xf>
    <xf borderId="8" fillId="0" fontId="26" numFmtId="0" xfId="0" applyAlignment="1" applyBorder="1" applyFont="1">
      <alignment vertical="center"/>
    </xf>
    <xf borderId="0" fillId="0" fontId="26" numFmtId="171" xfId="0" applyAlignment="1" applyFont="1" applyNumberFormat="1">
      <alignment horizontal="center" vertical="bottom"/>
    </xf>
    <xf borderId="0" fillId="0" fontId="26" numFmtId="170" xfId="0" applyAlignment="1" applyFont="1" applyNumberFormat="1">
      <alignment horizontal="center" vertical="bottom"/>
    </xf>
    <xf borderId="0" fillId="0" fontId="26" numFmtId="9" xfId="0" applyAlignment="1" applyFont="1" applyNumberFormat="1">
      <alignment horizontal="center" vertical="bottom"/>
    </xf>
    <xf borderId="0" fillId="0" fontId="26" numFmtId="168" xfId="0" applyAlignment="1" applyFont="1" applyNumberFormat="1">
      <alignment horizontal="center" vertical="bottom"/>
    </xf>
    <xf borderId="0" fillId="0" fontId="26" numFmtId="168" xfId="0" applyAlignment="1" applyFont="1" applyNumberFormat="1">
      <alignment horizontal="right" vertical="bottom"/>
    </xf>
    <xf borderId="0" fillId="0" fontId="26" numFmtId="9" xfId="0" applyAlignment="1" applyFont="1" applyNumberFormat="1">
      <alignment vertical="bottom"/>
    </xf>
    <xf borderId="0" fillId="5" fontId="27" numFmtId="167" xfId="0" applyAlignment="1" applyFont="1" applyNumberFormat="1">
      <alignment horizontal="center" shrinkToFit="0" vertical="center" wrapText="1"/>
    </xf>
    <xf borderId="0" fillId="12" fontId="15" numFmtId="0" xfId="0" applyFont="1"/>
    <xf borderId="0" fillId="12" fontId="15" numFmtId="0" xfId="0" applyAlignment="1" applyFont="1">
      <alignment vertical="center"/>
    </xf>
    <xf borderId="0" fillId="12" fontId="15" numFmtId="0" xfId="0" applyAlignment="1" applyFont="1">
      <alignment vertical="bottom"/>
    </xf>
    <xf borderId="0" fillId="0" fontId="15" numFmtId="0" xfId="0" applyFont="1"/>
    <xf borderId="0" fillId="12" fontId="15" numFmtId="167" xfId="0" applyAlignment="1" applyFont="1" applyNumberFormat="1">
      <alignment vertical="bottom"/>
    </xf>
    <xf borderId="0" fillId="12" fontId="15" numFmtId="168" xfId="0" applyAlignment="1" applyFont="1" applyNumberFormat="1">
      <alignment vertical="bottom"/>
    </xf>
    <xf borderId="0" fillId="12" fontId="15" numFmtId="10" xfId="0" applyAlignment="1" applyFont="1" applyNumberFormat="1">
      <alignment vertical="bottom"/>
    </xf>
    <xf borderId="0" fillId="12" fontId="15" numFmtId="170" xfId="0" applyAlignment="1" applyFont="1" applyNumberFormat="1">
      <alignment vertical="bottom"/>
    </xf>
    <xf borderId="0" fillId="12" fontId="15" numFmtId="9" xfId="0" applyAlignment="1" applyFont="1" applyNumberFormat="1">
      <alignment vertical="bottom"/>
    </xf>
    <xf borderId="0" fillId="5" fontId="15" numFmtId="168" xfId="0" applyAlignment="1" applyFont="1" applyNumberFormat="1">
      <alignment vertical="bottom"/>
    </xf>
    <xf borderId="0" fillId="11" fontId="15" numFmtId="168" xfId="0" applyAlignment="1" applyFont="1" applyNumberFormat="1">
      <alignment vertical="bottom"/>
    </xf>
    <xf borderId="0" fillId="0" fontId="26" numFmtId="0" xfId="0" applyAlignment="1" applyFont="1">
      <alignment horizontal="center"/>
    </xf>
    <xf borderId="0" fillId="12" fontId="26" numFmtId="167" xfId="0" applyAlignment="1" applyFont="1" applyNumberFormat="1">
      <alignment horizontal="center" vertical="center"/>
    </xf>
    <xf borderId="0" fillId="12" fontId="27" numFmtId="0" xfId="0" applyAlignment="1" applyFont="1">
      <alignment shrinkToFit="0" wrapText="1"/>
    </xf>
    <xf borderId="0" fillId="14" fontId="15" numFmtId="0" xfId="0" applyAlignment="1" applyFont="1">
      <alignment vertical="center"/>
    </xf>
    <xf borderId="0" fillId="14" fontId="26" numFmtId="0" xfId="0" applyAlignment="1" applyFont="1">
      <alignment shrinkToFit="0" wrapText="1"/>
    </xf>
    <xf borderId="8" fillId="14" fontId="26" numFmtId="0" xfId="0" applyAlignment="1" applyBorder="1" applyFont="1">
      <alignment vertical="center"/>
    </xf>
    <xf borderId="0" fillId="0" fontId="26" numFmtId="0" xfId="0" applyAlignment="1" applyFont="1">
      <alignment horizontal="center" shrinkToFit="0" wrapText="1"/>
    </xf>
    <xf borderId="0" fillId="31" fontId="26" numFmtId="9" xfId="0" applyAlignment="1" applyFill="1" applyFont="1" applyNumberFormat="1">
      <alignment horizontal="center" shrinkToFit="0" vertical="bottom" wrapText="1"/>
    </xf>
    <xf borderId="0" fillId="14" fontId="15" numFmtId="168" xfId="0" applyAlignment="1" applyFont="1" applyNumberFormat="1">
      <alignment vertical="bottom"/>
    </xf>
    <xf borderId="0" fillId="32" fontId="26" numFmtId="9" xfId="0" applyAlignment="1" applyFill="1" applyFont="1" applyNumberFormat="1">
      <alignment horizontal="center" shrinkToFit="0" vertical="bottom" wrapText="1"/>
    </xf>
    <xf borderId="0" fillId="4" fontId="15" numFmtId="0" xfId="0" applyAlignment="1" applyFont="1">
      <alignment vertical="bottom"/>
    </xf>
    <xf borderId="0" fillId="11" fontId="15" numFmtId="9" xfId="0" applyAlignment="1" applyFont="1" applyNumberFormat="1">
      <alignment vertical="bottom"/>
    </xf>
    <xf borderId="0" fillId="33" fontId="26" numFmtId="9" xfId="0" applyAlignment="1" applyFill="1" applyFont="1" applyNumberFormat="1">
      <alignment horizontal="center" shrinkToFit="0" vertical="bottom" wrapText="1"/>
    </xf>
    <xf borderId="0" fillId="0" fontId="15" numFmtId="0" xfId="0" applyAlignment="1" applyFont="1">
      <alignment vertical="bottom"/>
    </xf>
    <xf borderId="0" fillId="12" fontId="15" numFmtId="171" xfId="0" applyAlignment="1" applyFont="1" applyNumberFormat="1">
      <alignment vertical="bottom"/>
    </xf>
    <xf borderId="0" fillId="12" fontId="26" numFmtId="171" xfId="0" applyAlignment="1" applyFont="1" applyNumberFormat="1">
      <alignment horizontal="center" vertical="center"/>
    </xf>
    <xf borderId="0" fillId="5" fontId="15" numFmtId="0" xfId="0" applyAlignment="1" applyFont="1">
      <alignment vertical="center"/>
    </xf>
    <xf borderId="0" fillId="5" fontId="26" numFmtId="0" xfId="0" applyFont="1"/>
    <xf borderId="0" fillId="5" fontId="15" numFmtId="9" xfId="0" applyAlignment="1" applyFont="1" applyNumberFormat="1">
      <alignment vertical="bottom"/>
    </xf>
    <xf borderId="0" fillId="34" fontId="26" numFmtId="9" xfId="0" applyAlignment="1" applyFill="1" applyFont="1" applyNumberFormat="1">
      <alignment horizontal="center" shrinkToFit="0" vertical="bottom" wrapText="1"/>
    </xf>
    <xf borderId="0" fillId="5" fontId="26" numFmtId="0" xfId="0" applyAlignment="1" applyFont="1">
      <alignment shrinkToFit="0" wrapText="1"/>
    </xf>
    <xf borderId="0" fillId="35" fontId="26" numFmtId="9" xfId="0" applyAlignment="1" applyFill="1" applyFont="1" applyNumberFormat="1">
      <alignment horizontal="center" shrinkToFit="0" vertical="bottom" wrapText="1"/>
    </xf>
    <xf borderId="0" fillId="36" fontId="26" numFmtId="9" xfId="0" applyAlignment="1" applyFill="1" applyFont="1" applyNumberFormat="1">
      <alignment horizontal="center" shrinkToFit="0" vertical="bottom" wrapText="1"/>
    </xf>
    <xf borderId="0" fillId="37" fontId="26" numFmtId="9" xfId="0" applyAlignment="1" applyFill="1" applyFont="1" applyNumberFormat="1">
      <alignment horizontal="center" shrinkToFit="0" vertical="bottom" wrapText="1"/>
    </xf>
    <xf borderId="0" fillId="38" fontId="26" numFmtId="9" xfId="0" applyAlignment="1" applyFill="1" applyFont="1" applyNumberFormat="1">
      <alignment horizontal="center" shrinkToFit="0" vertical="bottom" wrapText="1"/>
    </xf>
    <xf borderId="0" fillId="5" fontId="26" numFmtId="171" xfId="0" applyAlignment="1" applyFont="1" applyNumberFormat="1">
      <alignment horizontal="center" shrinkToFit="0" vertical="center" wrapText="1"/>
    </xf>
    <xf borderId="0" fillId="39" fontId="26" numFmtId="9" xfId="0" applyAlignment="1" applyFill="1" applyFont="1" applyNumberFormat="1">
      <alignment horizontal="center" shrinkToFit="0" vertical="bottom" wrapText="1"/>
    </xf>
    <xf borderId="0" fillId="40" fontId="26" numFmtId="9" xfId="0" applyAlignment="1" applyFill="1" applyFont="1" applyNumberFormat="1">
      <alignment horizontal="center" shrinkToFit="0" vertical="bottom" wrapText="1"/>
    </xf>
    <xf borderId="0" fillId="41" fontId="26" numFmtId="9" xfId="0" applyAlignment="1" applyFill="1" applyFont="1" applyNumberFormat="1">
      <alignment horizontal="center" shrinkToFit="0" vertical="bottom" wrapText="1"/>
    </xf>
    <xf borderId="0" fillId="42" fontId="26" numFmtId="9" xfId="0" applyAlignment="1" applyFill="1" applyFont="1" applyNumberFormat="1">
      <alignment horizontal="center" shrinkToFit="0" vertical="bottom" wrapText="1"/>
    </xf>
    <xf borderId="0" fillId="43" fontId="26" numFmtId="9" xfId="0" applyAlignment="1" applyFill="1" applyFont="1" applyNumberFormat="1">
      <alignment horizontal="center" shrinkToFit="0" vertical="bottom" wrapText="1"/>
    </xf>
    <xf borderId="0" fillId="44" fontId="26" numFmtId="9" xfId="0" applyAlignment="1" applyFill="1" applyFont="1" applyNumberFormat="1">
      <alignment horizontal="center" shrinkToFit="0" vertical="bottom" wrapText="1"/>
    </xf>
    <xf borderId="0" fillId="45" fontId="26" numFmtId="9" xfId="0" applyAlignment="1" applyFill="1" applyFont="1" applyNumberFormat="1">
      <alignment horizontal="center" shrinkToFit="0" vertical="bottom" wrapText="1"/>
    </xf>
    <xf borderId="0" fillId="46" fontId="26" numFmtId="9" xfId="0" applyAlignment="1" applyFill="1" applyFont="1" applyNumberFormat="1">
      <alignment horizontal="center" shrinkToFit="0" vertical="bottom" wrapText="1"/>
    </xf>
    <xf borderId="0" fillId="47" fontId="26" numFmtId="9" xfId="0" applyAlignment="1" applyFill="1" applyFont="1" applyNumberFormat="1">
      <alignment horizontal="center" shrinkToFit="0" vertical="bottom" wrapText="1"/>
    </xf>
    <xf borderId="0" fillId="48" fontId="26" numFmtId="9" xfId="0" applyAlignment="1" applyFill="1" applyFont="1" applyNumberFormat="1">
      <alignment horizontal="center" shrinkToFit="0" vertical="bottom" wrapText="1"/>
    </xf>
    <xf borderId="0" fillId="49" fontId="26" numFmtId="9" xfId="0" applyAlignment="1" applyFill="1" applyFont="1" applyNumberFormat="1">
      <alignment horizontal="center" shrinkToFit="0" vertical="bottom" wrapText="1"/>
    </xf>
    <xf borderId="0" fillId="50" fontId="26" numFmtId="9" xfId="0" applyAlignment="1" applyFill="1" applyFont="1" applyNumberFormat="1">
      <alignment horizontal="center" shrinkToFit="0" vertical="bottom" wrapText="1"/>
    </xf>
    <xf borderId="0" fillId="51" fontId="26" numFmtId="9" xfId="0" applyAlignment="1" applyFill="1" applyFont="1" applyNumberFormat="1">
      <alignment horizontal="center" shrinkToFit="0" vertical="bottom" wrapText="1"/>
    </xf>
    <xf borderId="0" fillId="52" fontId="26" numFmtId="9" xfId="0" applyAlignment="1" applyFill="1" applyFont="1" applyNumberFormat="1">
      <alignment horizontal="center" shrinkToFit="0" vertical="bottom" wrapText="1"/>
    </xf>
    <xf borderId="0" fillId="53" fontId="26" numFmtId="9" xfId="0" applyAlignment="1" applyFill="1" applyFont="1" applyNumberFormat="1">
      <alignment horizontal="center" shrinkToFit="0" vertical="bottom" wrapText="1"/>
    </xf>
    <xf borderId="0" fillId="54" fontId="26" numFmtId="9" xfId="0" applyAlignment="1" applyFill="1" applyFont="1" applyNumberFormat="1">
      <alignment horizontal="center" shrinkToFit="0" vertical="bottom" wrapText="1"/>
    </xf>
    <xf borderId="0" fillId="55" fontId="26" numFmtId="9" xfId="0" applyAlignment="1" applyFill="1" applyFont="1" applyNumberFormat="1">
      <alignment horizontal="center" shrinkToFit="0" vertical="bottom" wrapText="1"/>
    </xf>
    <xf borderId="0" fillId="56" fontId="26" numFmtId="9" xfId="0" applyAlignment="1" applyFill="1" applyFont="1" applyNumberFormat="1">
      <alignment horizontal="center" shrinkToFit="0" vertical="bottom" wrapText="1"/>
    </xf>
    <xf borderId="0" fillId="57" fontId="26" numFmtId="9" xfId="0" applyAlignment="1" applyFill="1" applyFont="1" applyNumberFormat="1">
      <alignment horizontal="center" shrinkToFit="0" vertical="bottom" wrapText="1"/>
    </xf>
    <xf borderId="0" fillId="58" fontId="26" numFmtId="9" xfId="0" applyAlignment="1" applyFill="1" applyFont="1" applyNumberFormat="1">
      <alignment horizontal="center" shrinkToFit="0" vertical="bottom" wrapText="1"/>
    </xf>
    <xf borderId="0" fillId="5" fontId="26" numFmtId="0" xfId="0" applyAlignment="1" applyFont="1">
      <alignment horizontal="center" shrinkToFit="0" wrapText="1"/>
    </xf>
    <xf borderId="0" fillId="5" fontId="15" numFmtId="0" xfId="0" applyAlignment="1" applyFont="1">
      <alignment vertical="bottom"/>
    </xf>
    <xf borderId="0" fillId="5" fontId="26" numFmtId="171" xfId="0" applyAlignment="1" applyFont="1" applyNumberFormat="1">
      <alignment horizontal="center" vertical="center"/>
    </xf>
    <xf borderId="0" fillId="59" fontId="26" numFmtId="9" xfId="0" applyAlignment="1" applyFill="1" applyFont="1" applyNumberFormat="1">
      <alignment horizontal="center" shrinkToFit="0" vertical="bottom" wrapText="1"/>
    </xf>
    <xf borderId="0" fillId="18" fontId="15" numFmtId="0" xfId="0" applyAlignment="1" applyFont="1">
      <alignment vertical="bottom"/>
    </xf>
    <xf borderId="0" fillId="60" fontId="26" numFmtId="9" xfId="0" applyAlignment="1" applyFill="1" applyFont="1" applyNumberFormat="1">
      <alignment horizontal="center" shrinkToFit="0" vertical="bottom" wrapText="1"/>
    </xf>
    <xf borderId="0" fillId="61" fontId="26" numFmtId="9" xfId="0" applyAlignment="1" applyFill="1" applyFont="1" applyNumberFormat="1">
      <alignment horizontal="center" shrinkToFit="0" vertical="bottom" wrapText="1"/>
    </xf>
    <xf borderId="0" fillId="62" fontId="26" numFmtId="9" xfId="0" applyAlignment="1" applyFill="1" applyFont="1" applyNumberFormat="1">
      <alignment horizontal="center" shrinkToFit="0" vertical="bottom" wrapText="1"/>
    </xf>
    <xf borderId="0" fillId="63" fontId="26" numFmtId="9" xfId="0" applyAlignment="1" applyFill="1" applyFont="1" applyNumberFormat="1">
      <alignment horizontal="center" shrinkToFit="0" vertical="bottom" wrapText="1"/>
    </xf>
    <xf borderId="0" fillId="64" fontId="26" numFmtId="9" xfId="0" applyAlignment="1" applyFill="1" applyFont="1" applyNumberFormat="1">
      <alignment horizontal="center" shrinkToFit="0" vertical="bottom" wrapText="1"/>
    </xf>
    <xf borderId="0" fillId="65" fontId="26" numFmtId="9" xfId="0" applyAlignment="1" applyFill="1" applyFont="1" applyNumberFormat="1">
      <alignment horizontal="center" shrinkToFit="0" vertical="bottom" wrapText="1"/>
    </xf>
    <xf borderId="0" fillId="66" fontId="26" numFmtId="9" xfId="0" applyAlignment="1" applyFill="1" applyFont="1" applyNumberFormat="1">
      <alignment horizontal="center" shrinkToFit="0" vertical="bottom" wrapText="1"/>
    </xf>
    <xf borderId="0" fillId="67" fontId="26" numFmtId="9" xfId="0" applyAlignment="1" applyFill="1" applyFont="1" applyNumberFormat="1">
      <alignment horizontal="center" shrinkToFit="0" vertical="bottom" wrapText="1"/>
    </xf>
    <xf borderId="0" fillId="68" fontId="26" numFmtId="9" xfId="0" applyAlignment="1" applyFill="1" applyFont="1" applyNumberFormat="1">
      <alignment horizontal="center" shrinkToFit="0" vertical="bottom" wrapText="1"/>
    </xf>
    <xf borderId="0" fillId="69" fontId="26" numFmtId="9" xfId="0" applyAlignment="1" applyFill="1" applyFont="1" applyNumberFormat="1">
      <alignment horizontal="center" shrinkToFit="0" vertical="bottom" wrapText="1"/>
    </xf>
    <xf borderId="0" fillId="70" fontId="26" numFmtId="9" xfId="0" applyAlignment="1" applyFill="1" applyFont="1" applyNumberFormat="1">
      <alignment horizontal="center" shrinkToFit="0" vertical="bottom" wrapText="1"/>
    </xf>
    <xf borderId="0" fillId="71" fontId="26" numFmtId="9" xfId="0" applyAlignment="1" applyFill="1" applyFont="1" applyNumberFormat="1">
      <alignment horizontal="center" shrinkToFit="0" vertical="bottom" wrapText="1"/>
    </xf>
    <xf borderId="0" fillId="72" fontId="26" numFmtId="9" xfId="0" applyAlignment="1" applyFill="1" applyFont="1" applyNumberFormat="1">
      <alignment horizontal="center" shrinkToFit="0" vertical="bottom" wrapText="1"/>
    </xf>
    <xf borderId="0" fillId="73" fontId="26" numFmtId="9" xfId="0" applyAlignment="1" applyFill="1" applyFont="1" applyNumberFormat="1">
      <alignment horizontal="center" shrinkToFit="0" vertical="bottom" wrapText="1"/>
    </xf>
    <xf borderId="0" fillId="74" fontId="26" numFmtId="9" xfId="0" applyAlignment="1" applyFill="1" applyFont="1" applyNumberFormat="1">
      <alignment horizontal="center" shrinkToFit="0" vertical="bottom" wrapText="1"/>
    </xf>
    <xf borderId="0" fillId="75" fontId="26" numFmtId="9" xfId="0" applyAlignment="1" applyFill="1" applyFont="1" applyNumberFormat="1">
      <alignment horizontal="center" shrinkToFit="0" vertical="bottom" wrapText="1"/>
    </xf>
    <xf borderId="0" fillId="76" fontId="26" numFmtId="9" xfId="0" applyAlignment="1" applyFill="1" applyFont="1" applyNumberFormat="1">
      <alignment horizontal="center" shrinkToFit="0" vertical="bottom" wrapText="1"/>
    </xf>
    <xf borderId="0" fillId="77" fontId="26" numFmtId="9" xfId="0" applyAlignment="1" applyFill="1" applyFont="1" applyNumberFormat="1">
      <alignment horizontal="center" shrinkToFit="0" vertical="bottom" wrapText="1"/>
    </xf>
    <xf borderId="0" fillId="78" fontId="26" numFmtId="9" xfId="0" applyAlignment="1" applyFill="1" applyFont="1" applyNumberFormat="1">
      <alignment horizontal="center" shrinkToFit="0" vertical="bottom" wrapText="1"/>
    </xf>
    <xf borderId="0" fillId="79" fontId="26" numFmtId="9" xfId="0" applyAlignment="1" applyFill="1" applyFont="1" applyNumberFormat="1">
      <alignment horizontal="center" shrinkToFit="0" vertical="bottom" wrapText="1"/>
    </xf>
    <xf borderId="0" fillId="80" fontId="26" numFmtId="9" xfId="0" applyAlignment="1" applyFill="1" applyFont="1" applyNumberFormat="1">
      <alignment horizontal="center" shrinkToFit="0" vertical="bottom" wrapText="1"/>
    </xf>
    <xf borderId="0" fillId="81" fontId="26" numFmtId="9" xfId="0" applyAlignment="1" applyFill="1" applyFont="1" applyNumberFormat="1">
      <alignment horizontal="center" shrinkToFit="0" vertical="bottom" wrapText="1"/>
    </xf>
    <xf borderId="0" fillId="82" fontId="26" numFmtId="9" xfId="0" applyAlignment="1" applyFill="1" applyFont="1" applyNumberFormat="1">
      <alignment horizontal="center" shrinkToFit="0" vertical="bottom" wrapText="1"/>
    </xf>
    <xf borderId="0" fillId="83" fontId="26" numFmtId="9" xfId="0" applyAlignment="1" applyFill="1" applyFont="1" applyNumberFormat="1">
      <alignment horizontal="center" shrinkToFit="0" vertical="bottom" wrapText="1"/>
    </xf>
    <xf borderId="0" fillId="84" fontId="26" numFmtId="9" xfId="0" applyAlignment="1" applyFill="1" applyFont="1" applyNumberFormat="1">
      <alignment horizontal="center" shrinkToFit="0" vertical="bottom" wrapText="1"/>
    </xf>
    <xf borderId="0" fillId="85" fontId="26" numFmtId="9" xfId="0" applyAlignment="1" applyFill="1" applyFont="1" applyNumberFormat="1">
      <alignment horizontal="center" shrinkToFit="0" vertical="bottom" wrapText="1"/>
    </xf>
    <xf borderId="0" fillId="86" fontId="26" numFmtId="9" xfId="0" applyAlignment="1" applyFill="1" applyFont="1" applyNumberFormat="1">
      <alignment horizontal="center" shrinkToFit="0" vertical="bottom" wrapText="1"/>
    </xf>
    <xf borderId="0" fillId="87" fontId="26" numFmtId="9" xfId="0" applyAlignment="1" applyFill="1" applyFont="1" applyNumberFormat="1">
      <alignment horizontal="center" shrinkToFit="0" vertical="bottom" wrapText="1"/>
    </xf>
    <xf borderId="0" fillId="88" fontId="26" numFmtId="9" xfId="0" applyAlignment="1" applyFill="1" applyFont="1" applyNumberFormat="1">
      <alignment horizontal="center" shrinkToFit="0" vertical="bottom" wrapText="1"/>
    </xf>
    <xf borderId="0" fillId="89" fontId="26" numFmtId="9" xfId="0" applyAlignment="1" applyFill="1" applyFont="1" applyNumberFormat="1">
      <alignment horizontal="center" shrinkToFit="0" vertical="bottom" wrapText="1"/>
    </xf>
    <xf borderId="0" fillId="90" fontId="26" numFmtId="9" xfId="0" applyAlignment="1" applyFill="1" applyFont="1" applyNumberFormat="1">
      <alignment horizontal="center" shrinkToFit="0" vertical="bottom" wrapText="1"/>
    </xf>
    <xf borderId="0" fillId="91" fontId="26" numFmtId="9" xfId="0" applyAlignment="1" applyFill="1" applyFont="1" applyNumberFormat="1">
      <alignment horizontal="center" shrinkToFit="0" vertical="bottom" wrapText="1"/>
    </xf>
    <xf borderId="0" fillId="92" fontId="26" numFmtId="9" xfId="0" applyAlignment="1" applyFill="1" applyFont="1" applyNumberFormat="1">
      <alignment horizontal="center" shrinkToFit="0" vertical="bottom" wrapText="1"/>
    </xf>
    <xf borderId="0" fillId="93" fontId="26" numFmtId="9" xfId="0" applyAlignment="1" applyFill="1" applyFont="1" applyNumberFormat="1">
      <alignment horizontal="center" shrinkToFit="0" vertical="bottom" wrapText="1"/>
    </xf>
    <xf borderId="0" fillId="94" fontId="26" numFmtId="9" xfId="0" applyAlignment="1" applyFill="1" applyFont="1" applyNumberFormat="1">
      <alignment horizontal="center" shrinkToFit="0" vertical="bottom" wrapText="1"/>
    </xf>
    <xf borderId="0" fillId="95" fontId="26" numFmtId="9" xfId="0" applyAlignment="1" applyFill="1" applyFont="1" applyNumberFormat="1">
      <alignment horizontal="center" shrinkToFit="0" vertical="bottom" wrapText="1"/>
    </xf>
    <xf borderId="0" fillId="96" fontId="26" numFmtId="9" xfId="0" applyAlignment="1" applyFill="1" applyFont="1" applyNumberFormat="1">
      <alignment horizontal="center" shrinkToFit="0" vertical="bottom" wrapText="1"/>
    </xf>
    <xf borderId="0" fillId="11" fontId="15" numFmtId="0" xfId="0" applyAlignment="1" applyFont="1">
      <alignment vertical="bottom"/>
    </xf>
    <xf borderId="0" fillId="97" fontId="26" numFmtId="9" xfId="0" applyAlignment="1" applyFill="1" applyFont="1" applyNumberFormat="1">
      <alignment horizontal="center" shrinkToFit="0" vertical="bottom" wrapText="1"/>
    </xf>
    <xf borderId="0" fillId="98" fontId="26" numFmtId="9" xfId="0" applyAlignment="1" applyFill="1" applyFont="1" applyNumberFormat="1">
      <alignment horizontal="center" shrinkToFit="0" vertical="bottom" wrapText="1"/>
    </xf>
    <xf borderId="0" fillId="12" fontId="15" numFmtId="172" xfId="0" applyAlignment="1" applyFont="1" applyNumberFormat="1">
      <alignment vertical="center"/>
    </xf>
    <xf borderId="0" fillId="5" fontId="24" numFmtId="0" xfId="0" applyAlignment="1" applyFont="1">
      <alignment vertical="center"/>
    </xf>
    <xf borderId="0" fillId="12" fontId="26" numFmtId="0" xfId="0" applyAlignment="1" applyFont="1">
      <alignment horizontal="center" shrinkToFit="0" wrapText="1"/>
    </xf>
    <xf borderId="0" fillId="99" fontId="26" numFmtId="9" xfId="0" applyAlignment="1" applyFill="1" applyFont="1" applyNumberFormat="1">
      <alignment horizontal="center" shrinkToFit="0" vertical="bottom" wrapText="1"/>
    </xf>
    <xf borderId="0" fillId="100" fontId="26" numFmtId="9" xfId="0" applyAlignment="1" applyFill="1" applyFont="1" applyNumberFormat="1">
      <alignment horizontal="center" shrinkToFit="0" vertical="bottom" wrapText="1"/>
    </xf>
    <xf borderId="0" fillId="101" fontId="26" numFmtId="9" xfId="0" applyAlignment="1" applyFill="1" applyFont="1" applyNumberFormat="1">
      <alignment horizontal="center" shrinkToFit="0" vertical="bottom" wrapText="1"/>
    </xf>
    <xf borderId="0" fillId="102" fontId="26" numFmtId="9" xfId="0" applyAlignment="1" applyFill="1" applyFont="1" applyNumberFormat="1">
      <alignment horizontal="center" shrinkToFit="0" vertical="bottom" wrapText="1"/>
    </xf>
    <xf borderId="0" fillId="103" fontId="26" numFmtId="9" xfId="0" applyAlignment="1" applyFill="1" applyFont="1" applyNumberFormat="1">
      <alignment horizontal="center" shrinkToFit="0" vertical="bottom" wrapText="1"/>
    </xf>
    <xf borderId="0" fillId="104" fontId="26" numFmtId="9" xfId="0" applyAlignment="1" applyFill="1" applyFont="1" applyNumberFormat="1">
      <alignment horizontal="center" shrinkToFit="0" vertical="bottom" wrapText="1"/>
    </xf>
    <xf borderId="0" fillId="105" fontId="26" numFmtId="9" xfId="0" applyAlignment="1" applyFill="1" applyFont="1" applyNumberFormat="1">
      <alignment horizontal="center" shrinkToFit="0" vertical="bottom" wrapText="1"/>
    </xf>
    <xf borderId="0" fillId="106" fontId="26" numFmtId="9" xfId="0" applyAlignment="1" applyFill="1" applyFont="1" applyNumberFormat="1">
      <alignment horizontal="center" shrinkToFit="0" vertical="bottom" wrapText="1"/>
    </xf>
    <xf borderId="0" fillId="107" fontId="26" numFmtId="9" xfId="0" applyAlignment="1" applyFill="1" applyFont="1" applyNumberFormat="1">
      <alignment horizontal="center" shrinkToFit="0" vertical="bottom" wrapText="1"/>
    </xf>
    <xf borderId="0" fillId="4" fontId="15" numFmtId="9" xfId="0" applyAlignment="1" applyFont="1" applyNumberFormat="1">
      <alignment vertical="bottom"/>
    </xf>
    <xf borderId="0" fillId="108" fontId="26" numFmtId="9" xfId="0" applyAlignment="1" applyFill="1" applyFont="1" applyNumberFormat="1">
      <alignment horizontal="center" shrinkToFit="0" vertical="bottom" wrapText="1"/>
    </xf>
    <xf borderId="0" fillId="109" fontId="26" numFmtId="9" xfId="0" applyAlignment="1" applyFill="1" applyFont="1" applyNumberFormat="1">
      <alignment horizontal="center" shrinkToFit="0" vertical="bottom" wrapText="1"/>
    </xf>
    <xf borderId="0" fillId="110" fontId="26" numFmtId="9" xfId="0" applyAlignment="1" applyFill="1" applyFont="1" applyNumberFormat="1">
      <alignment horizontal="center" shrinkToFit="0" vertical="bottom" wrapText="1"/>
    </xf>
    <xf borderId="0" fillId="111" fontId="26" numFmtId="9" xfId="0" applyAlignment="1" applyFill="1" applyFont="1" applyNumberFormat="1">
      <alignment horizontal="center" shrinkToFit="0" vertical="bottom" wrapText="1"/>
    </xf>
    <xf borderId="0" fillId="112" fontId="26" numFmtId="9" xfId="0" applyAlignment="1" applyFill="1" applyFont="1" applyNumberFormat="1">
      <alignment horizontal="center" shrinkToFit="0" vertical="bottom" wrapText="1"/>
    </xf>
    <xf borderId="0" fillId="113" fontId="26" numFmtId="9" xfId="0" applyAlignment="1" applyFill="1" applyFont="1" applyNumberFormat="1">
      <alignment horizontal="center" shrinkToFit="0" vertical="bottom" wrapText="1"/>
    </xf>
    <xf borderId="0" fillId="114" fontId="26" numFmtId="9" xfId="0" applyAlignment="1" applyFill="1" applyFont="1" applyNumberFormat="1">
      <alignment horizontal="center" shrinkToFit="0" vertical="bottom" wrapText="1"/>
    </xf>
    <xf borderId="0" fillId="115" fontId="26" numFmtId="9" xfId="0" applyAlignment="1" applyFill="1" applyFont="1" applyNumberFormat="1">
      <alignment horizontal="center" shrinkToFit="0" vertical="bottom" wrapText="1"/>
    </xf>
    <xf borderId="0" fillId="116" fontId="26" numFmtId="9" xfId="0" applyAlignment="1" applyFill="1" applyFont="1" applyNumberFormat="1">
      <alignment horizontal="center" shrinkToFit="0" vertical="bottom" wrapText="1"/>
    </xf>
    <xf borderId="0" fillId="117" fontId="26" numFmtId="9" xfId="0" applyAlignment="1" applyFill="1" applyFont="1" applyNumberFormat="1">
      <alignment horizontal="center" shrinkToFit="0" vertical="bottom" wrapText="1"/>
    </xf>
    <xf borderId="0" fillId="118" fontId="26" numFmtId="9" xfId="0" applyAlignment="1" applyFill="1" applyFont="1" applyNumberFormat="1">
      <alignment horizontal="center" shrinkToFit="0" vertical="bottom" wrapText="1"/>
    </xf>
    <xf borderId="0" fillId="119" fontId="26" numFmtId="9" xfId="0" applyAlignment="1" applyFill="1" applyFont="1" applyNumberFormat="1">
      <alignment horizontal="center" shrinkToFit="0" vertical="bottom" wrapText="1"/>
    </xf>
    <xf borderId="0" fillId="120" fontId="26" numFmtId="9" xfId="0" applyAlignment="1" applyFill="1" applyFont="1" applyNumberFormat="1">
      <alignment horizontal="center" shrinkToFit="0" vertical="bottom" wrapText="1"/>
    </xf>
    <xf borderId="0" fillId="121" fontId="26" numFmtId="9" xfId="0" applyAlignment="1" applyFill="1" applyFont="1" applyNumberFormat="1">
      <alignment horizontal="center" shrinkToFit="0" vertical="bottom" wrapText="1"/>
    </xf>
    <xf borderId="0" fillId="122" fontId="26" numFmtId="9" xfId="0" applyAlignment="1" applyFill="1" applyFont="1" applyNumberFormat="1">
      <alignment horizontal="center" shrinkToFit="0" vertical="bottom" wrapText="1"/>
    </xf>
    <xf borderId="0" fillId="123" fontId="26" numFmtId="9" xfId="0" applyAlignment="1" applyFill="1" applyFont="1" applyNumberFormat="1">
      <alignment horizontal="center" shrinkToFit="0" vertical="bottom" wrapText="1"/>
    </xf>
    <xf borderId="0" fillId="124" fontId="26" numFmtId="9" xfId="0" applyAlignment="1" applyFill="1" applyFont="1" applyNumberFormat="1">
      <alignment horizontal="center" shrinkToFit="0" vertical="bottom" wrapText="1"/>
    </xf>
    <xf borderId="0" fillId="125" fontId="26" numFmtId="9" xfId="0" applyAlignment="1" applyFill="1" applyFont="1" applyNumberFormat="1">
      <alignment horizontal="center" shrinkToFit="0" vertical="bottom" wrapText="1"/>
    </xf>
    <xf borderId="0" fillId="126" fontId="26" numFmtId="9" xfId="0" applyAlignment="1" applyFill="1" applyFont="1" applyNumberFormat="1">
      <alignment horizontal="center" shrinkToFit="0" vertical="bottom" wrapText="1"/>
    </xf>
    <xf borderId="0" fillId="127" fontId="26" numFmtId="9" xfId="0" applyAlignment="1" applyFill="1" applyFont="1" applyNumberFormat="1">
      <alignment horizontal="center" shrinkToFit="0" vertical="bottom" wrapText="1"/>
    </xf>
    <xf borderId="0" fillId="128" fontId="26" numFmtId="9" xfId="0" applyAlignment="1" applyFill="1" applyFont="1" applyNumberFormat="1">
      <alignment horizontal="center" shrinkToFit="0" vertical="bottom" wrapText="1"/>
    </xf>
    <xf borderId="0" fillId="129" fontId="26" numFmtId="9" xfId="0" applyAlignment="1" applyFill="1" applyFont="1" applyNumberFormat="1">
      <alignment horizontal="center" shrinkToFit="0" vertical="bottom" wrapText="1"/>
    </xf>
    <xf borderId="0" fillId="130" fontId="26" numFmtId="9" xfId="0" applyAlignment="1" applyFill="1" applyFont="1" applyNumberFormat="1">
      <alignment horizontal="center" shrinkToFit="0" vertical="bottom" wrapText="1"/>
    </xf>
    <xf borderId="0" fillId="131" fontId="26" numFmtId="9" xfId="0" applyAlignment="1" applyFill="1" applyFont="1" applyNumberFormat="1">
      <alignment horizontal="center" shrinkToFit="0" vertical="bottom" wrapText="1"/>
    </xf>
    <xf borderId="0" fillId="3" fontId="15" numFmtId="0" xfId="0" applyAlignment="1" applyFont="1">
      <alignment vertical="center"/>
    </xf>
    <xf borderId="0" fillId="3" fontId="15" numFmtId="0" xfId="0" applyAlignment="1" applyFont="1">
      <alignment vertical="bottom"/>
    </xf>
    <xf borderId="8" fillId="3" fontId="26" numFmtId="0" xfId="0" applyAlignment="1" applyBorder="1" applyFont="1">
      <alignment vertical="center"/>
    </xf>
    <xf borderId="0" fillId="3" fontId="26" numFmtId="171" xfId="0" applyAlignment="1" applyFont="1" applyNumberFormat="1">
      <alignment horizontal="center" shrinkToFit="0" vertical="center" wrapText="1"/>
    </xf>
    <xf borderId="0" fillId="3" fontId="27" numFmtId="168" xfId="0" applyAlignment="1" applyFont="1" applyNumberFormat="1">
      <alignment horizontal="center" shrinkToFit="0" vertical="bottom" wrapText="1"/>
    </xf>
    <xf borderId="0" fillId="3" fontId="15" numFmtId="168" xfId="0" applyAlignment="1" applyFont="1" applyNumberFormat="1">
      <alignment vertical="bottom"/>
    </xf>
    <xf borderId="0" fillId="3" fontId="15" numFmtId="9" xfId="0" applyAlignment="1" applyFont="1" applyNumberFormat="1">
      <alignment vertical="bottom"/>
    </xf>
    <xf borderId="0" fillId="3" fontId="26" numFmtId="170" xfId="0" applyAlignment="1" applyFont="1" applyNumberFormat="1">
      <alignment horizontal="center" shrinkToFit="0" vertical="bottom" wrapText="1"/>
    </xf>
    <xf borderId="0" fillId="3" fontId="26" numFmtId="168" xfId="0" applyAlignment="1" applyFont="1" applyNumberFormat="1">
      <alignment horizontal="center" shrinkToFit="0" vertical="bottom" wrapText="1"/>
    </xf>
    <xf borderId="0" fillId="3" fontId="26" numFmtId="9" xfId="0" applyAlignment="1" applyFont="1" applyNumberFormat="1">
      <alignment horizontal="center" shrinkToFit="0" vertical="bottom" wrapText="1"/>
    </xf>
    <xf borderId="0" fillId="132" fontId="26" numFmtId="9" xfId="0" applyAlignment="1" applyFill="1" applyFont="1" applyNumberFormat="1">
      <alignment horizontal="center" shrinkToFit="0" vertical="bottom" wrapText="1"/>
    </xf>
    <xf borderId="0" fillId="133" fontId="26" numFmtId="9" xfId="0" applyAlignment="1" applyFill="1" applyFont="1" applyNumberFormat="1">
      <alignment horizontal="center" shrinkToFit="0" vertical="bottom" wrapText="1"/>
    </xf>
    <xf borderId="0" fillId="134" fontId="26" numFmtId="9" xfId="0" applyAlignment="1" applyFill="1" applyFont="1" applyNumberFormat="1">
      <alignment horizontal="center" shrinkToFit="0" vertical="bottom" wrapText="1"/>
    </xf>
    <xf borderId="0" fillId="0" fontId="4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6" fontId="7" numFmtId="9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shrinkToFit="0" vertical="bottom" wrapText="0"/>
    </xf>
    <xf borderId="0" fillId="5" fontId="17" numFmtId="0" xfId="0" applyAlignment="1" applyFont="1">
      <alignment shrinkToFit="0" vertical="bottom" wrapText="0"/>
    </xf>
    <xf borderId="0" fillId="3" fontId="22" numFmtId="0" xfId="0" applyAlignment="1" applyFont="1">
      <alignment horizontal="center" shrinkToFit="0" vertical="bottom" wrapText="0"/>
    </xf>
    <xf borderId="0" fillId="3" fontId="7" numFmtId="9" xfId="0" applyAlignment="1" applyFont="1" applyNumberFormat="1">
      <alignment horizontal="center" shrinkToFit="0" vertical="center" wrapText="1"/>
    </xf>
    <xf borderId="0" fillId="0" fontId="19" numFmtId="0" xfId="0" applyFont="1"/>
    <xf borderId="0" fillId="5" fontId="24" numFmtId="0" xfId="0" applyAlignment="1" applyFont="1">
      <alignment shrinkToFit="0" vertical="center" wrapText="1"/>
    </xf>
    <xf borderId="0" fillId="12" fontId="27" numFmtId="0" xfId="0" applyAlignment="1" applyFont="1">
      <alignment shrinkToFit="0" vertical="bottom" wrapText="1"/>
    </xf>
    <xf borderId="0" fillId="5" fontId="26" numFmtId="0" xfId="0" applyAlignment="1" applyFont="1">
      <alignment shrinkToFit="0" vertical="bottom" wrapText="1"/>
    </xf>
    <xf borderId="0" fillId="5" fontId="26" numFmtId="167" xfId="0" applyAlignment="1" applyFont="1" applyNumberFormat="1">
      <alignment horizontal="center" shrinkToFit="0" vertical="bottom" wrapText="1"/>
    </xf>
    <xf borderId="0" fillId="3" fontId="27" numFmtId="168" xfId="0" applyAlignment="1" applyFont="1" applyNumberFormat="1">
      <alignment horizontal="center" vertical="bottom"/>
    </xf>
    <xf borderId="0" fillId="135" fontId="26" numFmtId="9" xfId="0" applyAlignment="1" applyFill="1" applyFont="1" applyNumberFormat="1">
      <alignment horizontal="center" shrinkToFit="0" vertical="bottom" wrapText="1"/>
    </xf>
    <xf borderId="0" fillId="136" fontId="26" numFmtId="9" xfId="0" applyAlignment="1" applyFill="1" applyFont="1" applyNumberFormat="1">
      <alignment horizontal="center" shrinkToFit="0" vertical="bottom" wrapText="1"/>
    </xf>
    <xf borderId="0" fillId="137" fontId="26" numFmtId="9" xfId="0" applyAlignment="1" applyFill="1" applyFont="1" applyNumberFormat="1">
      <alignment horizontal="center" shrinkToFit="0" vertical="bottom" wrapText="1"/>
    </xf>
    <xf borderId="0" fillId="138" fontId="26" numFmtId="9" xfId="0" applyAlignment="1" applyFill="1" applyFont="1" applyNumberFormat="1">
      <alignment horizontal="center" shrinkToFit="0" vertical="bottom" wrapText="1"/>
    </xf>
    <xf borderId="0" fillId="5" fontId="26" numFmtId="167" xfId="0" applyAlignment="1" applyFont="1" applyNumberFormat="1">
      <alignment horizontal="center" vertical="bottom"/>
    </xf>
    <xf borderId="0" fillId="5" fontId="26" numFmtId="170" xfId="0" applyAlignment="1" applyFont="1" applyNumberFormat="1">
      <alignment horizontal="right" vertical="bottom"/>
    </xf>
    <xf borderId="0" fillId="139" fontId="26" numFmtId="9" xfId="0" applyAlignment="1" applyFill="1" applyFont="1" applyNumberFormat="1">
      <alignment horizontal="center" shrinkToFit="0" vertical="bottom" wrapText="1"/>
    </xf>
    <xf borderId="0" fillId="5" fontId="29" numFmtId="0" xfId="0" applyAlignment="1" applyFont="1">
      <alignment vertical="bottom"/>
    </xf>
    <xf borderId="0" fillId="14" fontId="26" numFmtId="0" xfId="0" applyAlignment="1" applyFont="1">
      <alignment shrinkToFit="0" vertical="bottom" wrapText="1"/>
    </xf>
    <xf borderId="0" fillId="14" fontId="26" numFmtId="167" xfId="0" applyAlignment="1" applyFont="1" applyNumberFormat="1">
      <alignment horizontal="center" shrinkToFit="0" vertical="bottom" wrapText="1"/>
    </xf>
    <xf borderId="0" fillId="14" fontId="26" numFmtId="170" xfId="0" applyAlignment="1" applyFont="1" applyNumberFormat="1">
      <alignment horizontal="right" shrinkToFit="0" vertical="bottom" wrapText="1"/>
    </xf>
    <xf borderId="0" fillId="140" fontId="26" numFmtId="9" xfId="0" applyAlignment="1" applyFill="1" applyFont="1" applyNumberFormat="1">
      <alignment horizontal="center" shrinkToFit="0" vertical="bottom" wrapText="1"/>
    </xf>
    <xf borderId="0" fillId="141" fontId="26" numFmtId="9" xfId="0" applyAlignment="1" applyFill="1" applyFont="1" applyNumberFormat="1">
      <alignment horizontal="center" shrinkToFit="0" vertical="bottom" wrapText="1"/>
    </xf>
    <xf borderId="9" fillId="0" fontId="10" numFmtId="168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5" fontId="27" numFmtId="167" xfId="0" applyAlignment="1" applyBorder="1" applyFont="1" applyNumberFormat="1">
      <alignment horizontal="center" shrinkToFit="0" vertical="center" wrapText="1"/>
    </xf>
    <xf borderId="0" fillId="12" fontId="10" numFmtId="0" xfId="0" applyAlignment="1" applyFont="1">
      <alignment horizontal="left" shrinkToFit="0" vertical="center" wrapText="1"/>
    </xf>
    <xf borderId="0" fillId="12" fontId="3" numFmtId="0" xfId="0" applyAlignment="1" applyFont="1">
      <alignment horizontal="left" shrinkToFit="0" vertical="center" wrapText="1"/>
    </xf>
    <xf borderId="0" fillId="12" fontId="10" numFmtId="167" xfId="0" applyAlignment="1" applyFont="1" applyNumberFormat="1">
      <alignment horizontal="left" shrinkToFit="0" vertical="center" wrapText="1"/>
    </xf>
    <xf borderId="9" fillId="12" fontId="10" numFmtId="168" xfId="0" applyAlignment="1" applyBorder="1" applyFont="1" applyNumberFormat="1">
      <alignment horizontal="left" shrinkToFit="0" vertical="center" wrapText="1"/>
    </xf>
    <xf borderId="0" fillId="12" fontId="11" numFmtId="170" xfId="0" applyAlignment="1" applyFont="1" applyNumberFormat="1">
      <alignment horizontal="left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5" fontId="19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19" numFmtId="168" xfId="0" applyAlignment="1" applyFont="1" applyNumberFormat="1">
      <alignment horizontal="right" vertical="bottom"/>
    </xf>
    <xf borderId="4" fillId="0" fontId="19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/>
    </xf>
    <xf borderId="4" fillId="0" fontId="19" numFmtId="168" xfId="0" applyAlignment="1" applyBorder="1" applyFont="1" applyNumberFormat="1">
      <alignment horizontal="right" vertical="bottom"/>
    </xf>
    <xf borderId="4" fillId="5" fontId="11" numFmtId="170" xfId="0" applyAlignment="1" applyBorder="1" applyFont="1" applyNumberFormat="1">
      <alignment horizontal="center" shrinkToFit="0" vertical="center" wrapText="1"/>
    </xf>
    <xf borderId="4" fillId="3" fontId="10" numFmtId="9" xfId="0" applyAlignment="1" applyBorder="1" applyFont="1" applyNumberFormat="1">
      <alignment horizontal="center" shrinkToFit="0" vertical="center" wrapText="1"/>
    </xf>
    <xf borderId="0" fillId="142" fontId="26" numFmtId="168" xfId="0" applyAlignment="1" applyFill="1" applyFont="1" applyNumberFormat="1">
      <alignment horizontal="right" vertical="bottom"/>
    </xf>
    <xf borderId="0" fillId="0" fontId="19" numFmtId="168" xfId="0" applyAlignment="1" applyFont="1" applyNumberFormat="1">
      <alignment horizontal="center" vertical="center"/>
    </xf>
    <xf borderId="4" fillId="0" fontId="19" numFmtId="0" xfId="0" applyAlignment="1" applyBorder="1" applyFont="1">
      <alignment horizontal="center" vertical="center"/>
    </xf>
    <xf borderId="4" fillId="143" fontId="26" numFmtId="168" xfId="0" applyAlignment="1" applyBorder="1" applyFill="1" applyFont="1" applyNumberFormat="1">
      <alignment horizontal="right" vertical="bottom"/>
    </xf>
    <xf borderId="4" fillId="0" fontId="19" numFmtId="168" xfId="0" applyAlignment="1" applyBorder="1" applyFont="1" applyNumberFormat="1">
      <alignment horizontal="center" vertical="center"/>
    </xf>
    <xf borderId="0" fillId="0" fontId="19" numFmtId="3" xfId="0" applyAlignment="1" applyFont="1" applyNumberFormat="1">
      <alignment horizontal="center" vertical="center"/>
    </xf>
    <xf borderId="4" fillId="0" fontId="19" numFmtId="3" xfId="0" applyAlignment="1" applyBorder="1" applyFont="1" applyNumberFormat="1">
      <alignment horizontal="center" vertical="center"/>
    </xf>
    <xf borderId="4" fillId="5" fontId="10" numFmtId="3" xfId="0" applyAlignment="1" applyBorder="1" applyFont="1" applyNumberFormat="1">
      <alignment horizontal="center" shrinkToFit="0" vertical="center" wrapText="1"/>
    </xf>
    <xf borderId="0" fillId="144" fontId="19" numFmtId="3" xfId="0" applyAlignment="1" applyFill="1" applyFont="1" applyNumberFormat="1">
      <alignment horizontal="center" vertical="center"/>
    </xf>
    <xf borderId="0" fillId="0" fontId="19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left" shrinkToFit="0" vertical="center" wrapText="1"/>
    </xf>
    <xf borderId="0" fillId="6" fontId="10" numFmtId="168" xfId="0" applyAlignment="1" applyFont="1" applyNumberFormat="1">
      <alignment horizontal="center" shrinkToFit="0" vertical="center" wrapText="1"/>
    </xf>
    <xf borderId="0" fillId="0" fontId="10" numFmtId="17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5" fontId="27" numFmtId="9" xfId="0" applyAlignment="1" applyFont="1" applyNumberFormat="1">
      <alignment horizontal="center" shrinkToFit="0" vertical="center" wrapText="1"/>
    </xf>
    <xf borderId="0" fillId="12" fontId="1" numFmtId="0" xfId="0" applyAlignment="1" applyFont="1">
      <alignment horizontal="left" shrinkToFit="0" vertical="center" wrapText="1"/>
    </xf>
    <xf borderId="0" fillId="12" fontId="10" numFmtId="168" xfId="0" applyAlignment="1" applyFont="1" applyNumberFormat="1">
      <alignment horizontal="center" shrinkToFit="0" vertical="center" wrapText="1"/>
    </xf>
    <xf borderId="0" fillId="12" fontId="7" numFmtId="9" xfId="0" applyAlignment="1" applyFont="1" applyNumberFormat="1">
      <alignment horizontal="center" shrinkToFit="0" vertical="center" wrapText="1"/>
    </xf>
    <xf borderId="0" fillId="16" fontId="10" numFmtId="9" xfId="0" applyAlignment="1" applyFont="1" applyNumberFormat="1">
      <alignment horizontal="center" shrinkToFit="0" vertical="center" wrapText="1"/>
    </xf>
    <xf borderId="0" fillId="12" fontId="10" numFmtId="9" xfId="0" applyAlignment="1" applyFont="1" applyNumberFormat="1">
      <alignment horizontal="center" shrinkToFit="0" vertical="center" wrapText="1"/>
    </xf>
    <xf borderId="0" fillId="3" fontId="11" numFmtId="170" xfId="0" applyAlignment="1" applyFont="1" applyNumberFormat="1">
      <alignment horizontal="center" shrinkToFit="0" vertical="center" wrapText="1"/>
    </xf>
    <xf borderId="0" fillId="6" fontId="10" numFmtId="0" xfId="0" applyAlignment="1" applyFont="1">
      <alignment shrinkToFit="0" vertical="center" wrapText="1"/>
    </xf>
    <xf borderId="0" fillId="6" fontId="12" numFmtId="0" xfId="0" applyAlignment="1" applyFont="1">
      <alignment horizontal="left" shrinkToFit="0" vertical="center" wrapText="1"/>
    </xf>
    <xf borderId="0" fillId="6" fontId="10" numFmtId="167" xfId="0" applyAlignment="1" applyFont="1" applyNumberFormat="1">
      <alignment horizontal="center" shrinkToFit="0" vertical="center" wrapText="1"/>
    </xf>
    <xf borderId="0" fillId="6" fontId="11" numFmtId="170" xfId="0" applyAlignment="1" applyFont="1" applyNumberFormat="1">
      <alignment horizontal="center" shrinkToFit="0" vertical="center" wrapText="1"/>
    </xf>
    <xf borderId="0" fillId="6" fontId="10" numFmtId="9" xfId="0" applyAlignment="1" applyFont="1" applyNumberFormat="1">
      <alignment horizontal="center" shrinkToFit="0" vertical="center" wrapText="1"/>
    </xf>
    <xf borderId="0" fillId="6" fontId="3" numFmtId="168" xfId="0" applyAlignment="1" applyFont="1" applyNumberFormat="1">
      <alignment horizontal="center" shrinkToFit="0" vertical="center" wrapText="1"/>
    </xf>
    <xf borderId="0" fillId="3" fontId="10" numFmtId="0" xfId="0" applyAlignment="1" applyFont="1">
      <alignment shrinkToFit="0" vertical="center" wrapText="1"/>
    </xf>
    <xf borderId="0" fillId="6" fontId="10" numFmtId="0" xfId="0" applyAlignment="1" applyFont="1">
      <alignment horizontal="left" shrinkToFit="0" vertical="center" wrapText="1"/>
    </xf>
    <xf borderId="0" fillId="6" fontId="3" numFmtId="0" xfId="0" applyAlignment="1" applyFont="1">
      <alignment horizontal="left" shrinkToFit="0" vertical="center" wrapText="1"/>
    </xf>
    <xf borderId="0" fillId="5" fontId="17" numFmtId="9" xfId="0" applyAlignment="1" applyFont="1" applyNumberForma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6" fontId="17" numFmtId="9" xfId="0" applyAlignment="1" applyFont="1" applyNumberFormat="1">
      <alignment horizontal="center" shrinkToFit="0" vertical="center" wrapText="1"/>
    </xf>
    <xf borderId="0" fillId="5" fontId="3" numFmtId="167" xfId="0" applyAlignment="1" applyFont="1" applyNumberFormat="1">
      <alignment horizontal="center" shrinkToFit="0" vertical="center" wrapText="1"/>
    </xf>
    <xf borderId="0" fillId="3" fontId="3" numFmtId="167" xfId="0" applyAlignment="1" applyFont="1" applyNumberFormat="1">
      <alignment horizontal="center" shrinkToFit="0" vertical="center" wrapText="1"/>
    </xf>
    <xf borderId="0" fillId="5" fontId="10" numFmtId="170" xfId="0" applyAlignment="1" applyFont="1" applyNumberFormat="1">
      <alignment horizontal="center" shrinkToFit="0" vertical="center" wrapText="1"/>
    </xf>
    <xf borderId="0" fillId="6" fontId="10" numFmtId="170" xfId="0" applyAlignment="1" applyFont="1" applyNumberFormat="1">
      <alignment horizontal="center" shrinkToFit="0" vertical="center" wrapText="1"/>
    </xf>
    <xf borderId="0" fillId="13" fontId="10" numFmtId="167" xfId="0" applyAlignment="1" applyFont="1" applyNumberFormat="1">
      <alignment horizontal="center" shrinkToFit="0" vertical="center" wrapText="1"/>
    </xf>
    <xf borderId="0" fillId="13" fontId="10" numFmtId="170" xfId="0" applyAlignment="1" applyFont="1" applyNumberFormat="1">
      <alignment horizontal="center" shrinkToFit="0" vertical="center" wrapText="1"/>
    </xf>
    <xf borderId="0" fillId="13" fontId="10" numFmtId="9" xfId="0" applyAlignment="1" applyFont="1" applyNumberFormat="1">
      <alignment horizontal="center" shrinkToFit="0" vertical="center" wrapText="1"/>
    </xf>
    <xf borderId="0" fillId="12" fontId="3" numFmtId="167" xfId="0" applyAlignment="1" applyFont="1" applyNumberFormat="1">
      <alignment horizontal="left" shrinkToFit="0" vertical="center" wrapText="1"/>
    </xf>
    <xf borderId="0" fillId="12" fontId="3" numFmtId="168" xfId="0" applyAlignment="1" applyFont="1" applyNumberFormat="1">
      <alignment horizontal="center" shrinkToFit="0" vertical="center" wrapText="1"/>
    </xf>
    <xf borderId="0" fillId="12" fontId="3" numFmtId="9" xfId="0" applyAlignment="1" applyFont="1" applyNumberFormat="1">
      <alignment horizontal="center" shrinkToFit="0" vertical="center" wrapText="1"/>
    </xf>
    <xf borderId="0" fillId="12" fontId="3" numFmtId="0" xfId="0" applyAlignment="1" applyFont="1">
      <alignment horizontal="center" shrinkToFit="0" vertical="center" wrapText="1"/>
    </xf>
    <xf borderId="0" fillId="3" fontId="10" numFmtId="0" xfId="0" applyFont="1"/>
    <xf borderId="0" fillId="0" fontId="10" numFmtId="0" xfId="0" applyFont="1"/>
    <xf borderId="0" fillId="3" fontId="10" numFmtId="170" xfId="0" applyAlignment="1" applyFont="1" applyNumberFormat="1">
      <alignment horizontal="center" shrinkToFit="0" vertical="center" wrapText="1"/>
    </xf>
    <xf borderId="0" fillId="13" fontId="10" numFmtId="0" xfId="0" applyAlignment="1" applyFont="1">
      <alignment shrinkToFit="0" vertical="center" wrapText="1"/>
    </xf>
    <xf borderId="0" fillId="13" fontId="11" numFmtId="170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5" fontId="30" numFmtId="0" xfId="0" applyAlignment="1" applyFont="1">
      <alignment horizontal="left" shrinkToFit="0" vertical="center" wrapText="1"/>
    </xf>
    <xf borderId="0" fillId="3" fontId="10" numFmtId="0" xfId="0" applyAlignment="1" applyFont="1">
      <alignment horizontal="left" vertical="center"/>
    </xf>
    <xf borderId="0" fillId="12" fontId="10" numFmtId="0" xfId="0" applyAlignment="1" applyFont="1">
      <alignment shrinkToFit="0" vertical="center" wrapText="1"/>
    </xf>
    <xf borderId="0" fillId="12" fontId="10" numFmtId="167" xfId="0" applyAlignment="1" applyFont="1" applyNumberFormat="1">
      <alignment horizontal="center" shrinkToFit="0" vertical="center" wrapText="1"/>
    </xf>
    <xf borderId="0" fillId="12" fontId="11" numFmtId="170" xfId="0" applyAlignment="1" applyFont="1" applyNumberFormat="1">
      <alignment horizontal="center" shrinkToFit="0" vertical="center" wrapText="1"/>
    </xf>
    <xf borderId="0" fillId="5" fontId="19" numFmtId="0" xfId="0" applyAlignment="1" applyFont="1">
      <alignment shrinkToFit="0" vertical="center" wrapText="1"/>
    </xf>
    <xf borderId="0" fillId="6" fontId="19" numFmtId="0" xfId="0" applyAlignment="1" applyFont="1">
      <alignment shrinkToFit="0" vertical="center" wrapText="1"/>
    </xf>
    <xf borderId="0" fillId="12" fontId="3" numFmtId="0" xfId="0" applyAlignment="1" applyFont="1">
      <alignment shrinkToFit="0" vertical="center" wrapText="1"/>
    </xf>
    <xf borderId="0" fillId="12" fontId="3" numFmtId="0" xfId="0" applyAlignment="1" applyFont="1">
      <alignment vertical="center"/>
    </xf>
    <xf borderId="0" fillId="12" fontId="3" numFmtId="9" xfId="0" applyAlignment="1" applyFont="1" applyNumberForma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5" fontId="3" numFmtId="0" xfId="0" applyAlignment="1" applyFont="1">
      <alignment shrinkToFit="0" vertical="center" wrapText="1"/>
    </xf>
    <xf borderId="0" fillId="5" fontId="11" numFmtId="170" xfId="0" applyAlignment="1" applyFont="1" applyNumberFormat="1">
      <alignment horizontal="center" shrinkToFit="0" vertical="center" wrapText="0"/>
    </xf>
    <xf borderId="0" fillId="5" fontId="9" numFmtId="170" xfId="0" applyAlignment="1" applyFont="1" applyNumberFormat="1">
      <alignment horizontal="center" shrinkToFit="0" vertical="center" wrapText="1"/>
    </xf>
    <xf borderId="0" fillId="5" fontId="7" numFmtId="9" xfId="0" applyAlignment="1" applyFont="1" applyNumberFormat="1">
      <alignment horizontal="center" shrinkToFit="0" vertical="center" wrapText="1"/>
    </xf>
    <xf borderId="0" fillId="12" fontId="10" numFmtId="168" xfId="0" applyAlignment="1" applyFont="1" applyNumberFormat="1">
      <alignment horizontal="left" shrinkToFit="0" vertical="center" wrapText="1"/>
    </xf>
    <xf borderId="0" fillId="145" fontId="10" numFmtId="0" xfId="0" applyAlignment="1" applyFill="1" applyFont="1">
      <alignment horizontal="left" shrinkToFit="0" vertical="center" wrapText="1"/>
    </xf>
    <xf borderId="0" fillId="145" fontId="3" numFmtId="0" xfId="0" applyAlignment="1" applyFont="1">
      <alignment horizontal="left" shrinkToFit="0" vertical="center" wrapText="1"/>
    </xf>
    <xf borderId="0" fillId="12" fontId="3" numFmtId="168" xfId="0" applyAlignment="1" applyFont="1" applyNumberFormat="1">
      <alignment horizontal="left" shrinkToFit="0" vertical="center" wrapText="1"/>
    </xf>
    <xf borderId="0" fillId="5" fontId="10" numFmtId="0" xfId="0" applyFont="1"/>
    <xf borderId="0" fillId="5" fontId="10" numFmtId="0" xfId="0" applyAlignment="1" applyFont="1">
      <alignment shrinkToFit="0" wrapText="1"/>
    </xf>
    <xf borderId="0" fillId="145" fontId="10" numFmtId="0" xfId="0" applyAlignment="1" applyFont="1">
      <alignment shrinkToFit="0" vertical="center" wrapText="1"/>
    </xf>
    <xf borderId="0" fillId="145" fontId="10" numFmtId="0" xfId="0" applyAlignment="1" applyFont="1">
      <alignment horizontal="left" vertical="center"/>
    </xf>
    <xf borderId="0" fillId="145" fontId="3" numFmtId="0" xfId="0" applyAlignment="1" applyFont="1">
      <alignment shrinkToFit="0" vertical="center" wrapText="1"/>
    </xf>
    <xf borderId="0" fillId="146" fontId="11" numFmtId="170" xfId="0" applyAlignment="1" applyFill="1" applyFont="1" applyNumberFormat="1">
      <alignment horizontal="center" shrinkToFit="0" vertical="center" wrapText="1"/>
    </xf>
    <xf borderId="0" fillId="146" fontId="10" numFmtId="0" xfId="0" applyAlignment="1" applyFont="1">
      <alignment horizontal="center" shrinkToFit="0" vertical="center" wrapText="1"/>
    </xf>
    <xf borderId="0" fillId="146" fontId="10" numFmtId="0" xfId="0" applyAlignment="1" applyFont="1">
      <alignment horizontal="left" shrinkToFit="0" vertical="center" wrapText="1"/>
    </xf>
    <xf borderId="0" fillId="146" fontId="10" numFmtId="167" xfId="0" applyAlignment="1" applyFont="1" applyNumberFormat="1">
      <alignment horizontal="center" shrinkToFit="0" vertical="center" wrapText="1"/>
    </xf>
    <xf borderId="0" fillId="146" fontId="10" numFmtId="168" xfId="0" applyAlignment="1" applyFont="1" applyNumberFormat="1">
      <alignment horizontal="center" shrinkToFit="0" vertical="center" wrapText="1"/>
    </xf>
    <xf borderId="0" fillId="146" fontId="10" numFmtId="9" xfId="0" applyAlignment="1" applyFont="1" applyNumberFormat="1">
      <alignment horizontal="center" shrinkToFit="0" vertical="center" wrapText="1"/>
    </xf>
    <xf borderId="0" fillId="146" fontId="3" numFmtId="168" xfId="0" applyAlignment="1" applyFont="1" applyNumberFormat="1">
      <alignment horizontal="center" shrinkToFit="0" vertical="center" wrapText="1"/>
    </xf>
    <xf borderId="0" fillId="146" fontId="10" numFmtId="0" xfId="0" applyAlignment="1" applyFont="1">
      <alignment shrinkToFit="0" vertical="center" wrapText="1"/>
    </xf>
    <xf borderId="0" fillId="146" fontId="12" numFmtId="0" xfId="0" applyAlignment="1" applyFont="1">
      <alignment horizontal="left" shrinkToFit="0" vertical="center" wrapText="1"/>
    </xf>
    <xf borderId="0" fillId="146" fontId="3" numFmtId="0" xfId="0" applyAlignment="1" applyFont="1">
      <alignment horizontal="left" shrinkToFit="0" vertical="center" wrapText="1"/>
    </xf>
    <xf borderId="0" fillId="146" fontId="17" numFmtId="9" xfId="0" applyAlignment="1" applyFont="1" applyNumberFormat="1">
      <alignment horizontal="center" shrinkToFit="0" vertical="center" wrapText="1"/>
    </xf>
    <xf borderId="0" fillId="146" fontId="3" numFmtId="0" xfId="0" applyAlignment="1" applyFont="1">
      <alignment horizontal="center" shrinkToFit="0" vertical="center" wrapText="1"/>
    </xf>
    <xf borderId="0" fillId="146" fontId="3" numFmtId="167" xfId="0" applyAlignment="1" applyFont="1" applyNumberFormat="1">
      <alignment horizontal="center" shrinkToFit="0" vertical="center" wrapText="1"/>
    </xf>
    <xf borderId="0" fillId="9" fontId="10" numFmtId="0" xfId="0" applyAlignment="1" applyFont="1">
      <alignment horizontal="center" shrinkToFit="0" vertical="center" wrapText="1"/>
    </xf>
    <xf borderId="0" fillId="9" fontId="10" numFmtId="0" xfId="0" applyAlignment="1" applyFont="1">
      <alignment horizontal="left" shrinkToFit="0" vertical="center" wrapText="1"/>
    </xf>
    <xf borderId="0" fillId="9" fontId="10" numFmtId="167" xfId="0" applyAlignment="1" applyFont="1" applyNumberFormat="1">
      <alignment horizontal="center" shrinkToFit="0" vertical="center" wrapText="1"/>
    </xf>
    <xf borderId="0" fillId="9" fontId="10" numFmtId="168" xfId="0" applyAlignment="1" applyFont="1" applyNumberFormat="1">
      <alignment horizontal="center" shrinkToFit="0" vertical="center" wrapText="1"/>
    </xf>
    <xf borderId="0" fillId="9" fontId="11" numFmtId="170" xfId="0" applyAlignment="1" applyFont="1" applyNumberFormat="1">
      <alignment horizontal="center" shrinkToFit="0" vertical="center" wrapText="1"/>
    </xf>
    <xf borderId="0" fillId="9" fontId="10" numFmtId="9" xfId="0" applyAlignment="1" applyFont="1" applyNumberFormat="1">
      <alignment horizontal="center" shrinkToFit="0" vertical="center" wrapText="1"/>
    </xf>
    <xf borderId="0" fillId="9" fontId="3" numFmtId="168" xfId="0" applyAlignment="1" applyFont="1" applyNumberFormat="1">
      <alignment horizontal="center" shrinkToFit="0" vertical="center" wrapText="1"/>
    </xf>
    <xf borderId="0" fillId="146" fontId="10" numFmtId="170" xfId="0" applyAlignment="1" applyFont="1" applyNumberFormat="1">
      <alignment horizontal="center" shrinkToFit="0" vertical="center" wrapText="1"/>
    </xf>
    <xf borderId="0" fillId="146" fontId="31" numFmtId="0" xfId="0" applyFont="1"/>
    <xf borderId="0" fillId="146" fontId="31" numFmtId="0" xfId="0" applyAlignment="1" applyFont="1">
      <alignment shrinkToFit="0" wrapText="1"/>
    </xf>
    <xf borderId="0" fillId="146" fontId="7" numFmtId="0" xfId="0" applyAlignment="1" applyFont="1">
      <alignment shrinkToFit="0" vertical="center" wrapText="1"/>
    </xf>
    <xf borderId="0" fillId="146" fontId="7" numFmtId="0" xfId="0" applyAlignment="1" applyFont="1">
      <alignment horizontal="left" shrinkToFit="0" vertical="center" wrapText="1"/>
    </xf>
    <xf borderId="0" fillId="146" fontId="30" numFmtId="0" xfId="0" applyAlignment="1" applyFont="1">
      <alignment horizontal="left" shrinkToFit="0" vertical="center" wrapText="1"/>
    </xf>
    <xf borderId="0" fillId="146" fontId="10" numFmtId="0" xfId="0" applyAlignment="1" applyFont="1">
      <alignment horizontal="left" vertical="center"/>
    </xf>
    <xf borderId="0" fillId="145" fontId="17" numFmtId="0" xfId="0" applyAlignment="1" applyFont="1">
      <alignment shrinkToFit="0" wrapText="1"/>
    </xf>
    <xf borderId="0" fillId="5" fontId="19" numFmtId="0" xfId="0" applyAlignment="1" applyFont="1">
      <alignment shrinkToFit="0" wrapText="1"/>
    </xf>
    <xf borderId="0" fillId="5" fontId="17" numFmtId="167" xfId="0" applyAlignment="1" applyFont="1" applyNumberFormat="1">
      <alignment horizontal="center" shrinkToFit="0" wrapText="1"/>
    </xf>
    <xf borderId="0" fillId="5" fontId="14" numFmtId="170" xfId="0" applyAlignment="1" applyFont="1" applyNumberFormat="1">
      <alignment horizontal="center" shrinkToFit="0" wrapText="1"/>
    </xf>
    <xf borderId="0" fillId="5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9" numFmtId="0" xfId="0" applyAlignment="1" applyFont="1">
      <alignment shrinkToFit="0" wrapText="1"/>
    </xf>
    <xf borderId="0" fillId="5" fontId="15" numFmtId="170" xfId="0" applyFont="1" applyNumberFormat="1"/>
    <xf borderId="0" fillId="5" fontId="17" numFmtId="9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13" fontId="12" numFmtId="0" xfId="0" applyAlignment="1" applyFont="1">
      <alignment horizontal="left" shrinkToFit="0" vertical="center" wrapText="1"/>
    </xf>
    <xf borderId="0" fillId="145" fontId="10" numFmtId="0" xfId="0" applyAlignment="1" applyFont="1">
      <alignment horizontal="center" shrinkToFit="0" vertical="center" wrapText="1"/>
    </xf>
    <xf borderId="0" fillId="13" fontId="31" numFmtId="0" xfId="0" applyFont="1"/>
    <xf borderId="0" fillId="5" fontId="31" numFmtId="0" xfId="0" applyFont="1"/>
    <xf borderId="0" fillId="0" fontId="32" numFmtId="0" xfId="0" applyAlignment="1" applyFont="1">
      <alignment shrinkToFit="0" wrapText="1"/>
    </xf>
    <xf borderId="0" fillId="13" fontId="17" numFmtId="9" xfId="0" applyAlignment="1" applyFont="1" applyNumberFormat="1">
      <alignment horizontal="center" shrinkToFit="0" vertical="center" wrapText="1"/>
    </xf>
    <xf borderId="0" fillId="5" fontId="33" numFmtId="0" xfId="0" applyAlignment="1" applyFont="1">
      <alignment horizontal="center" shrinkToFit="0" vertical="center" wrapText="1"/>
    </xf>
    <xf borderId="0" fillId="105" fontId="19" numFmtId="168" xfId="0" applyAlignment="1" applyFont="1" applyNumberFormat="1">
      <alignment horizontal="center" shrinkToFit="0" wrapText="1"/>
    </xf>
    <xf borderId="0" fillId="147" fontId="19" numFmtId="168" xfId="0" applyAlignment="1" applyFill="1" applyFont="1" applyNumberFormat="1">
      <alignment horizontal="center" shrinkToFit="0" wrapText="1"/>
    </xf>
    <xf borderId="0" fillId="99" fontId="19" numFmtId="168" xfId="0" applyAlignment="1" applyFont="1" applyNumberFormat="1">
      <alignment horizontal="center" shrinkToFit="0" wrapText="1"/>
    </xf>
    <xf borderId="0" fillId="45" fontId="19" numFmtId="168" xfId="0" applyAlignment="1" applyFont="1" applyNumberFormat="1">
      <alignment horizontal="center" shrinkToFit="0" wrapText="1"/>
    </xf>
    <xf borderId="0" fillId="5" fontId="3" numFmtId="0" xfId="0" applyAlignment="1" applyFont="1">
      <alignment vertical="center"/>
    </xf>
    <xf borderId="0" fillId="10" fontId="10" numFmtId="0" xfId="0" applyAlignment="1" applyFon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vertical="center" wrapText="1"/>
    </xf>
    <xf borderId="0" fillId="0" fontId="34" numFmtId="170" xfId="0" applyAlignment="1" applyFont="1" applyNumberFormat="1">
      <alignment horizontal="center" shrinkToFit="0" vertical="center" wrapText="1"/>
    </xf>
    <xf borderId="0" fillId="0" fontId="22" numFmtId="9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/>
    </xf>
    <xf borderId="0" fillId="0" fontId="35" numFmtId="0" xfId="0" applyFont="1"/>
    <xf borderId="0" fillId="3" fontId="24" numFmtId="0" xfId="0" applyAlignment="1" applyFont="1">
      <alignment shrinkToFit="0" vertical="bottom" wrapText="0"/>
    </xf>
    <xf borderId="0" fillId="16" fontId="22" numFmtId="9" xfId="0" applyAlignment="1" applyFont="1" applyNumberFormat="1">
      <alignment horizontal="center" shrinkToFit="0" vertical="center" wrapText="1"/>
    </xf>
    <xf borderId="0" fillId="5" fontId="24" numFmtId="0" xfId="0" applyAlignment="1" applyFont="1">
      <alignment shrinkToFit="0" vertical="bottom" wrapText="1"/>
    </xf>
    <xf borderId="0" fillId="5" fontId="24" numFmtId="167" xfId="0" applyAlignment="1" applyFont="1" applyNumberFormat="1">
      <alignment horizontal="center" shrinkToFit="0" vertical="center" wrapText="1"/>
    </xf>
    <xf borderId="0" fillId="5" fontId="24" numFmtId="168" xfId="0" applyAlignment="1" applyFont="1" applyNumberFormat="1">
      <alignment horizontal="center" shrinkToFit="0" vertical="center" wrapText="1"/>
    </xf>
    <xf borderId="0" fillId="5" fontId="18" numFmtId="170" xfId="0" applyAlignment="1" applyFont="1" applyNumberFormat="1">
      <alignment horizontal="center" shrinkToFit="0" vertical="center" wrapText="1"/>
    </xf>
    <xf borderId="0" fillId="5" fontId="24" numFmtId="9" xfId="0" applyAlignment="1" applyFont="1" applyNumberFormat="1">
      <alignment horizontal="center" shrinkToFit="0" vertical="center" wrapText="1"/>
    </xf>
    <xf borderId="0" fillId="0" fontId="24" numFmtId="9" xfId="0" applyAlignment="1" applyFont="1" applyNumberFormat="1">
      <alignment horizontal="center" shrinkToFit="0" vertical="center" wrapText="1"/>
    </xf>
    <xf borderId="0" fillId="0" fontId="24" numFmtId="168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right" shrinkToFit="0" vertical="bottom" wrapText="0"/>
    </xf>
    <xf borderId="0" fillId="14" fontId="24" numFmtId="168" xfId="0" applyAlignment="1" applyFont="1" applyNumberFormat="1">
      <alignment horizontal="center" shrinkToFit="0" vertical="center" wrapText="1"/>
    </xf>
    <xf borderId="0" fillId="14" fontId="18" numFmtId="170" xfId="0" applyAlignment="1" applyFont="1" applyNumberFormat="1">
      <alignment horizontal="center" shrinkToFit="0" vertical="center" wrapText="1"/>
    </xf>
    <xf borderId="0" fillId="0" fontId="18" numFmtId="170" xfId="0" applyAlignment="1" applyFont="1" applyNumberFormat="1">
      <alignment horizontal="center" shrinkToFit="0" vertical="center" wrapText="1"/>
    </xf>
    <xf borderId="0" fillId="5" fontId="26" numFmtId="168" xfId="0" applyAlignment="1" applyFont="1" applyNumberFormat="1">
      <alignment horizontal="center" shrinkToFit="0" wrapText="1"/>
    </xf>
    <xf borderId="0" fillId="5" fontId="18" numFmtId="170" xfId="0" applyAlignment="1" applyFont="1" applyNumberFormat="1">
      <alignment horizontal="center" shrinkToFit="0" wrapText="1"/>
    </xf>
    <xf borderId="0" fillId="6" fontId="24" numFmtId="0" xfId="0" applyAlignment="1" applyFont="1">
      <alignment shrinkToFit="0" vertical="bottom" wrapText="0"/>
    </xf>
    <xf borderId="0" fillId="6" fontId="25" numFmtId="0" xfId="0" applyAlignment="1" applyFont="1">
      <alignment shrinkToFit="0" wrapText="0"/>
    </xf>
    <xf borderId="0" fillId="6" fontId="24" numFmtId="167" xfId="0" applyAlignment="1" applyFont="1" applyNumberFormat="1">
      <alignment horizontal="center" shrinkToFit="0" vertical="center" wrapText="1"/>
    </xf>
    <xf borderId="0" fillId="6" fontId="26" numFmtId="168" xfId="0" applyAlignment="1" applyFont="1" applyNumberFormat="1">
      <alignment horizontal="center" shrinkToFit="0" wrapText="1"/>
    </xf>
    <xf borderId="0" fillId="6" fontId="18" numFmtId="170" xfId="0" applyAlignment="1" applyFont="1" applyNumberFormat="1">
      <alignment horizontal="center" shrinkToFit="0" wrapText="1"/>
    </xf>
    <xf borderId="0" fillId="6" fontId="24" numFmtId="9" xfId="0" applyAlignment="1" applyFont="1" applyNumberFormat="1">
      <alignment horizontal="center" shrinkToFit="0" vertical="center" wrapText="1"/>
    </xf>
    <xf borderId="0" fillId="6" fontId="24" numFmtId="168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5" fontId="24" numFmtId="0" xfId="0" applyAlignment="1" applyFont="1">
      <alignment horizontal="right" shrinkToFit="0" vertical="bottom" wrapText="0"/>
    </xf>
    <xf borderId="0" fillId="5" fontId="18" numFmtId="170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shrinkToFit="0" vertical="bottom" wrapText="1"/>
    </xf>
    <xf borderId="0" fillId="5" fontId="24" numFmtId="0" xfId="0" applyAlignment="1" applyFont="1">
      <alignment horizontal="center" shrinkToFit="0" vertical="center" wrapText="1"/>
    </xf>
    <xf borderId="0" fillId="3" fontId="24" numFmtId="9" xfId="0" applyAlignment="1" applyFont="1" applyNumberFormat="1">
      <alignment horizontal="center" shrinkToFit="0" vertical="center" wrapText="1"/>
    </xf>
    <xf borderId="0" fillId="3" fontId="24" numFmtId="167" xfId="0" applyAlignment="1" applyFont="1" applyNumberFormat="1">
      <alignment horizontal="center" shrinkToFit="0" vertical="center" wrapText="1"/>
    </xf>
    <xf borderId="0" fillId="5" fontId="24" numFmtId="0" xfId="0" applyAlignment="1" applyFont="1">
      <alignment horizontal="left" shrinkToFit="0" vertical="bottom" wrapText="1"/>
    </xf>
    <xf borderId="0" fillId="5" fontId="24" numFmtId="167" xfId="0" applyAlignment="1" applyFont="1" applyNumberFormat="1">
      <alignment horizontal="center" shrinkToFit="0" wrapText="1"/>
    </xf>
    <xf borderId="0" fillId="0" fontId="24" numFmtId="0" xfId="0" applyAlignment="1" applyFont="1">
      <alignment shrinkToFit="0" vertical="center" wrapText="1"/>
    </xf>
    <xf borderId="0" fillId="0" fontId="36" numFmtId="0" xfId="0" applyAlignment="1" applyFont="1">
      <alignment vertical="bottom"/>
    </xf>
    <xf borderId="0" fillId="0" fontId="36" numFmtId="9" xfId="0" applyAlignment="1" applyFont="1" applyNumberFormat="1">
      <alignment vertical="bottom"/>
    </xf>
    <xf borderId="0" fillId="14" fontId="26" numFmtId="0" xfId="0" applyAlignment="1" applyFont="1">
      <alignment vertical="bottom"/>
    </xf>
    <xf borderId="0" fillId="6" fontId="26" numFmtId="0" xfId="0" applyAlignment="1" applyFont="1">
      <alignment shrinkToFit="0" vertical="bottom" wrapText="1"/>
    </xf>
    <xf borderId="0" fillId="0" fontId="36" numFmtId="170" xfId="0" applyAlignment="1" applyFont="1" applyNumberFormat="1">
      <alignment horizontal="right" vertical="bottom"/>
    </xf>
    <xf borderId="0" fillId="12" fontId="19" numFmtId="167" xfId="0" applyAlignment="1" applyFont="1" applyNumberFormat="1">
      <alignment vertical="bottom"/>
    </xf>
    <xf borderId="0" fillId="12" fontId="19" numFmtId="168" xfId="0" applyAlignment="1" applyFont="1" applyNumberFormat="1">
      <alignment vertical="bottom"/>
    </xf>
    <xf borderId="0" fillId="5" fontId="19" numFmtId="0" xfId="0" applyAlignment="1" applyFont="1">
      <alignment vertical="bottom"/>
    </xf>
    <xf borderId="0" fillId="3" fontId="19" numFmtId="0" xfId="0" applyAlignment="1" applyFont="1">
      <alignment vertical="bottom"/>
    </xf>
    <xf borderId="0" fillId="12" fontId="26" numFmtId="0" xfId="0" applyAlignment="1" applyFont="1">
      <alignment horizontal="center" vertical="bottom"/>
    </xf>
    <xf borderId="0" fillId="12" fontId="27" numFmtId="167" xfId="0" applyAlignment="1" applyFont="1" applyNumberFormat="1">
      <alignment horizontal="center" shrinkToFit="0" vertical="bottom" wrapText="1"/>
    </xf>
    <xf borderId="0" fillId="12" fontId="27" numFmtId="170" xfId="0" applyAlignment="1" applyFont="1" applyNumberFormat="1">
      <alignment horizontal="center" shrinkToFit="0" vertical="bottom" wrapText="1"/>
    </xf>
    <xf borderId="0" fillId="12" fontId="21" numFmtId="168" xfId="0" applyAlignment="1" applyFont="1" applyNumberFormat="1">
      <alignment horizontal="center" vertical="bottom"/>
    </xf>
    <xf borderId="0" fillId="12" fontId="27" numFmtId="0" xfId="0" applyAlignment="1" applyFont="1">
      <alignment horizontal="center" shrinkToFit="0" vertical="bottom" wrapText="1"/>
    </xf>
    <xf borderId="0" fillId="4" fontId="26" numFmtId="168" xfId="0" applyAlignment="1" applyFont="1" applyNumberFormat="1">
      <alignment horizontal="center" shrinkToFit="0" vertical="bottom" wrapText="1"/>
    </xf>
    <xf borderId="0" fillId="0" fontId="15" numFmtId="168" xfId="0" applyAlignment="1" applyFont="1" applyNumberFormat="1">
      <alignment vertical="bottom"/>
    </xf>
    <xf borderId="0" fillId="4" fontId="15" numFmtId="168" xfId="0" applyAlignment="1" applyFont="1" applyNumberFormat="1">
      <alignment vertical="bottom"/>
    </xf>
    <xf borderId="0" fillId="12" fontId="26" numFmtId="167" xfId="0" applyAlignment="1" applyFont="1" applyNumberFormat="1">
      <alignment vertical="bottom"/>
    </xf>
    <xf borderId="0" fillId="12" fontId="26" numFmtId="171" xfId="0" applyAlignment="1" applyFont="1" applyNumberFormat="1">
      <alignment vertical="bottom"/>
    </xf>
    <xf borderId="0" fillId="11" fontId="26" numFmtId="168" xfId="0" applyAlignment="1" applyFont="1" applyNumberFormat="1">
      <alignment vertical="bottom"/>
    </xf>
    <xf borderId="0" fillId="5" fontId="36" numFmtId="0" xfId="0" applyAlignment="1" applyFont="1">
      <alignment vertical="bottom"/>
    </xf>
    <xf borderId="0" fillId="12" fontId="28" numFmtId="172" xfId="0" applyAlignment="1" applyFont="1" applyNumberFormat="1">
      <alignment shrinkToFit="0" vertical="bottom" wrapText="1"/>
    </xf>
    <xf borderId="0" fillId="5" fontId="26" numFmtId="172" xfId="0" applyAlignment="1" applyFont="1" applyNumberFormat="1">
      <alignment shrinkToFit="0" vertical="bottom" wrapText="1"/>
    </xf>
    <xf borderId="0" fillId="5" fontId="26" numFmtId="173" xfId="0" applyAlignment="1" applyFont="1" applyNumberFormat="1">
      <alignment shrinkToFit="0" vertical="bottom" wrapText="1"/>
    </xf>
    <xf borderId="0" fillId="12" fontId="27" numFmtId="174" xfId="0" applyAlignment="1" applyFont="1" applyNumberFormat="1">
      <alignment vertical="bottom"/>
    </xf>
    <xf borderId="0" fillId="12" fontId="27" numFmtId="174" xfId="0" applyAlignment="1" applyFont="1" applyNumberFormat="1">
      <alignment shrinkToFit="0" vertical="bottom" wrapText="1"/>
    </xf>
    <xf borderId="0" fillId="5" fontId="26" numFmtId="174" xfId="0" applyAlignment="1" applyFont="1" applyNumberFormat="1">
      <alignment shrinkToFit="0" vertical="bottom" wrapText="1"/>
    </xf>
    <xf borderId="0" fillId="3" fontId="26" numFmtId="168" xfId="0" applyAlignment="1" applyFont="1" applyNumberFormat="1">
      <alignment horizontal="center" vertical="bottom"/>
    </xf>
    <xf borderId="0" fillId="12" fontId="28" numFmtId="0" xfId="0" applyAlignment="1" applyFont="1">
      <alignment shrinkToFit="0" vertical="bottom" wrapText="1"/>
    </xf>
    <xf borderId="0" fillId="5" fontId="25" numFmtId="0" xfId="0" applyAlignment="1" applyFont="1">
      <alignment vertical="bottom"/>
    </xf>
    <xf borderId="0" fillId="0" fontId="7" numFmtId="175" xfId="0" applyAlignment="1" applyFont="1" applyNumberFormat="1">
      <alignment horizontal="center" shrinkToFit="0" vertical="center" wrapText="1"/>
    </xf>
    <xf borderId="0" fillId="6" fontId="7" numFmtId="168" xfId="0" applyAlignment="1" applyFont="1" applyNumberFormat="1">
      <alignment horizontal="center" shrinkToFit="0" vertical="center" wrapText="1"/>
    </xf>
    <xf borderId="0" fillId="14" fontId="10" numFmtId="0" xfId="0" applyAlignment="1" applyFont="1">
      <alignment horizontal="center" shrinkToFit="0" vertical="center" wrapText="1"/>
    </xf>
    <xf borderId="0" fillId="14" fontId="10" numFmtId="167" xfId="0" applyAlignment="1" applyFont="1" applyNumberFormat="1">
      <alignment horizontal="center" shrinkToFit="0" vertical="center" wrapText="1"/>
    </xf>
    <xf borderId="0" fillId="14" fontId="10" numFmtId="9" xfId="0" applyAlignment="1" applyFont="1" applyNumberFormat="1">
      <alignment horizontal="center" shrinkToFit="0" vertical="center" wrapText="1"/>
    </xf>
    <xf borderId="0" fillId="14" fontId="11" numFmtId="170" xfId="0" applyAlignment="1" applyFont="1" applyNumberFormat="1">
      <alignment horizontal="center" shrinkToFit="0" vertical="center" wrapText="1"/>
    </xf>
    <xf borderId="0" fillId="12" fontId="3" numFmtId="0" xfId="0" applyAlignment="1" applyFont="1">
      <alignment horizontal="left" shrinkToFit="0" vertical="center" wrapText="0"/>
    </xf>
    <xf borderId="0" fillId="14" fontId="3" numFmtId="0" xfId="0" applyAlignment="1" applyFont="1">
      <alignment vertical="center"/>
    </xf>
    <xf borderId="0" fillId="0" fontId="14" numFmtId="170" xfId="0" applyAlignment="1" applyFont="1" applyNumberFormat="1">
      <alignment horizontal="center" shrinkToFit="0" vertical="bottom" wrapText="1"/>
    </xf>
    <xf borderId="0" fillId="0" fontId="10" numFmtId="175" xfId="0" applyAlignment="1" applyFont="1" applyNumberFormat="1">
      <alignment horizontal="center" shrinkToFit="0" vertical="center" wrapText="1"/>
    </xf>
    <xf borderId="0" fillId="14" fontId="11" numFmtId="170" xfId="0" applyAlignment="1" applyFont="1" applyNumberFormat="1">
      <alignment horizontal="left" shrinkToFit="0" vertical="center" wrapText="1"/>
    </xf>
    <xf borderId="7" fillId="0" fontId="24" numFmtId="168" xfId="0" applyAlignment="1" applyBorder="1" applyFont="1" applyNumberFormat="1">
      <alignment shrinkToFit="0" vertical="bottom" wrapText="0"/>
    </xf>
    <xf borderId="10" fillId="0" fontId="24" numFmtId="170" xfId="0" applyAlignment="1" applyBorder="1" applyFont="1" applyNumberFormat="1">
      <alignment horizontal="right" shrinkToFit="0" vertical="bottom" wrapText="0"/>
    </xf>
    <xf borderId="10" fillId="0" fontId="24" numFmtId="168" xfId="0" applyAlignment="1" applyBorder="1" applyFont="1" applyNumberFormat="1">
      <alignment shrinkToFit="0" vertical="bottom" wrapText="0"/>
    </xf>
    <xf borderId="0" fillId="0" fontId="3" numFmtId="0" xfId="0" applyFont="1"/>
    <xf borderId="0" fillId="148" fontId="26" numFmtId="9" xfId="0" applyAlignment="1" applyFill="1" applyFont="1" applyNumberFormat="1">
      <alignment horizontal="center" shrinkToFit="0" vertical="bottom" wrapText="1"/>
    </xf>
    <xf borderId="0" fillId="0" fontId="29" numFmtId="0" xfId="0" applyAlignment="1" applyFont="1">
      <alignment vertical="bottom"/>
    </xf>
    <xf borderId="0" fillId="5" fontId="27" numFmtId="170" xfId="0" applyAlignment="1" applyFont="1" applyNumberFormat="1">
      <alignment horizontal="right" shrinkToFit="0" vertical="bottom" wrapText="1"/>
    </xf>
    <xf borderId="0" fillId="12" fontId="37" numFmtId="0" xfId="0" applyAlignment="1" applyFont="1">
      <alignment horizontal="center"/>
    </xf>
    <xf borderId="0" fillId="12" fontId="26" numFmtId="170" xfId="0" applyAlignment="1" applyFont="1" applyNumberFormat="1">
      <alignment horizontal="right" vertical="bottom"/>
    </xf>
    <xf borderId="0" fillId="0" fontId="29" numFmtId="9" xfId="0" applyAlignment="1" applyFont="1" applyNumberFormat="1">
      <alignment vertical="bottom"/>
    </xf>
    <xf borderId="0" fillId="14" fontId="26" numFmtId="0" xfId="0" applyAlignment="1" applyFont="1">
      <alignment horizontal="center" shrinkToFit="0" vertical="bottom" wrapText="1"/>
    </xf>
    <xf borderId="0" fillId="149" fontId="26" numFmtId="9" xfId="0" applyAlignment="1" applyFill="1" applyFont="1" applyNumberFormat="1">
      <alignment horizontal="center" shrinkToFit="0" vertical="bottom" wrapText="1"/>
    </xf>
    <xf borderId="0" fillId="5" fontId="26" numFmtId="0" xfId="0" applyAlignment="1" applyFont="1">
      <alignment horizontal="center" vertical="bottom"/>
    </xf>
    <xf borderId="0" fillId="0" fontId="26" numFmtId="167" xfId="0" applyAlignment="1" applyFont="1" applyNumberFormat="1">
      <alignment horizontal="center" vertical="bottom"/>
    </xf>
    <xf borderId="0" fillId="0" fontId="26" numFmtId="170" xfId="0" applyAlignment="1" applyFont="1" applyNumberFormat="1">
      <alignment horizontal="right" vertical="bottom"/>
    </xf>
    <xf borderId="0" fillId="150" fontId="26" numFmtId="9" xfId="0" applyAlignment="1" applyFill="1" applyFont="1" applyNumberFormat="1">
      <alignment horizontal="center" shrinkToFit="0" vertical="bottom" wrapText="1"/>
    </xf>
    <xf borderId="0" fillId="151" fontId="26" numFmtId="9" xfId="0" applyAlignment="1" applyFill="1" applyFont="1" applyNumberFormat="1">
      <alignment horizontal="center" shrinkToFit="0" vertical="bottom" wrapText="1"/>
    </xf>
    <xf borderId="0" fillId="152" fontId="26" numFmtId="9" xfId="0" applyAlignment="1" applyFill="1" applyFont="1" applyNumberFormat="1">
      <alignment horizontal="center" shrinkToFit="0" vertical="bottom" wrapText="1"/>
    </xf>
    <xf borderId="0" fillId="153" fontId="26" numFmtId="9" xfId="0" applyAlignment="1" applyFill="1" applyFont="1" applyNumberFormat="1">
      <alignment horizontal="center" shrinkToFit="0" vertical="bottom" wrapText="1"/>
    </xf>
    <xf borderId="0" fillId="154" fontId="26" numFmtId="9" xfId="0" applyAlignment="1" applyFill="1" applyFont="1" applyNumberFormat="1">
      <alignment horizontal="center" shrinkToFit="0" vertical="bottom" wrapText="1"/>
    </xf>
    <xf borderId="0" fillId="155" fontId="26" numFmtId="9" xfId="0" applyAlignment="1" applyFill="1" applyFont="1" applyNumberFormat="1">
      <alignment horizontal="center" shrinkToFit="0" vertical="bottom" wrapText="1"/>
    </xf>
    <xf borderId="0" fillId="156" fontId="26" numFmtId="9" xfId="0" applyAlignment="1" applyFill="1" applyFont="1" applyNumberFormat="1">
      <alignment horizontal="center" shrinkToFit="0" vertical="bottom" wrapText="1"/>
    </xf>
    <xf borderId="0" fillId="157" fontId="26" numFmtId="9" xfId="0" applyAlignment="1" applyFill="1" applyFont="1" applyNumberFormat="1">
      <alignment horizontal="center" shrinkToFit="0" vertical="bottom" wrapText="1"/>
    </xf>
    <xf borderId="0" fillId="158" fontId="26" numFmtId="9" xfId="0" applyAlignment="1" applyFill="1" applyFont="1" applyNumberFormat="1">
      <alignment horizontal="center" shrinkToFit="0" vertical="bottom" wrapText="1"/>
    </xf>
    <xf borderId="0" fillId="159" fontId="26" numFmtId="9" xfId="0" applyAlignment="1" applyFill="1" applyFont="1" applyNumberFormat="1">
      <alignment horizontal="center" shrinkToFit="0" vertical="bottom" wrapText="1"/>
    </xf>
    <xf borderId="0" fillId="160" fontId="26" numFmtId="9" xfId="0" applyAlignment="1" applyFill="1" applyFont="1" applyNumberFormat="1">
      <alignment horizontal="center" shrinkToFit="0" vertical="bottom" wrapText="1"/>
    </xf>
    <xf borderId="0" fillId="161" fontId="26" numFmtId="9" xfId="0" applyAlignment="1" applyFill="1" applyFont="1" applyNumberFormat="1">
      <alignment horizontal="center" shrinkToFit="0" vertical="bottom" wrapText="1"/>
    </xf>
    <xf borderId="0" fillId="162" fontId="26" numFmtId="9" xfId="0" applyAlignment="1" applyFill="1" applyFont="1" applyNumberFormat="1">
      <alignment horizontal="center" shrinkToFit="0" vertical="bottom" wrapText="1"/>
    </xf>
    <xf borderId="0" fillId="163" fontId="26" numFmtId="9" xfId="0" applyAlignment="1" applyFill="1" applyFont="1" applyNumberFormat="1">
      <alignment horizontal="center" shrinkToFit="0" vertical="bottom" wrapText="1"/>
    </xf>
    <xf borderId="0" fillId="164" fontId="26" numFmtId="9" xfId="0" applyAlignment="1" applyFill="1" applyFont="1" applyNumberFormat="1">
      <alignment horizontal="center" shrinkToFit="0" vertical="bottom" wrapText="1"/>
    </xf>
    <xf borderId="0" fillId="165" fontId="26" numFmtId="9" xfId="0" applyAlignment="1" applyFill="1" applyFont="1" applyNumberFormat="1">
      <alignment horizontal="center" shrinkToFit="0" vertical="bottom" wrapText="1"/>
    </xf>
    <xf borderId="0" fillId="166" fontId="26" numFmtId="9" xfId="0" applyAlignment="1" applyFill="1" applyFont="1" applyNumberFormat="1">
      <alignment horizontal="center" shrinkToFit="0" vertical="bottom" wrapText="1"/>
    </xf>
    <xf borderId="0" fillId="167" fontId="26" numFmtId="9" xfId="0" applyAlignment="1" applyFill="1" applyFont="1" applyNumberFormat="1">
      <alignment horizontal="center" shrinkToFit="0" vertical="bottom" wrapText="1"/>
    </xf>
    <xf borderId="0" fillId="168" fontId="26" numFmtId="9" xfId="0" applyAlignment="1" applyFill="1" applyFont="1" applyNumberFormat="1">
      <alignment horizontal="center" shrinkToFit="0" vertical="bottom" wrapText="1"/>
    </xf>
    <xf borderId="0" fillId="169" fontId="26" numFmtId="9" xfId="0" applyAlignment="1" applyFill="1" applyFont="1" applyNumberFormat="1">
      <alignment horizontal="center" shrinkToFit="0" vertical="bottom" wrapText="1"/>
    </xf>
    <xf borderId="0" fillId="170" fontId="26" numFmtId="9" xfId="0" applyAlignment="1" applyFill="1" applyFont="1" applyNumberFormat="1">
      <alignment horizontal="center" shrinkToFit="0" vertical="bottom" wrapText="1"/>
    </xf>
    <xf borderId="0" fillId="171" fontId="26" numFmtId="9" xfId="0" applyAlignment="1" applyFill="1" applyFont="1" applyNumberFormat="1">
      <alignment horizontal="center" shrinkToFit="0" vertical="bottom" wrapText="1"/>
    </xf>
    <xf borderId="0" fillId="172" fontId="26" numFmtId="9" xfId="0" applyAlignment="1" applyFill="1" applyFont="1" applyNumberFormat="1">
      <alignment horizontal="center" shrinkToFit="0" vertical="bottom" wrapText="1"/>
    </xf>
    <xf borderId="0" fillId="173" fontId="26" numFmtId="9" xfId="0" applyAlignment="1" applyFill="1" applyFont="1" applyNumberFormat="1">
      <alignment horizontal="center" shrinkToFit="0" vertical="bottom" wrapText="1"/>
    </xf>
    <xf borderId="0" fillId="5" fontId="29" numFmtId="9" xfId="0" applyAlignment="1" applyFont="1" applyNumberFormat="1">
      <alignment vertical="bottom"/>
    </xf>
    <xf borderId="0" fillId="5" fontId="25" numFmtId="0" xfId="0" applyFont="1"/>
    <xf borderId="0" fillId="0" fontId="26" numFmtId="0" xfId="0" applyAlignment="1" applyFont="1">
      <alignment horizontal="center" vertical="bottom"/>
    </xf>
    <xf borderId="0" fillId="0" fontId="4" numFmtId="0" xfId="0" applyFont="1"/>
    <xf borderId="0" fillId="0" fontId="38" numFmtId="0" xfId="0" applyAlignment="1" applyFont="1">
      <alignment horizontal="center" vertical="bottom"/>
    </xf>
    <xf borderId="0" fillId="12" fontId="39" numFmtId="0" xfId="0" applyAlignment="1" applyFont="1">
      <alignment horizontal="center" vertical="bottom"/>
    </xf>
    <xf borderId="0" fillId="12" fontId="29" numFmtId="0" xfId="0" applyAlignment="1" applyFont="1">
      <alignment horizontal="center" vertical="bottom"/>
    </xf>
    <xf borderId="0" fillId="5" fontId="36" numFmtId="0" xfId="0" applyAlignment="1" applyFont="1">
      <alignment horizontal="center" vertical="bottom"/>
    </xf>
    <xf borderId="0" fillId="12" fontId="40" numFmtId="0" xfId="0" applyAlignment="1" applyFont="1">
      <alignment horizontal="center" vertical="bottom"/>
    </xf>
    <xf borderId="0" fillId="12" fontId="41" numFmtId="0" xfId="0" applyAlignment="1" applyFont="1">
      <alignment horizontal="center" vertical="bottom"/>
    </xf>
    <xf borderId="0" fillId="0" fontId="36" numFmtId="0" xfId="0" applyAlignment="1" applyFont="1">
      <alignment horizontal="center" vertical="bottom"/>
    </xf>
    <xf borderId="0" fillId="12" fontId="42" numFmtId="0" xfId="0" applyAlignment="1" applyFont="1">
      <alignment horizontal="center" vertical="bottom"/>
    </xf>
    <xf borderId="0" fillId="12" fontId="43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0" fillId="5" fontId="37" numFmtId="0" xfId="0" applyAlignment="1" applyFont="1">
      <alignment horizontal="center"/>
    </xf>
    <xf borderId="0" fillId="13" fontId="26" numFmtId="0" xfId="0" applyAlignment="1" applyFont="1">
      <alignment horizontal="center" shrinkToFit="0" vertical="bottom" wrapText="1"/>
    </xf>
    <xf borderId="0" fillId="174" fontId="26" numFmtId="9" xfId="0" applyAlignment="1" applyFill="1" applyFont="1" applyNumberFormat="1">
      <alignment horizontal="center" shrinkToFit="0" vertical="bottom" wrapText="1"/>
    </xf>
    <xf borderId="0" fillId="175" fontId="26" numFmtId="9" xfId="0" applyAlignment="1" applyFill="1" applyFont="1" applyNumberFormat="1">
      <alignment horizontal="center" shrinkToFit="0" vertical="bottom" wrapText="1"/>
    </xf>
    <xf borderId="0" fillId="176" fontId="26" numFmtId="9" xfId="0" applyAlignment="1" applyFill="1" applyFont="1" applyNumberFormat="1">
      <alignment horizontal="center" shrinkToFit="0" vertical="bottom" wrapText="1"/>
    </xf>
    <xf borderId="0" fillId="177" fontId="26" numFmtId="9" xfId="0" applyAlignment="1" applyFill="1" applyFont="1" applyNumberFormat="1">
      <alignment horizontal="center" shrinkToFit="0" vertical="bottom" wrapText="1"/>
    </xf>
    <xf borderId="0" fillId="5" fontId="26" numFmtId="0" xfId="0" applyAlignment="1" applyFont="1">
      <alignment horizontal="right"/>
    </xf>
    <xf borderId="0" fillId="178" fontId="26" numFmtId="9" xfId="0" applyAlignment="1" applyFill="1" applyFont="1" applyNumberFormat="1">
      <alignment horizontal="center" shrinkToFit="0" vertical="bottom" wrapText="1"/>
    </xf>
    <xf borderId="0" fillId="6" fontId="26" numFmtId="168" xfId="0" applyAlignment="1" applyFont="1" applyNumberFormat="1">
      <alignment horizontal="center" vertical="bottom"/>
    </xf>
    <xf borderId="0" fillId="179" fontId="26" numFmtId="9" xfId="0" applyAlignment="1" applyFill="1" applyFont="1" applyNumberFormat="1">
      <alignment horizontal="center" shrinkToFit="0" vertical="bottom" wrapText="1"/>
    </xf>
    <xf borderId="0" fillId="0" fontId="29" numFmtId="168" xfId="0" applyAlignment="1" applyFont="1" applyNumberFormat="1">
      <alignment vertical="bottom"/>
    </xf>
    <xf borderId="0" fillId="13" fontId="26" numFmtId="168" xfId="0" applyAlignment="1" applyFont="1" applyNumberFormat="1">
      <alignment horizontal="center" vertical="bottom"/>
    </xf>
    <xf borderId="0" fillId="180" fontId="26" numFmtId="9" xfId="0" applyAlignment="1" applyFill="1" applyFont="1" applyNumberFormat="1">
      <alignment horizontal="center" shrinkToFit="0" vertical="bottom" wrapText="1"/>
    </xf>
    <xf borderId="0" fillId="5" fontId="44" numFmtId="0" xfId="0" applyAlignment="1" applyFont="1">
      <alignment shrinkToFit="0" wrapText="1"/>
    </xf>
    <xf borderId="0" fillId="181" fontId="26" numFmtId="9" xfId="0" applyAlignment="1" applyFill="1" applyFont="1" applyNumberFormat="1">
      <alignment horizontal="center" shrinkToFit="0" vertical="bottom" wrapText="1"/>
    </xf>
    <xf borderId="0" fillId="182" fontId="26" numFmtId="9" xfId="0" applyAlignment="1" applyFill="1" applyFont="1" applyNumberFormat="1">
      <alignment horizontal="center" shrinkToFit="0" vertical="bottom" wrapText="1"/>
    </xf>
    <xf borderId="0" fillId="183" fontId="26" numFmtId="9" xfId="0" applyAlignment="1" applyFill="1" applyFont="1" applyNumberFormat="1">
      <alignment horizontal="center" shrinkToFit="0" vertical="bottom" wrapText="1"/>
    </xf>
    <xf borderId="0" fillId="184" fontId="26" numFmtId="9" xfId="0" applyAlignment="1" applyFill="1" applyFont="1" applyNumberFormat="1">
      <alignment horizontal="center" shrinkToFit="0" vertical="bottom" wrapText="1"/>
    </xf>
    <xf borderId="0" fillId="11" fontId="26" numFmtId="167" xfId="0" applyAlignment="1" applyFont="1" applyNumberFormat="1">
      <alignment horizontal="center" vertical="bottom"/>
    </xf>
    <xf borderId="0" fillId="12" fontId="27" numFmtId="0" xfId="0" applyAlignment="1" applyFont="1">
      <alignment horizontal="center" vertical="bottom"/>
    </xf>
    <xf borderId="0" fillId="12" fontId="26" numFmtId="170" xfId="0" applyAlignment="1" applyFont="1" applyNumberFormat="1">
      <alignment horizontal="right" shrinkToFit="0" vertical="bottom" wrapText="1"/>
    </xf>
    <xf borderId="0" fillId="0" fontId="26" numFmtId="168" xfId="0" applyAlignment="1" applyFont="1" applyNumberFormat="1">
      <alignment vertical="bottom"/>
    </xf>
    <xf borderId="0" fillId="12" fontId="26" numFmtId="167" xfId="0" applyAlignment="1" applyFont="1" applyNumberFormat="1">
      <alignment horizontal="center" shrinkToFit="0" vertical="bottom" wrapText="1"/>
    </xf>
    <xf borderId="0" fillId="11" fontId="26" numFmtId="167" xfId="0" applyAlignment="1" applyFont="1" applyNumberFormat="1">
      <alignment horizontal="center" shrinkToFit="0" vertical="bottom" wrapText="1"/>
    </xf>
    <xf borderId="0" fillId="3" fontId="26" numFmtId="0" xfId="0" applyAlignment="1" applyFont="1">
      <alignment horizontal="left"/>
    </xf>
    <xf borderId="0" fillId="11" fontId="26" numFmtId="168" xfId="0" applyAlignment="1" applyFont="1" applyNumberFormat="1">
      <alignment horizontal="center" vertical="bottom"/>
    </xf>
    <xf borderId="0" fillId="12" fontId="27" numFmtId="0" xfId="0" applyAlignment="1" applyFont="1">
      <alignment horizontal="left"/>
    </xf>
    <xf borderId="0" fillId="3" fontId="27" numFmtId="0" xfId="0" applyAlignment="1" applyFont="1">
      <alignment horizontal="left"/>
    </xf>
    <xf borderId="0" fillId="5" fontId="26" numFmtId="0" xfId="0" applyAlignment="1" applyFont="1">
      <alignment horizontal="center"/>
    </xf>
    <xf borderId="0" fillId="3" fontId="26" numFmtId="0" xfId="0" applyAlignment="1" applyFont="1">
      <alignment horizontal="center" shrinkToFit="0" vertical="bottom" wrapText="1"/>
    </xf>
    <xf borderId="0" fillId="3" fontId="26" numFmtId="167" xfId="0" applyAlignment="1" applyFont="1" applyNumberFormat="1">
      <alignment horizontal="center" vertical="bottom"/>
    </xf>
    <xf borderId="0" fillId="185" fontId="26" numFmtId="9" xfId="0" applyAlignment="1" applyFill="1" applyFont="1" applyNumberFormat="1">
      <alignment horizontal="center" shrinkToFit="0" vertical="bottom" wrapText="1"/>
    </xf>
    <xf borderId="0" fillId="0" fontId="15" numFmtId="9" xfId="0" applyAlignment="1" applyFont="1" applyNumberFormat="1">
      <alignment vertical="bottom"/>
    </xf>
    <xf borderId="0" fillId="186" fontId="26" numFmtId="9" xfId="0" applyAlignment="1" applyFill="1" applyFont="1" applyNumberFormat="1">
      <alignment horizontal="center" shrinkToFit="0" vertical="bottom" wrapText="1"/>
    </xf>
    <xf borderId="0" fillId="3" fontId="15" numFmtId="170" xfId="0" applyAlignment="1" applyFont="1" applyNumberFormat="1">
      <alignment vertical="bottom"/>
    </xf>
    <xf borderId="0" fillId="3" fontId="26" numFmtId="167" xfId="0" applyAlignment="1" applyFont="1" applyNumberFormat="1">
      <alignment horizontal="center" shrinkToFit="0" vertical="bottom" wrapText="1"/>
    </xf>
    <xf borderId="0" fillId="187" fontId="26" numFmtId="9" xfId="0" applyAlignment="1" applyFill="1" applyFont="1" applyNumberFormat="1">
      <alignment horizontal="center" shrinkToFit="0" vertical="bottom" wrapText="1"/>
    </xf>
    <xf borderId="0" fillId="3" fontId="26" numFmtId="170" xfId="0" applyAlignment="1" applyFont="1" applyNumberFormat="1">
      <alignment shrinkToFit="0" vertical="bottom" wrapText="1"/>
    </xf>
    <xf borderId="0" fillId="188" fontId="26" numFmtId="9" xfId="0" applyAlignment="1" applyFill="1" applyFont="1" applyNumberFormat="1">
      <alignment horizontal="center" shrinkToFit="0" vertical="bottom" wrapText="1"/>
    </xf>
    <xf borderId="0" fillId="0" fontId="35" numFmtId="0" xfId="0" applyAlignment="1" applyFont="1">
      <alignment horizontal="left"/>
    </xf>
    <xf borderId="0" fillId="0" fontId="35" numFmtId="0" xfId="0" applyAlignment="1" applyFont="1">
      <alignment shrinkToFit="0" wrapText="1"/>
    </xf>
    <xf borderId="0" fillId="5" fontId="35" numFmtId="0" xfId="0" applyAlignment="1" applyFont="1">
      <alignment horizontal="center"/>
    </xf>
    <xf borderId="0" fillId="0" fontId="26" numFmtId="0" xfId="0" applyAlignment="1" applyFont="1">
      <alignment horizontal="right"/>
    </xf>
    <xf borderId="0" fillId="3" fontId="26" numFmtId="0" xfId="0" applyAlignment="1" applyFont="1">
      <alignment horizontal="center" vertical="bottom"/>
    </xf>
    <xf borderId="0" fillId="12" fontId="27" numFmtId="3" xfId="0" applyAlignment="1" applyFont="1" applyNumberFormat="1">
      <alignment horizontal="center" vertical="bottom"/>
    </xf>
    <xf borderId="4" fillId="19" fontId="27" numFmtId="0" xfId="0" applyAlignment="1" applyBorder="1" applyFont="1">
      <alignment horizontal="center" shrinkToFit="0" vertical="bottom" wrapText="1"/>
    </xf>
    <xf borderId="6" fillId="9" fontId="27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0" fillId="0" fontId="26" numFmtId="3" xfId="0" applyAlignment="1" applyFont="1" applyNumberFormat="1">
      <alignment horizontal="right" vertical="bottom"/>
    </xf>
    <xf borderId="10" fillId="5" fontId="26" numFmtId="0" xfId="0" applyAlignment="1" applyBorder="1" applyFont="1">
      <alignment shrinkToFit="0" vertical="bottom" wrapText="1"/>
    </xf>
    <xf borderId="5" fillId="5" fontId="26" numFmtId="0" xfId="0" applyAlignment="1" applyBorder="1" applyFont="1">
      <alignment shrinkToFit="0" vertical="bottom" wrapText="1"/>
    </xf>
    <xf borderId="5" fillId="0" fontId="26" numFmtId="0" xfId="0" applyAlignment="1" applyBorder="1" applyFont="1">
      <alignment horizontal="center" vertical="bottom"/>
    </xf>
    <xf borderId="5" fillId="0" fontId="26" numFmtId="3" xfId="0" applyAlignment="1" applyBorder="1" applyFont="1" applyNumberFormat="1">
      <alignment horizontal="center" vertical="bottom"/>
    </xf>
    <xf borderId="4" fillId="0" fontId="26" numFmtId="0" xfId="0" applyAlignment="1" applyBorder="1" applyFont="1">
      <alignment shrinkToFit="0" vertical="bottom" wrapText="1"/>
    </xf>
    <xf borderId="7" fillId="0" fontId="45" numFmtId="0" xfId="0" applyAlignment="1" applyBorder="1" applyFont="1">
      <alignment shrinkToFit="0" vertical="bottom" wrapText="1"/>
    </xf>
    <xf borderId="10" fillId="0" fontId="26" numFmtId="0" xfId="0" applyAlignment="1" applyBorder="1" applyFont="1">
      <alignment shrinkToFit="0" vertical="bottom" wrapText="1"/>
    </xf>
    <xf borderId="7" fillId="5" fontId="26" numFmtId="0" xfId="0" applyAlignment="1" applyBorder="1" applyFont="1">
      <alignment shrinkToFit="0" vertical="bottom" wrapText="1"/>
    </xf>
    <xf borderId="7" fillId="5" fontId="25" numFmtId="0" xfId="0" applyAlignment="1" applyBorder="1" applyFont="1">
      <alignment vertical="bottom"/>
    </xf>
    <xf borderId="7" fillId="5" fontId="25" numFmtId="0" xfId="0" applyAlignment="1" applyBorder="1" applyFont="1">
      <alignment shrinkToFit="0" vertical="bottom" wrapText="1"/>
    </xf>
    <xf borderId="6" fillId="6" fontId="27" numFmtId="0" xfId="0" applyAlignment="1" applyBorder="1" applyFont="1">
      <alignment horizontal="center" shrinkToFit="0" vertical="bottom" wrapText="1"/>
    </xf>
    <xf borderId="10" fillId="6" fontId="26" numFmtId="0" xfId="0" applyAlignment="1" applyBorder="1" applyFont="1">
      <alignment shrinkToFit="0" vertical="bottom" wrapText="1"/>
    </xf>
    <xf borderId="5" fillId="6" fontId="26" numFmtId="0" xfId="0" applyAlignment="1" applyBorder="1" applyFont="1">
      <alignment shrinkToFit="0" vertical="bottom" wrapText="1"/>
    </xf>
    <xf borderId="5" fillId="6" fontId="26" numFmtId="0" xfId="0" applyAlignment="1" applyBorder="1" applyFont="1">
      <alignment horizontal="center" vertical="bottom"/>
    </xf>
    <xf borderId="5" fillId="6" fontId="26" numFmtId="3" xfId="0" applyAlignment="1" applyBorder="1" applyFont="1" applyNumberFormat="1">
      <alignment horizontal="center" vertical="bottom"/>
    </xf>
    <xf borderId="0" fillId="6" fontId="25" numFmtId="0" xfId="0" applyAlignment="1" applyFont="1">
      <alignment vertical="bottom"/>
    </xf>
    <xf borderId="0" fillId="6" fontId="25" numFmtId="0" xfId="0" applyAlignment="1" applyFont="1">
      <alignment shrinkToFit="0" vertical="bottom" wrapText="1"/>
    </xf>
    <xf borderId="6" fillId="13" fontId="27" numFmtId="0" xfId="0" applyAlignment="1" applyBorder="1" applyFont="1">
      <alignment horizontal="center" shrinkToFit="0" vertical="bottom" wrapText="1"/>
    </xf>
    <xf borderId="6" fillId="189" fontId="27" numFmtId="0" xfId="0" applyAlignment="1" applyBorder="1" applyFill="1" applyFont="1">
      <alignment horizontal="center" shrinkToFit="0" vertical="bottom" wrapText="1"/>
    </xf>
    <xf borderId="10" fillId="9" fontId="27" numFmtId="0" xfId="0" applyAlignment="1" applyBorder="1" applyFont="1">
      <alignment shrinkToFit="0" vertical="bottom" wrapText="1"/>
    </xf>
    <xf borderId="5" fillId="9" fontId="29" numFmtId="0" xfId="0" applyAlignment="1" applyBorder="1" applyFont="1">
      <alignment vertical="bottom"/>
    </xf>
    <xf borderId="5" fillId="9" fontId="29" numFmtId="3" xfId="0" applyAlignment="1" applyBorder="1" applyFont="1" applyNumberFormat="1">
      <alignment vertical="bottom"/>
    </xf>
    <xf borderId="5" fillId="5" fontId="26" numFmtId="0" xfId="0" applyAlignment="1" applyBorder="1" applyFont="1">
      <alignment horizontal="center" vertical="bottom"/>
    </xf>
    <xf borderId="5" fillId="5" fontId="26" numFmtId="3" xfId="0" applyAlignment="1" applyBorder="1" applyFont="1" applyNumberFormat="1">
      <alignment horizontal="center" vertical="bottom"/>
    </xf>
    <xf borderId="0" fillId="87" fontId="19" numFmtId="4" xfId="0" applyAlignment="1" applyFont="1" applyNumberFormat="1">
      <alignment horizontal="center" shrinkToFit="0" vertical="bottom" wrapText="1"/>
    </xf>
    <xf borderId="0" fillId="87" fontId="19" numFmtId="9" xfId="0" applyAlignment="1" applyFont="1" applyNumberFormat="1">
      <alignment horizontal="center" shrinkToFit="0" vertical="bottom" wrapText="1"/>
    </xf>
    <xf borderId="5" fillId="0" fontId="26" numFmtId="0" xfId="0" applyAlignment="1" applyBorder="1" applyFont="1">
      <alignment shrinkToFit="0" vertical="bottom" wrapText="1"/>
    </xf>
    <xf borderId="5" fillId="0" fontId="29" numFmtId="0" xfId="0" applyAlignment="1" applyBorder="1" applyFont="1">
      <alignment vertical="bottom"/>
    </xf>
    <xf borderId="10" fillId="9" fontId="26" numFmtId="0" xfId="0" applyAlignment="1" applyBorder="1" applyFont="1">
      <alignment shrinkToFit="0" vertical="bottom" wrapText="1"/>
    </xf>
    <xf borderId="5" fillId="5" fontId="25" numFmtId="0" xfId="0" applyAlignment="1" applyBorder="1" applyFont="1">
      <alignment shrinkToFit="0" vertical="bottom" wrapText="1"/>
    </xf>
    <xf borderId="0" fillId="0" fontId="29" numFmtId="3" xfId="0" applyAlignment="1" applyFont="1" applyNumberFormat="1">
      <alignment vertical="bottom"/>
    </xf>
    <xf borderId="0" fillId="5" fontId="17" numFmtId="0" xfId="0" applyAlignment="1" applyFont="1">
      <alignment horizontal="center" shrinkToFit="0" vertical="bottom" wrapText="1"/>
    </xf>
    <xf borderId="0" fillId="5" fontId="3" numFmtId="0" xfId="0" applyAlignment="1" applyFont="1">
      <alignment shrinkToFit="0" vertical="bottom" wrapText="1"/>
    </xf>
    <xf borderId="0" fillId="190" fontId="17" numFmtId="9" xfId="0" applyAlignment="1" applyFill="1" applyFont="1" applyNumberFormat="1">
      <alignment horizontal="center" shrinkToFit="0" vertical="bottom" wrapText="1"/>
    </xf>
    <xf borderId="0" fillId="5" fontId="17" numFmtId="168" xfId="0" applyAlignment="1" applyFont="1" applyNumberFormat="1">
      <alignment horizontal="center" shrinkToFit="0" vertical="bottom" wrapText="1"/>
    </xf>
    <xf borderId="0" fillId="5" fontId="17" numFmtId="9" xfId="0" applyAlignment="1" applyFont="1" applyNumberFormat="1">
      <alignment horizontal="center" shrinkToFit="0" vertical="bottom" wrapText="1"/>
    </xf>
    <xf borderId="0" fillId="5" fontId="10" numFmtId="0" xfId="0" applyAlignment="1" applyFont="1">
      <alignment horizontal="center" shrinkToFit="0" wrapText="1"/>
    </xf>
    <xf borderId="0" fillId="5" fontId="10" numFmtId="9" xfId="0" applyAlignment="1" applyFont="1" applyNumberFormat="1">
      <alignment horizontal="center" shrinkToFit="0" vertical="bottom" wrapText="1"/>
    </xf>
    <xf borderId="0" fillId="5" fontId="10" numFmtId="168" xfId="0" applyAlignment="1" applyFont="1" applyNumberFormat="1">
      <alignment horizontal="center" shrinkToFit="0" wrapText="1"/>
    </xf>
    <xf borderId="0" fillId="5" fontId="10" numFmtId="9" xfId="0" applyAlignment="1" applyFont="1" applyNumberFormat="1">
      <alignment horizontal="center" shrinkToFit="0" wrapText="1"/>
    </xf>
    <xf borderId="0" fillId="5" fontId="3" numFmtId="0" xfId="0" applyAlignment="1" applyFont="1">
      <alignment horizontal="center" shrinkToFit="0" wrapText="1"/>
    </xf>
    <xf borderId="0" fillId="5" fontId="3" numFmtId="167" xfId="0" applyAlignment="1" applyFont="1" applyNumberFormat="1">
      <alignment horizontal="center" shrinkToFit="0" wrapText="1"/>
    </xf>
    <xf borderId="0" fillId="5" fontId="3" numFmtId="168" xfId="0" applyAlignment="1" applyFont="1" applyNumberFormat="1">
      <alignment horizontal="center" shrinkToFit="0" wrapText="1"/>
    </xf>
    <xf borderId="0" fillId="5" fontId="19" numFmtId="170" xfId="0" applyFont="1" applyNumberFormat="1"/>
    <xf borderId="0" fillId="5" fontId="19" numFmtId="0" xfId="0" applyFont="1"/>
    <xf borderId="0" fillId="5" fontId="3" numFmtId="0" xfId="0" applyAlignment="1" applyFont="1">
      <alignment horizontal="center" vertical="bottom"/>
    </xf>
    <xf borderId="0" fillId="5" fontId="3" numFmtId="167" xfId="0" applyAlignment="1" applyFont="1" applyNumberFormat="1">
      <alignment horizontal="center" shrinkToFit="0" vertical="bottom" wrapText="1"/>
    </xf>
    <xf borderId="0" fillId="5" fontId="11" numFmtId="170" xfId="0" applyAlignment="1" applyFont="1" applyNumberFormat="1">
      <alignment horizontal="center" shrinkToFit="0" vertical="bottom" wrapText="1"/>
    </xf>
    <xf borderId="0" fillId="5" fontId="19" numFmtId="170" xfId="0" applyAlignment="1" applyFont="1" applyNumberFormat="1">
      <alignment shrinkToFit="0" wrapText="1"/>
    </xf>
    <xf borderId="0" fillId="0" fontId="46" numFmtId="0" xfId="0" applyAlignment="1" applyFont="1">
      <alignment horizontal="center" shrinkToFit="0" wrapText="1"/>
    </xf>
    <xf borderId="0" fillId="5" fontId="3" numFmtId="0" xfId="0" applyAlignment="1" applyFont="1">
      <alignment shrinkToFit="0" wrapText="1"/>
    </xf>
    <xf borderId="0" fillId="5" fontId="15" numFmtId="0" xfId="0" applyAlignment="1" applyFont="1">
      <alignment horizontal="center" vertical="bottom"/>
    </xf>
    <xf borderId="0" fillId="5" fontId="3" numFmtId="168" xfId="0" applyAlignment="1" applyFont="1" applyNumberFormat="1">
      <alignment horizontal="center" vertical="bottom"/>
    </xf>
    <xf borderId="0" fillId="5" fontId="3" numFmtId="170" xfId="0" applyAlignment="1" applyFont="1" applyNumberFormat="1">
      <alignment horizontal="right" shrinkToFit="0" vertical="bottom" wrapText="1"/>
    </xf>
    <xf borderId="0" fillId="12" fontId="3" numFmtId="167" xfId="0" applyAlignment="1" applyFont="1" applyNumberFormat="1">
      <alignment horizontal="center" shrinkToFit="0" vertical="bottom" wrapText="1"/>
    </xf>
    <xf borderId="0" fillId="12" fontId="3" numFmtId="168" xfId="0" applyAlignment="1" applyFont="1" applyNumberFormat="1">
      <alignment horizontal="center" vertical="bottom"/>
    </xf>
    <xf borderId="0" fillId="12" fontId="3" numFmtId="170" xfId="0" applyAlignment="1" applyFont="1" applyNumberFormat="1">
      <alignment horizontal="right" shrinkToFit="0" vertical="bottom" wrapText="1"/>
    </xf>
    <xf borderId="0" fillId="12" fontId="3" numFmtId="9" xfId="0" applyAlignment="1" applyFont="1" applyNumberFormat="1">
      <alignment horizontal="center" shrinkToFit="0" vertical="bottom" wrapText="1"/>
    </xf>
    <xf borderId="0" fillId="12" fontId="3" numFmtId="168" xfId="0" applyAlignment="1" applyFont="1" applyNumberFormat="1">
      <alignment horizontal="center" shrinkToFit="0" vertical="bottom" wrapText="1"/>
    </xf>
    <xf borderId="0" fillId="12" fontId="1" numFmtId="0" xfId="0" applyAlignment="1" applyFont="1">
      <alignment shrinkToFit="0" vertical="bottom" wrapText="1"/>
    </xf>
    <xf borderId="0" fillId="12" fontId="3" numFmtId="0" xfId="0" applyAlignment="1" applyFont="1">
      <alignment shrinkToFit="0" vertical="bottom" wrapText="1"/>
    </xf>
    <xf borderId="0" fillId="5" fontId="3" numFmtId="168" xfId="0" applyAlignment="1" applyFont="1" applyNumberFormat="1">
      <alignment horizontal="center" shrinkToFit="0" vertical="bottom" wrapText="1"/>
    </xf>
    <xf borderId="0" fillId="0" fontId="19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957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957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6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27.29"/>
    <col customWidth="1" min="2" max="2" width="15.71"/>
    <col customWidth="1" min="3" max="3" width="5.57"/>
    <col customWidth="1" min="4" max="4" width="6.43"/>
    <col customWidth="1" min="5" max="5" width="5.43"/>
    <col customWidth="1" min="6" max="6" width="8.14"/>
    <col customWidth="1" min="7" max="7" width="7.29"/>
    <col customWidth="1" min="8" max="8" width="6.43"/>
    <col customWidth="1" min="9" max="9" width="4.43"/>
    <col customWidth="1" min="10" max="10" width="6.14"/>
    <col customWidth="1" min="11" max="11" width="5.14"/>
    <col customWidth="1" min="12" max="12" width="5.0"/>
    <col customWidth="1" min="13" max="13" width="7.29"/>
    <col customWidth="1" min="14" max="14" width="6.14"/>
    <col customWidth="1" min="15" max="15" width="4.86"/>
    <col customWidth="1" min="16" max="16" width="6.43"/>
    <col customWidth="1" min="17" max="17" width="5.0"/>
    <col customWidth="1" min="18" max="18" width="6.0"/>
    <col customWidth="1" min="19" max="19" width="4.0"/>
    <col customWidth="1" min="20" max="20" width="11.0"/>
    <col customWidth="1" min="21" max="21" width="5.0"/>
    <col customWidth="1" min="22" max="22" width="6.43"/>
    <col customWidth="1" min="23" max="23" width="5.43"/>
    <col customWidth="1" min="24" max="24" width="6.43"/>
    <col customWidth="1" min="25" max="25" width="4.71"/>
    <col customWidth="1" min="26" max="26" width="6.43"/>
  </cols>
  <sheetData>
    <row r="1">
      <c r="A1" s="1"/>
      <c r="B1" s="2"/>
      <c r="C1" s="1" t="s">
        <v>0</v>
      </c>
      <c r="E1" s="1" t="s">
        <v>1</v>
      </c>
      <c r="G1" s="1" t="s">
        <v>2</v>
      </c>
      <c r="I1" s="3" t="s">
        <v>3</v>
      </c>
      <c r="J1" s="4"/>
      <c r="K1" s="3" t="s">
        <v>4</v>
      </c>
      <c r="L1" s="4"/>
      <c r="M1" s="3" t="s">
        <v>5</v>
      </c>
      <c r="N1" s="4"/>
      <c r="O1" s="3" t="s">
        <v>6</v>
      </c>
      <c r="P1" s="4"/>
      <c r="Q1" s="3" t="s">
        <v>7</v>
      </c>
      <c r="R1" s="4"/>
      <c r="S1" s="3" t="s">
        <v>8</v>
      </c>
      <c r="T1" s="4"/>
      <c r="U1" s="3" t="s">
        <v>9</v>
      </c>
      <c r="V1" s="4"/>
      <c r="W1" s="3" t="s">
        <v>10</v>
      </c>
      <c r="X1" s="4"/>
      <c r="Y1" s="3" t="s">
        <v>11</v>
      </c>
      <c r="Z1" s="4"/>
    </row>
    <row r="2">
      <c r="C2" s="1" t="s">
        <v>12</v>
      </c>
      <c r="D2" s="1" t="s">
        <v>13</v>
      </c>
      <c r="E2" s="1" t="s">
        <v>14</v>
      </c>
      <c r="F2" s="1" t="s">
        <v>15</v>
      </c>
      <c r="G2" s="1" t="s">
        <v>12</v>
      </c>
      <c r="H2" s="1" t="s">
        <v>13</v>
      </c>
      <c r="I2" s="1" t="s">
        <v>12</v>
      </c>
      <c r="J2" s="1" t="s">
        <v>16</v>
      </c>
      <c r="K2" s="1" t="s">
        <v>12</v>
      </c>
      <c r="L2" s="1" t="s">
        <v>13</v>
      </c>
      <c r="M2" s="1" t="s">
        <v>12</v>
      </c>
      <c r="N2" s="1" t="s">
        <v>16</v>
      </c>
      <c r="O2" s="1" t="s">
        <v>12</v>
      </c>
      <c r="P2" s="1" t="s">
        <v>13</v>
      </c>
      <c r="Q2" s="1" t="s">
        <v>12</v>
      </c>
      <c r="R2" s="1" t="s">
        <v>13</v>
      </c>
      <c r="S2" s="1" t="s">
        <v>12</v>
      </c>
      <c r="T2" s="1" t="s">
        <v>16</v>
      </c>
      <c r="U2" s="1" t="s">
        <v>12</v>
      </c>
      <c r="V2" s="1" t="s">
        <v>13</v>
      </c>
      <c r="W2" s="1" t="s">
        <v>12</v>
      </c>
      <c r="X2" s="1" t="s">
        <v>16</v>
      </c>
      <c r="Y2" s="1" t="s">
        <v>12</v>
      </c>
      <c r="Z2" s="1" t="s">
        <v>13</v>
      </c>
    </row>
    <row r="3" hidden="1" collapsed="1">
      <c r="A3" s="5">
        <v>2023.0</v>
      </c>
    </row>
    <row r="4" hidden="1" outlineLevel="1">
      <c r="A4" s="6" t="s">
        <v>17</v>
      </c>
      <c r="B4" s="6" t="s">
        <v>18</v>
      </c>
      <c r="C4" s="6"/>
      <c r="D4" s="6"/>
      <c r="E4" s="7"/>
      <c r="F4" s="8" t="s">
        <v>19</v>
      </c>
      <c r="G4" s="6"/>
      <c r="H4" s="6"/>
      <c r="I4" s="7"/>
      <c r="J4" s="8" t="s">
        <v>20</v>
      </c>
      <c r="K4" s="6"/>
      <c r="L4" s="6"/>
      <c r="M4" s="6"/>
      <c r="N4" s="7"/>
      <c r="O4" s="9"/>
      <c r="P4" s="10" t="s">
        <v>21</v>
      </c>
      <c r="Q4" s="6"/>
      <c r="R4" s="6"/>
      <c r="S4" s="6"/>
      <c r="T4" s="6"/>
      <c r="U4" s="7"/>
      <c r="V4" s="8" t="s">
        <v>20</v>
      </c>
      <c r="W4" s="6"/>
      <c r="X4" s="6"/>
      <c r="Y4" s="6"/>
      <c r="Z4" s="6"/>
    </row>
    <row r="5" hidden="1" outlineLevel="1">
      <c r="A5" s="6" t="s">
        <v>22</v>
      </c>
      <c r="B5" s="6" t="s">
        <v>23</v>
      </c>
      <c r="C5" s="6"/>
      <c r="D5" s="6"/>
      <c r="E5" s="7"/>
      <c r="F5" s="9"/>
      <c r="G5" s="6"/>
      <c r="H5" s="6"/>
      <c r="I5" s="7"/>
      <c r="J5" s="9"/>
      <c r="K5" s="6"/>
      <c r="L5" s="6"/>
      <c r="M5" s="6"/>
      <c r="N5" s="7"/>
      <c r="O5" s="9"/>
      <c r="P5" s="11" t="s">
        <v>21</v>
      </c>
      <c r="Q5" s="6"/>
      <c r="R5" s="6"/>
      <c r="S5" s="6"/>
      <c r="T5" s="6"/>
      <c r="U5" s="7"/>
      <c r="V5" s="9"/>
      <c r="W5" s="6"/>
      <c r="X5" s="6"/>
      <c r="Y5" s="6"/>
      <c r="Z5" s="6"/>
    </row>
    <row r="6" hidden="1" outlineLevel="1">
      <c r="A6" s="6" t="s">
        <v>24</v>
      </c>
      <c r="B6" s="6" t="s">
        <v>18</v>
      </c>
      <c r="C6" s="6"/>
      <c r="D6" s="6"/>
      <c r="E6" s="7"/>
      <c r="F6" s="9"/>
      <c r="G6" s="6"/>
      <c r="H6" s="6"/>
      <c r="I6" s="7"/>
      <c r="J6" s="10" t="s">
        <v>25</v>
      </c>
      <c r="K6" s="6"/>
      <c r="L6" s="6"/>
      <c r="M6" s="6"/>
      <c r="N6" s="7"/>
      <c r="O6" s="9"/>
      <c r="P6" s="10" t="s">
        <v>26</v>
      </c>
      <c r="Q6" s="6"/>
      <c r="R6" s="6"/>
      <c r="S6" s="6"/>
      <c r="T6" s="6"/>
      <c r="U6" s="7"/>
      <c r="V6" s="8" t="s">
        <v>13</v>
      </c>
      <c r="W6" s="6"/>
      <c r="X6" s="6"/>
      <c r="Y6" s="6"/>
      <c r="Z6" s="6"/>
    </row>
    <row r="7" hidden="1" outlineLevel="1">
      <c r="A7" s="6" t="s">
        <v>27</v>
      </c>
      <c r="B7" s="6" t="s">
        <v>18</v>
      </c>
      <c r="C7" s="6"/>
      <c r="D7" s="6"/>
      <c r="E7" s="7"/>
      <c r="F7" s="9"/>
      <c r="G7" s="6"/>
      <c r="H7" s="6"/>
      <c r="I7" s="7"/>
      <c r="J7" s="9"/>
      <c r="K7" s="12">
        <v>45200.0</v>
      </c>
      <c r="L7" s="6"/>
      <c r="M7" s="6"/>
      <c r="N7" s="7"/>
      <c r="O7" s="9"/>
      <c r="P7" s="10" t="s">
        <v>28</v>
      </c>
      <c r="Q7" s="6"/>
      <c r="R7" s="6"/>
      <c r="S7" s="6"/>
      <c r="T7" s="6"/>
      <c r="U7" s="7"/>
      <c r="V7" s="9"/>
      <c r="W7" s="12">
        <v>45170.0</v>
      </c>
      <c r="X7" s="6"/>
      <c r="Y7" s="6"/>
      <c r="Z7" s="6"/>
    </row>
    <row r="8" hidden="1" outlineLevel="1">
      <c r="A8" s="6" t="s">
        <v>29</v>
      </c>
      <c r="B8" s="6" t="s">
        <v>18</v>
      </c>
      <c r="C8" s="6"/>
      <c r="D8" s="6"/>
      <c r="E8" s="7"/>
      <c r="F8" s="9"/>
      <c r="G8" s="6"/>
      <c r="H8" s="6"/>
      <c r="I8" s="7"/>
      <c r="J8" s="9"/>
      <c r="K8" s="10">
        <v>10.0</v>
      </c>
      <c r="L8" s="6"/>
      <c r="M8" s="6"/>
      <c r="N8" s="7"/>
      <c r="O8" s="9"/>
      <c r="P8" s="6"/>
      <c r="Q8" s="10">
        <v>3.0</v>
      </c>
      <c r="R8" s="6"/>
      <c r="S8" s="6"/>
      <c r="T8" s="6"/>
      <c r="U8" s="7"/>
      <c r="V8" s="9"/>
      <c r="W8" s="10">
        <v>9.0</v>
      </c>
      <c r="X8" s="6"/>
      <c r="Y8" s="6"/>
      <c r="Z8" s="6"/>
    </row>
    <row r="9" hidden="1" outlineLevel="1">
      <c r="A9" s="6" t="s">
        <v>30</v>
      </c>
      <c r="B9" s="6" t="s">
        <v>18</v>
      </c>
      <c r="C9" s="6"/>
      <c r="D9" s="6"/>
      <c r="E9" s="7"/>
      <c r="F9" s="9"/>
      <c r="G9" s="6"/>
      <c r="H9" s="6"/>
      <c r="I9" s="7"/>
      <c r="J9" s="9"/>
      <c r="K9" s="10">
        <v>11.0</v>
      </c>
      <c r="L9" s="6"/>
      <c r="M9" s="6"/>
      <c r="N9" s="7"/>
      <c r="O9" s="9"/>
      <c r="P9" s="6"/>
      <c r="Q9" s="10" t="s">
        <v>31</v>
      </c>
      <c r="R9" s="6"/>
      <c r="S9" s="6"/>
      <c r="T9" s="6"/>
      <c r="U9" s="7"/>
      <c r="V9" s="9"/>
      <c r="W9" s="10" t="s">
        <v>32</v>
      </c>
      <c r="X9" s="6"/>
      <c r="Y9" s="6"/>
      <c r="Z9" s="6"/>
    </row>
    <row r="10" hidden="1" outlineLevel="1">
      <c r="A10" s="11" t="s">
        <v>33</v>
      </c>
      <c r="B10" s="6" t="s">
        <v>23</v>
      </c>
      <c r="C10" s="6"/>
      <c r="D10" s="6"/>
      <c r="E10" s="7"/>
      <c r="F10" s="9"/>
      <c r="G10" s="6"/>
      <c r="H10" s="6"/>
      <c r="I10" s="7"/>
      <c r="J10" s="9"/>
      <c r="K10" s="6"/>
      <c r="L10" s="6"/>
      <c r="M10" s="6"/>
      <c r="N10" s="7"/>
      <c r="O10" s="9"/>
      <c r="P10" s="6"/>
      <c r="Q10" s="13">
        <v>45237.0</v>
      </c>
      <c r="R10" s="6"/>
      <c r="S10" s="6"/>
      <c r="T10" s="6"/>
      <c r="U10" s="7"/>
      <c r="V10" s="9"/>
      <c r="W10" s="6"/>
      <c r="X10" s="6"/>
      <c r="Y10" s="6"/>
      <c r="Z10" s="6"/>
    </row>
    <row r="11" hidden="1" outlineLevel="1">
      <c r="A11" s="11" t="s">
        <v>34</v>
      </c>
      <c r="B11" s="6" t="s">
        <v>23</v>
      </c>
      <c r="C11" s="6"/>
      <c r="D11" s="6"/>
      <c r="E11" s="7"/>
      <c r="F11" s="9"/>
      <c r="G11" s="6"/>
      <c r="H11" s="6"/>
      <c r="I11" s="7"/>
      <c r="J11" s="9"/>
      <c r="K11" s="6"/>
      <c r="L11" s="11" t="s">
        <v>35</v>
      </c>
      <c r="M11" s="6"/>
      <c r="N11" s="7"/>
      <c r="O11" s="9"/>
      <c r="P11" s="6"/>
      <c r="Q11" s="13">
        <v>45237.0</v>
      </c>
      <c r="R11" s="6"/>
      <c r="S11" s="6"/>
      <c r="T11" s="6"/>
      <c r="U11" s="7"/>
      <c r="V11" s="9"/>
      <c r="W11" s="11" t="s">
        <v>20</v>
      </c>
      <c r="X11" s="6"/>
      <c r="Y11" s="6"/>
      <c r="Z11" s="6"/>
    </row>
    <row r="12" hidden="1" outlineLevel="1">
      <c r="A12" s="6" t="s">
        <v>36</v>
      </c>
      <c r="B12" s="6" t="s">
        <v>37</v>
      </c>
      <c r="C12" s="6"/>
      <c r="D12" s="6"/>
      <c r="E12" s="7"/>
      <c r="F12" s="9"/>
      <c r="G12" s="6"/>
      <c r="H12" s="6"/>
      <c r="I12" s="7"/>
      <c r="J12" s="9"/>
      <c r="K12" s="6"/>
      <c r="L12" s="6" t="s">
        <v>35</v>
      </c>
      <c r="M12" s="6"/>
      <c r="N12" s="7"/>
      <c r="O12" s="9"/>
      <c r="P12" s="6"/>
      <c r="Q12" s="14">
        <v>45237.0</v>
      </c>
      <c r="R12" s="6"/>
      <c r="S12" s="6"/>
      <c r="T12" s="6"/>
      <c r="U12" s="7"/>
      <c r="V12" s="9"/>
      <c r="W12" s="15" t="s">
        <v>20</v>
      </c>
      <c r="X12" s="6"/>
      <c r="Y12" s="6"/>
      <c r="Z12" s="6"/>
    </row>
    <row r="13" hidden="1" outlineLevel="1">
      <c r="A13" s="11" t="s">
        <v>38</v>
      </c>
      <c r="B13" s="6" t="s">
        <v>23</v>
      </c>
      <c r="C13" s="6"/>
      <c r="D13" s="6"/>
      <c r="E13" s="7"/>
      <c r="F13" s="9"/>
      <c r="G13" s="6"/>
      <c r="H13" s="6"/>
      <c r="I13" s="7"/>
      <c r="J13" s="9"/>
      <c r="K13" s="6"/>
      <c r="L13" s="11">
        <v>19.0</v>
      </c>
      <c r="M13" s="6"/>
      <c r="N13" s="7"/>
      <c r="O13" s="9"/>
      <c r="P13" s="6"/>
      <c r="Q13" s="10">
        <v>15.0</v>
      </c>
      <c r="R13" s="6"/>
      <c r="S13" s="6"/>
      <c r="T13" s="6"/>
      <c r="U13" s="7"/>
      <c r="V13" s="9"/>
      <c r="W13" s="10">
        <v>15.0</v>
      </c>
      <c r="X13" s="6"/>
      <c r="Y13" s="6"/>
      <c r="Z13" s="6"/>
    </row>
    <row r="14" hidden="1" outlineLevel="1">
      <c r="A14" s="11" t="s">
        <v>39</v>
      </c>
      <c r="B14" s="6" t="s">
        <v>23</v>
      </c>
      <c r="C14" s="6"/>
      <c r="D14" s="6"/>
      <c r="E14" s="7"/>
      <c r="F14" s="9"/>
      <c r="G14" s="6"/>
      <c r="H14" s="6"/>
      <c r="I14" s="7"/>
      <c r="J14" s="9"/>
      <c r="K14" s="6"/>
      <c r="L14" s="11" t="s">
        <v>40</v>
      </c>
      <c r="M14" s="6"/>
      <c r="N14" s="7"/>
      <c r="O14" s="9"/>
      <c r="P14" s="6"/>
      <c r="Q14" s="6"/>
      <c r="R14" s="11" t="s">
        <v>41</v>
      </c>
      <c r="S14" s="6"/>
      <c r="T14" s="6"/>
      <c r="U14" s="7"/>
      <c r="V14" s="9"/>
      <c r="W14" s="6"/>
      <c r="X14" s="11" t="s">
        <v>42</v>
      </c>
      <c r="Y14" s="6"/>
      <c r="Z14" s="6"/>
    </row>
    <row r="15" hidden="1" outlineLevel="1">
      <c r="A15" s="6" t="s">
        <v>43</v>
      </c>
      <c r="B15" s="6" t="s">
        <v>18</v>
      </c>
      <c r="C15" s="6"/>
      <c r="D15" s="6"/>
      <c r="E15" s="7"/>
      <c r="F15" s="9"/>
      <c r="G15" s="6"/>
      <c r="H15" s="6"/>
      <c r="I15" s="7"/>
      <c r="J15" s="9"/>
      <c r="K15" s="6"/>
      <c r="L15" s="10" t="s">
        <v>44</v>
      </c>
      <c r="M15" s="6"/>
      <c r="N15" s="7"/>
      <c r="O15" s="9"/>
      <c r="P15" s="6"/>
      <c r="Q15" s="6"/>
      <c r="R15" s="10" t="s">
        <v>45</v>
      </c>
      <c r="S15" s="6"/>
      <c r="T15" s="6"/>
      <c r="U15" s="7"/>
      <c r="V15" s="9"/>
      <c r="W15" s="6"/>
      <c r="X15" s="10" t="s">
        <v>19</v>
      </c>
      <c r="Y15" s="6"/>
      <c r="Z15" s="6"/>
    </row>
    <row r="16" hidden="1" outlineLevel="1">
      <c r="A16" s="6" t="s">
        <v>46</v>
      </c>
      <c r="B16" s="6" t="s">
        <v>18</v>
      </c>
      <c r="C16" s="6"/>
      <c r="D16" s="6"/>
      <c r="E16" s="7"/>
      <c r="F16" s="9"/>
      <c r="G16" s="6"/>
      <c r="H16" s="6"/>
      <c r="I16" s="7"/>
      <c r="J16" s="9"/>
      <c r="K16" s="6"/>
      <c r="L16" s="10" t="s">
        <v>44</v>
      </c>
      <c r="M16" s="6"/>
      <c r="N16" s="7"/>
      <c r="O16" s="9"/>
      <c r="P16" s="6"/>
      <c r="Q16" s="6"/>
      <c r="R16" s="10" t="s">
        <v>45</v>
      </c>
      <c r="S16" s="6"/>
      <c r="T16" s="6"/>
      <c r="U16" s="7"/>
      <c r="V16" s="9"/>
      <c r="W16" s="6"/>
      <c r="X16" s="10" t="s">
        <v>19</v>
      </c>
      <c r="Y16" s="6"/>
      <c r="Z16" s="6"/>
    </row>
    <row r="17" hidden="1" outlineLevel="1">
      <c r="A17" s="11" t="s">
        <v>47</v>
      </c>
      <c r="B17" s="6" t="s">
        <v>23</v>
      </c>
      <c r="C17" s="6"/>
      <c r="D17" s="6"/>
      <c r="E17" s="16" t="s">
        <v>48</v>
      </c>
      <c r="F17" s="9"/>
      <c r="G17" s="6"/>
      <c r="H17" s="6"/>
      <c r="I17" s="7"/>
      <c r="J17" s="9"/>
      <c r="K17" s="6"/>
      <c r="L17" s="11" t="s">
        <v>40</v>
      </c>
      <c r="M17" s="6"/>
      <c r="N17" s="7"/>
      <c r="O17" s="9"/>
      <c r="P17" s="6"/>
      <c r="Q17" s="6"/>
      <c r="R17" s="11" t="s">
        <v>49</v>
      </c>
      <c r="S17" s="6"/>
      <c r="T17" s="6"/>
      <c r="U17" s="7"/>
      <c r="V17" s="9"/>
      <c r="W17" s="6"/>
      <c r="X17" s="11" t="s">
        <v>19</v>
      </c>
      <c r="Y17" s="6"/>
      <c r="Z17" s="6"/>
    </row>
    <row r="18" hidden="1" outlineLevel="1">
      <c r="A18" s="11" t="s">
        <v>50</v>
      </c>
      <c r="B18" s="6" t="s">
        <v>23</v>
      </c>
      <c r="C18" s="6"/>
      <c r="D18" s="6"/>
      <c r="E18" s="16" t="s">
        <v>48</v>
      </c>
      <c r="F18" s="9"/>
      <c r="G18" s="6"/>
      <c r="H18" s="6"/>
      <c r="I18" s="7"/>
      <c r="J18" s="9"/>
      <c r="K18" s="6"/>
      <c r="L18" s="13">
        <v>45066.0</v>
      </c>
      <c r="N18" s="7"/>
      <c r="O18" s="9"/>
      <c r="P18" s="6"/>
      <c r="Q18" s="6"/>
      <c r="R18" s="13">
        <v>45030.0</v>
      </c>
      <c r="T18" s="6"/>
      <c r="U18" s="7"/>
      <c r="V18" s="9"/>
      <c r="W18" s="6"/>
      <c r="X18" s="13">
        <v>45031.0</v>
      </c>
      <c r="Z18" s="6"/>
    </row>
    <row r="19" hidden="1" outlineLevel="1">
      <c r="A19" s="11" t="s">
        <v>51</v>
      </c>
      <c r="B19" s="6" t="s">
        <v>23</v>
      </c>
      <c r="C19" s="6"/>
      <c r="D19" s="6"/>
      <c r="E19" s="16" t="s">
        <v>48</v>
      </c>
      <c r="F19" s="9"/>
      <c r="G19" s="6"/>
      <c r="H19" s="6"/>
      <c r="I19" s="7"/>
      <c r="J19" s="9"/>
      <c r="K19" s="6"/>
      <c r="L19" s="11" t="s">
        <v>52</v>
      </c>
      <c r="N19" s="7"/>
      <c r="O19" s="9"/>
      <c r="P19" s="6"/>
      <c r="Q19" s="6"/>
      <c r="R19" s="13">
        <v>44954.0</v>
      </c>
      <c r="S19" s="6"/>
      <c r="T19" s="6"/>
      <c r="U19" s="7"/>
      <c r="V19" s="9"/>
      <c r="W19" s="6"/>
      <c r="X19" s="6"/>
      <c r="Y19" s="14">
        <v>44953.0</v>
      </c>
      <c r="Z19" s="6"/>
    </row>
    <row r="20" hidden="1" outlineLevel="1">
      <c r="A20" s="11" t="s">
        <v>53</v>
      </c>
      <c r="B20" s="6" t="s">
        <v>18</v>
      </c>
      <c r="C20" s="6"/>
      <c r="D20" s="6"/>
      <c r="E20" s="7"/>
      <c r="F20" s="8" t="s">
        <v>19</v>
      </c>
      <c r="G20" s="6"/>
      <c r="H20" s="6"/>
      <c r="I20" s="17">
        <v>15.0</v>
      </c>
      <c r="J20" s="9"/>
      <c r="K20" s="6"/>
      <c r="L20" s="6"/>
      <c r="M20" s="18">
        <v>5.0</v>
      </c>
      <c r="N20" s="7"/>
      <c r="O20" s="9"/>
      <c r="P20" s="6"/>
      <c r="Q20" s="6"/>
      <c r="R20" s="6"/>
      <c r="S20" s="18">
        <v>4.0</v>
      </c>
      <c r="T20" s="6"/>
      <c r="U20" s="7"/>
      <c r="V20" s="9"/>
      <c r="W20" s="6"/>
      <c r="X20" s="6"/>
      <c r="Y20" s="18">
        <v>4.0</v>
      </c>
      <c r="Z20" s="6"/>
    </row>
    <row r="21" ht="15.75" hidden="1" customHeight="1" outlineLevel="1">
      <c r="A21" s="19" t="s">
        <v>54</v>
      </c>
      <c r="B21" s="20" t="s">
        <v>23</v>
      </c>
      <c r="C21" s="20"/>
      <c r="D21" s="20"/>
      <c r="E21" s="21"/>
      <c r="F21" s="22" t="s">
        <v>19</v>
      </c>
      <c r="G21" s="20"/>
      <c r="H21" s="20"/>
      <c r="I21" s="21"/>
      <c r="J21" s="23"/>
      <c r="K21" s="20"/>
      <c r="L21" s="20"/>
      <c r="M21" s="20"/>
      <c r="N21" s="21"/>
      <c r="O21" s="23"/>
      <c r="P21" s="20"/>
      <c r="Q21" s="20"/>
      <c r="R21" s="20"/>
      <c r="S21" s="24">
        <v>45142.0</v>
      </c>
      <c r="T21" s="20"/>
      <c r="U21" s="21"/>
      <c r="V21" s="23"/>
      <c r="W21" s="20"/>
      <c r="X21" s="20"/>
      <c r="Y21" s="24">
        <v>45142.0</v>
      </c>
      <c r="Z21" s="20"/>
    </row>
    <row r="22" ht="15.75" hidden="1" customHeight="1" collapsed="1">
      <c r="A22" s="5">
        <v>2024.0</v>
      </c>
    </row>
    <row r="23" ht="15.75" hidden="1" customHeight="1" outlineLevel="1">
      <c r="A23" s="6" t="s">
        <v>17</v>
      </c>
      <c r="B23" s="6" t="s">
        <v>18</v>
      </c>
      <c r="C23" s="6"/>
      <c r="D23" s="6"/>
      <c r="E23" s="12">
        <v>45474.0</v>
      </c>
      <c r="F23" s="6"/>
      <c r="G23" s="6"/>
      <c r="H23" s="6"/>
      <c r="I23" s="25" t="s">
        <v>55</v>
      </c>
      <c r="J23" s="6"/>
      <c r="K23" s="6"/>
      <c r="L23" s="6"/>
      <c r="M23" s="6"/>
      <c r="N23" s="6"/>
      <c r="O23" s="26" t="s">
        <v>12</v>
      </c>
      <c r="P23" s="6"/>
      <c r="Q23" s="6"/>
      <c r="R23" s="6"/>
      <c r="S23" s="6"/>
      <c r="T23" s="6"/>
      <c r="U23" s="27" t="s">
        <v>48</v>
      </c>
      <c r="V23" s="6"/>
      <c r="W23" s="6"/>
      <c r="X23" s="6"/>
      <c r="Y23" s="6"/>
      <c r="Z23" s="6"/>
    </row>
    <row r="24" ht="15.75" hidden="1" customHeight="1" outlineLevel="1">
      <c r="A24" s="6" t="s">
        <v>22</v>
      </c>
      <c r="B24" s="6" t="s">
        <v>23</v>
      </c>
      <c r="C24" s="6"/>
      <c r="D24" s="6"/>
      <c r="E24" s="28"/>
      <c r="F24" s="15"/>
      <c r="G24" s="6"/>
      <c r="H24" s="6"/>
      <c r="I24" s="9"/>
      <c r="J24" s="6"/>
      <c r="K24" s="6"/>
      <c r="L24" s="6"/>
      <c r="M24" s="6"/>
      <c r="N24" s="6"/>
      <c r="O24" s="26" t="s">
        <v>12</v>
      </c>
      <c r="P24" s="6"/>
      <c r="Q24" s="6"/>
      <c r="R24" s="6"/>
      <c r="S24" s="6"/>
      <c r="T24" s="6"/>
      <c r="U24" s="9"/>
      <c r="V24" s="6"/>
      <c r="W24" s="6"/>
      <c r="X24" s="6"/>
      <c r="Y24" s="6"/>
      <c r="Z24" s="6"/>
    </row>
    <row r="25" ht="15.75" hidden="1" customHeight="1" outlineLevel="1">
      <c r="A25" s="6" t="s">
        <v>24</v>
      </c>
      <c r="B25" s="6" t="s">
        <v>18</v>
      </c>
      <c r="C25" s="6"/>
      <c r="D25" s="6"/>
      <c r="E25" s="12">
        <v>45634.0</v>
      </c>
      <c r="F25" s="15"/>
      <c r="G25" s="6"/>
      <c r="H25" s="6"/>
      <c r="I25" s="25" t="s">
        <v>12</v>
      </c>
      <c r="J25" s="6"/>
      <c r="K25" s="6"/>
      <c r="L25" s="6"/>
      <c r="M25" s="6"/>
      <c r="N25" s="6"/>
      <c r="O25" s="26" t="s">
        <v>12</v>
      </c>
      <c r="P25" s="6"/>
      <c r="Q25" s="6"/>
      <c r="R25" s="6"/>
      <c r="S25" s="6"/>
      <c r="T25" s="6"/>
      <c r="U25" s="9"/>
      <c r="V25" s="29" t="s">
        <v>56</v>
      </c>
      <c r="W25" s="6"/>
      <c r="X25" s="6"/>
      <c r="Y25" s="6"/>
      <c r="Z25" s="6"/>
    </row>
    <row r="26" ht="15.75" hidden="1" customHeight="1" outlineLevel="1">
      <c r="A26" s="6" t="s">
        <v>27</v>
      </c>
      <c r="B26" s="6" t="s">
        <v>18</v>
      </c>
      <c r="C26" s="6"/>
      <c r="D26" s="6"/>
      <c r="E26" s="12">
        <v>45604.0</v>
      </c>
      <c r="F26" s="6"/>
      <c r="G26" s="6"/>
      <c r="H26" s="6"/>
      <c r="I26" s="25" t="s">
        <v>12</v>
      </c>
      <c r="J26" s="6"/>
      <c r="K26" s="14"/>
      <c r="L26" s="6"/>
      <c r="M26" s="6"/>
      <c r="N26" s="6"/>
      <c r="O26" s="30">
        <v>45509.0</v>
      </c>
      <c r="P26" s="6"/>
      <c r="Q26" s="6"/>
      <c r="R26" s="6"/>
      <c r="S26" s="6"/>
      <c r="T26" s="6"/>
      <c r="U26" s="9"/>
      <c r="V26" s="29" t="s">
        <v>56</v>
      </c>
      <c r="W26" s="14"/>
      <c r="X26" s="6"/>
      <c r="Y26" s="6"/>
      <c r="Z26" s="6"/>
    </row>
    <row r="27" ht="15.75" hidden="1" customHeight="1" outlineLevel="1">
      <c r="A27" s="6" t="s">
        <v>29</v>
      </c>
      <c r="B27" s="6" t="s">
        <v>18</v>
      </c>
      <c r="C27" s="6"/>
      <c r="D27" s="6"/>
      <c r="E27" s="18">
        <v>12.0</v>
      </c>
      <c r="F27" s="6"/>
      <c r="G27" s="6"/>
      <c r="H27" s="6"/>
      <c r="I27" s="9"/>
      <c r="J27" s="31">
        <v>17.0</v>
      </c>
      <c r="K27" s="6"/>
      <c r="L27" s="6"/>
      <c r="M27" s="6"/>
      <c r="N27" s="6"/>
      <c r="O27" s="9"/>
      <c r="P27" s="32">
        <v>22.0</v>
      </c>
      <c r="Q27" s="6"/>
      <c r="R27" s="6"/>
      <c r="S27" s="6"/>
      <c r="T27" s="6"/>
      <c r="U27" s="9"/>
      <c r="V27" s="33">
        <v>30.0</v>
      </c>
      <c r="W27" s="6"/>
      <c r="X27" s="6"/>
      <c r="Y27" s="6"/>
      <c r="Z27" s="6"/>
    </row>
    <row r="28" ht="15.75" hidden="1" customHeight="1" outlineLevel="1">
      <c r="A28" s="6" t="s">
        <v>30</v>
      </c>
      <c r="B28" s="6" t="s">
        <v>18</v>
      </c>
      <c r="C28" s="6"/>
      <c r="D28" s="6"/>
      <c r="E28" s="10" t="s">
        <v>57</v>
      </c>
      <c r="F28" s="6"/>
      <c r="G28" s="6"/>
      <c r="H28" s="6"/>
      <c r="I28" s="9"/>
      <c r="J28" s="34" t="s">
        <v>58</v>
      </c>
      <c r="K28" s="6"/>
      <c r="L28" s="6"/>
      <c r="M28" s="6"/>
      <c r="N28" s="6"/>
      <c r="O28" s="9"/>
      <c r="P28" s="35" t="s">
        <v>40</v>
      </c>
      <c r="Q28" s="6"/>
      <c r="R28" s="6"/>
      <c r="S28" s="6"/>
      <c r="T28" s="6"/>
      <c r="U28" s="9"/>
      <c r="V28" s="6"/>
      <c r="W28" s="36">
        <v>45383.0</v>
      </c>
      <c r="X28" s="6"/>
      <c r="Y28" s="6"/>
      <c r="Z28" s="6"/>
    </row>
    <row r="29" ht="15.75" hidden="1" customHeight="1" outlineLevel="1">
      <c r="A29" s="6" t="s">
        <v>34</v>
      </c>
      <c r="B29" s="6" t="s">
        <v>23</v>
      </c>
      <c r="C29" s="6"/>
      <c r="D29" s="6"/>
      <c r="E29" s="10" t="s">
        <v>59</v>
      </c>
      <c r="F29" s="6"/>
      <c r="G29" s="6"/>
      <c r="H29" s="6"/>
      <c r="I29" s="9"/>
      <c r="J29" s="37">
        <v>45380.0</v>
      </c>
      <c r="L29" s="6"/>
      <c r="M29" s="6"/>
      <c r="N29" s="6"/>
      <c r="O29" s="9"/>
      <c r="P29" s="38">
        <v>45351.0</v>
      </c>
      <c r="Q29" s="6"/>
      <c r="R29" s="6"/>
      <c r="S29" s="6"/>
      <c r="T29" s="6"/>
      <c r="U29" s="9"/>
      <c r="V29" s="6"/>
      <c r="W29" s="36">
        <v>45508.0</v>
      </c>
      <c r="X29" s="6"/>
      <c r="Y29" s="6"/>
      <c r="Z29" s="6"/>
    </row>
    <row r="30" ht="15.75" hidden="1" customHeight="1" outlineLevel="1">
      <c r="A30" s="6" t="s">
        <v>36</v>
      </c>
      <c r="B30" s="6" t="s">
        <v>37</v>
      </c>
      <c r="C30" s="6"/>
      <c r="D30" s="6"/>
      <c r="E30" s="12">
        <v>45310.0</v>
      </c>
      <c r="F30" s="6"/>
      <c r="G30" s="6"/>
      <c r="H30" s="6"/>
      <c r="I30" s="9"/>
      <c r="J30" s="6"/>
      <c r="K30" s="37">
        <v>45571.0</v>
      </c>
      <c r="L30" s="6"/>
      <c r="M30" s="6"/>
      <c r="N30" s="6"/>
      <c r="O30" s="9"/>
      <c r="P30" s="38">
        <v>45351.0</v>
      </c>
      <c r="Q30" s="6"/>
      <c r="R30" s="6"/>
      <c r="S30" s="6"/>
      <c r="T30" s="6"/>
      <c r="U30" s="9"/>
      <c r="V30" s="6"/>
      <c r="W30" s="36">
        <v>45508.0</v>
      </c>
      <c r="X30" s="6"/>
      <c r="Y30" s="6"/>
      <c r="Z30" s="6"/>
    </row>
    <row r="31" ht="15.75" hidden="1" customHeight="1" outlineLevel="1">
      <c r="A31" s="6" t="s">
        <v>38</v>
      </c>
      <c r="B31" s="6" t="s">
        <v>23</v>
      </c>
      <c r="C31" s="6"/>
      <c r="D31" s="6"/>
      <c r="E31" s="10" t="s">
        <v>57</v>
      </c>
      <c r="F31" s="6"/>
      <c r="G31" s="6"/>
      <c r="H31" s="6"/>
      <c r="I31" s="9"/>
      <c r="J31" s="6"/>
      <c r="K31" s="37">
        <v>45571.0</v>
      </c>
      <c r="L31" s="6"/>
      <c r="M31" s="6"/>
      <c r="N31" s="6"/>
      <c r="O31" s="9"/>
      <c r="P31" s="35">
        <v>31.0</v>
      </c>
      <c r="Q31" s="6"/>
      <c r="R31" s="6"/>
      <c r="S31" s="6"/>
      <c r="T31" s="6"/>
      <c r="U31" s="9"/>
      <c r="V31" s="6"/>
      <c r="W31" s="29">
        <v>11.0</v>
      </c>
      <c r="X31" s="6"/>
      <c r="Y31" s="6"/>
      <c r="Z31" s="6"/>
    </row>
    <row r="32" ht="15.75" hidden="1" customHeight="1" outlineLevel="1">
      <c r="A32" s="6" t="s">
        <v>39</v>
      </c>
      <c r="B32" s="6" t="s">
        <v>23</v>
      </c>
      <c r="C32" s="6"/>
      <c r="D32" s="6"/>
      <c r="E32" s="6"/>
      <c r="F32" s="12">
        <v>45310.0</v>
      </c>
      <c r="G32" s="6"/>
      <c r="H32" s="6"/>
      <c r="I32" s="9"/>
      <c r="J32" s="6"/>
      <c r="K32" s="34" t="s">
        <v>60</v>
      </c>
      <c r="L32" s="6"/>
      <c r="M32" s="6"/>
      <c r="N32" s="6"/>
      <c r="O32" s="9"/>
      <c r="P32" s="6"/>
      <c r="Q32" s="35" t="s">
        <v>61</v>
      </c>
      <c r="S32" s="6"/>
      <c r="T32" s="6"/>
      <c r="U32" s="9"/>
      <c r="V32" s="6"/>
      <c r="W32" s="29" t="s">
        <v>62</v>
      </c>
      <c r="X32" s="6"/>
      <c r="Y32" s="6"/>
      <c r="Z32" s="6"/>
    </row>
    <row r="33" ht="15.75" hidden="1" customHeight="1" outlineLevel="1">
      <c r="A33" s="6" t="s">
        <v>43</v>
      </c>
      <c r="B33" s="6" t="s">
        <v>18</v>
      </c>
      <c r="C33" s="6"/>
      <c r="D33" s="15"/>
      <c r="E33" s="15"/>
      <c r="F33" s="10" t="s">
        <v>63</v>
      </c>
      <c r="G33" s="6"/>
      <c r="H33" s="6"/>
      <c r="I33" s="9"/>
      <c r="J33" s="6"/>
      <c r="K33" s="6"/>
      <c r="L33" s="34" t="s">
        <v>13</v>
      </c>
      <c r="M33" s="6"/>
      <c r="N33" s="6"/>
      <c r="O33" s="9"/>
      <c r="P33" s="6"/>
      <c r="Q33" s="6"/>
      <c r="R33" s="35" t="s">
        <v>13</v>
      </c>
      <c r="S33" s="6"/>
      <c r="T33" s="6"/>
      <c r="U33" s="9"/>
      <c r="V33" s="6"/>
      <c r="W33" s="6"/>
      <c r="X33" s="29" t="s">
        <v>16</v>
      </c>
      <c r="Y33" s="6"/>
      <c r="Z33" s="6"/>
    </row>
    <row r="34" ht="15.75" hidden="1" customHeight="1" outlineLevel="1">
      <c r="A34" s="6" t="s">
        <v>46</v>
      </c>
      <c r="B34" s="6" t="s">
        <v>18</v>
      </c>
      <c r="C34" s="6"/>
      <c r="D34" s="15"/>
      <c r="E34" s="15"/>
      <c r="F34" s="10" t="s">
        <v>63</v>
      </c>
      <c r="G34" s="6"/>
      <c r="H34" s="6"/>
      <c r="I34" s="9"/>
      <c r="J34" s="6"/>
      <c r="K34" s="6"/>
      <c r="L34" s="34" t="s">
        <v>13</v>
      </c>
      <c r="M34" s="6"/>
      <c r="N34" s="6"/>
      <c r="O34" s="9"/>
      <c r="P34" s="6"/>
      <c r="Q34" s="6"/>
      <c r="R34" s="35" t="s">
        <v>13</v>
      </c>
      <c r="S34" s="6"/>
      <c r="T34" s="6"/>
      <c r="U34" s="9"/>
      <c r="V34" s="6"/>
      <c r="W34" s="6"/>
      <c r="X34" s="29" t="s">
        <v>16</v>
      </c>
      <c r="Y34" s="6"/>
      <c r="Z34" s="6"/>
    </row>
    <row r="35" ht="15.75" hidden="1" customHeight="1" outlineLevel="1">
      <c r="A35" s="6" t="s">
        <v>47</v>
      </c>
      <c r="B35" s="6" t="s">
        <v>23</v>
      </c>
      <c r="C35" s="6"/>
      <c r="D35" s="15"/>
      <c r="E35" s="15"/>
      <c r="F35" s="15"/>
      <c r="G35" s="12">
        <v>45508.0</v>
      </c>
      <c r="H35" s="6"/>
      <c r="I35" s="9"/>
      <c r="J35" s="6"/>
      <c r="K35" s="6"/>
      <c r="L35" s="34" t="s">
        <v>44</v>
      </c>
      <c r="M35" s="6"/>
      <c r="N35" s="6"/>
      <c r="O35" s="9"/>
      <c r="P35" s="6"/>
      <c r="Q35" s="6"/>
      <c r="R35" s="35" t="s">
        <v>64</v>
      </c>
      <c r="S35" s="6"/>
      <c r="T35" s="6"/>
      <c r="U35" s="9"/>
      <c r="V35" s="6"/>
      <c r="W35" s="6"/>
      <c r="X35" s="29" t="s">
        <v>65</v>
      </c>
      <c r="Y35" s="6"/>
      <c r="Z35" s="6"/>
    </row>
    <row r="36" ht="15.75" hidden="1" customHeight="1" outlineLevel="1">
      <c r="A36" s="6" t="s">
        <v>51</v>
      </c>
      <c r="B36" s="6" t="s">
        <v>23</v>
      </c>
      <c r="C36" s="6"/>
      <c r="D36" s="15"/>
      <c r="E36" s="15"/>
      <c r="F36" s="15"/>
      <c r="G36" s="12">
        <v>45508.0</v>
      </c>
      <c r="H36" s="6"/>
      <c r="I36" s="9"/>
      <c r="J36" s="6"/>
      <c r="K36" s="6"/>
      <c r="L36" s="34" t="s">
        <v>44</v>
      </c>
      <c r="M36" s="6"/>
      <c r="N36" s="6"/>
      <c r="O36" s="9"/>
      <c r="P36" s="6"/>
      <c r="Q36" s="6"/>
      <c r="R36" s="35" t="s">
        <v>64</v>
      </c>
      <c r="S36" s="6"/>
      <c r="T36" s="6"/>
      <c r="U36" s="9"/>
      <c r="V36" s="6"/>
      <c r="W36" s="6"/>
      <c r="X36" s="29" t="s">
        <v>66</v>
      </c>
      <c r="Y36" s="6"/>
      <c r="Z36" s="6"/>
    </row>
    <row r="37" ht="15.75" hidden="1" customHeight="1" outlineLevel="1">
      <c r="A37" s="6" t="s">
        <v>67</v>
      </c>
      <c r="B37" s="6" t="s">
        <v>23</v>
      </c>
      <c r="C37" s="6"/>
      <c r="D37" s="15"/>
      <c r="E37" s="15"/>
      <c r="F37" s="15"/>
      <c r="G37" s="10">
        <v>11.0</v>
      </c>
      <c r="H37" s="6"/>
      <c r="I37" s="9"/>
      <c r="J37" s="6"/>
      <c r="K37" s="6"/>
      <c r="L37" s="6"/>
      <c r="M37" s="34">
        <v>3.0</v>
      </c>
      <c r="N37" s="6"/>
      <c r="O37" s="9"/>
      <c r="P37" s="6"/>
      <c r="Q37" s="6"/>
      <c r="R37" s="35">
        <v>2.0</v>
      </c>
      <c r="S37" s="6"/>
      <c r="T37" s="6"/>
      <c r="U37" s="9"/>
      <c r="V37" s="6"/>
      <c r="W37" s="6"/>
      <c r="X37" s="6"/>
      <c r="Y37" s="29">
        <v>2.0</v>
      </c>
      <c r="Z37" s="6"/>
    </row>
    <row r="38" ht="15.75" hidden="1" customHeight="1" outlineLevel="1">
      <c r="A38" s="6" t="s">
        <v>53</v>
      </c>
      <c r="B38" s="6" t="s">
        <v>18</v>
      </c>
      <c r="C38" s="6"/>
      <c r="D38" s="15"/>
      <c r="E38" s="15"/>
      <c r="F38" s="15"/>
      <c r="G38" s="39" t="s">
        <v>68</v>
      </c>
      <c r="H38" s="6"/>
      <c r="I38" s="9"/>
      <c r="J38" s="6"/>
      <c r="K38" s="6"/>
      <c r="L38" s="6"/>
      <c r="M38" s="40">
        <v>3.0</v>
      </c>
      <c r="N38" s="6"/>
      <c r="O38" s="9"/>
      <c r="P38" s="6"/>
      <c r="Q38" s="6"/>
      <c r="R38" s="6"/>
      <c r="S38" s="41">
        <v>2.0</v>
      </c>
      <c r="T38" s="6"/>
      <c r="U38" s="9"/>
      <c r="V38" s="6"/>
      <c r="W38" s="6"/>
      <c r="X38" s="6"/>
      <c r="Y38" s="33">
        <v>2.0</v>
      </c>
      <c r="Z38" s="6"/>
    </row>
    <row r="39" ht="15.75" customHeight="1">
      <c r="A39" s="42">
        <v>2025.0</v>
      </c>
      <c r="B39" s="6"/>
      <c r="C39" s="43" t="s">
        <v>69</v>
      </c>
      <c r="F39" s="44" t="s">
        <v>70</v>
      </c>
      <c r="H39" s="45" t="s">
        <v>71</v>
      </c>
      <c r="M39" s="46" t="s">
        <v>72</v>
      </c>
      <c r="Y39" s="43" t="s">
        <v>69</v>
      </c>
    </row>
    <row r="40" ht="15.75" customHeight="1">
      <c r="A40" s="6"/>
      <c r="B40" s="6"/>
    </row>
    <row r="41" ht="15.75" customHeight="1">
      <c r="A41" s="47" t="s">
        <v>73</v>
      </c>
      <c r="B41" s="6"/>
      <c r="C41" s="48" t="s">
        <v>74</v>
      </c>
      <c r="J41" s="49" t="s">
        <v>75</v>
      </c>
      <c r="V41" s="48" t="s">
        <v>74</v>
      </c>
    </row>
    <row r="42" ht="15.75" customHeight="1">
      <c r="A42" s="50" t="s">
        <v>76</v>
      </c>
      <c r="B42" s="20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6" t="s">
        <v>17</v>
      </c>
      <c r="B43" s="6" t="s">
        <v>18</v>
      </c>
      <c r="D43" s="52"/>
      <c r="F43" s="53"/>
      <c r="J43" s="54"/>
      <c r="Q43" s="55"/>
      <c r="W43" s="56"/>
      <c r="Y43" s="57"/>
    </row>
    <row r="44" ht="15.75" customHeight="1">
      <c r="A44" s="58" t="s">
        <v>77</v>
      </c>
      <c r="B44" s="6" t="s">
        <v>23</v>
      </c>
      <c r="D44" s="52"/>
      <c r="F44" s="53"/>
      <c r="J44" s="54"/>
      <c r="Q44" s="55"/>
      <c r="W44" s="56"/>
      <c r="Y44" s="57"/>
    </row>
    <row r="45" ht="15.75" customHeight="1">
      <c r="A45" s="58" t="s">
        <v>78</v>
      </c>
      <c r="B45" s="6" t="s">
        <v>79</v>
      </c>
      <c r="D45" s="52"/>
      <c r="F45" s="53"/>
      <c r="J45" s="54"/>
      <c r="Q45" s="55"/>
      <c r="W45" s="56"/>
      <c r="Y45" s="57"/>
    </row>
    <row r="46" ht="15.75" customHeight="1">
      <c r="A46" s="6" t="s">
        <v>24</v>
      </c>
      <c r="B46" s="6" t="s">
        <v>18</v>
      </c>
      <c r="D46" s="52"/>
      <c r="F46" s="53"/>
      <c r="J46" s="54"/>
      <c r="Q46" s="55"/>
      <c r="W46" s="56"/>
      <c r="Y46" s="57"/>
    </row>
    <row r="47" ht="15.75" customHeight="1">
      <c r="A47" s="6" t="s">
        <v>27</v>
      </c>
      <c r="B47" s="6" t="s">
        <v>18</v>
      </c>
      <c r="D47" s="52"/>
      <c r="F47" s="53"/>
      <c r="J47" s="54"/>
      <c r="Q47" s="55"/>
      <c r="W47" s="56"/>
      <c r="Y47" s="57"/>
    </row>
    <row r="48" ht="15.75" customHeight="1">
      <c r="A48" s="6" t="s">
        <v>80</v>
      </c>
      <c r="B48" s="6" t="s">
        <v>18</v>
      </c>
      <c r="E48" s="52"/>
      <c r="G48" s="53"/>
      <c r="K48" s="54"/>
      <c r="R48" s="55"/>
      <c r="X48" s="56"/>
    </row>
    <row r="49" ht="15.75" customHeight="1">
      <c r="A49" s="6" t="s">
        <v>81</v>
      </c>
      <c r="B49" s="6" t="s">
        <v>18</v>
      </c>
      <c r="E49" s="52"/>
      <c r="G49" s="53"/>
      <c r="K49" s="54"/>
      <c r="R49" s="55"/>
      <c r="X49" s="56"/>
    </row>
    <row r="50" ht="15.75" customHeight="1">
      <c r="A50" s="6" t="s">
        <v>30</v>
      </c>
      <c r="B50" s="6" t="s">
        <v>18</v>
      </c>
      <c r="E50" s="52"/>
      <c r="G50" s="53"/>
      <c r="K50" s="54"/>
      <c r="R50" s="55"/>
      <c r="X50" s="56"/>
    </row>
    <row r="51" ht="15.75" customHeight="1">
      <c r="A51" s="58" t="s">
        <v>82</v>
      </c>
      <c r="B51" s="6" t="s">
        <v>18</v>
      </c>
      <c r="E51" s="52"/>
      <c r="G51" s="53"/>
      <c r="K51" s="54"/>
      <c r="R51" s="55"/>
      <c r="X51" s="56"/>
    </row>
    <row r="52" ht="15.75" customHeight="1">
      <c r="A52" s="6" t="s">
        <v>34</v>
      </c>
      <c r="B52" s="6" t="s">
        <v>23</v>
      </c>
      <c r="E52" s="52"/>
      <c r="G52" s="53"/>
      <c r="L52" s="54"/>
      <c r="R52" s="55"/>
      <c r="X52" s="56"/>
    </row>
    <row r="53" ht="15.75" customHeight="1">
      <c r="A53" s="6" t="s">
        <v>36</v>
      </c>
      <c r="B53" s="6" t="s">
        <v>83</v>
      </c>
      <c r="E53" s="52"/>
      <c r="G53" s="53"/>
      <c r="L53" s="54"/>
      <c r="R53" s="55"/>
      <c r="X53" s="56"/>
    </row>
    <row r="54" ht="15.75" customHeight="1">
      <c r="A54" s="6" t="s">
        <v>38</v>
      </c>
      <c r="B54" s="6" t="s">
        <v>23</v>
      </c>
      <c r="E54" s="52"/>
      <c r="G54" s="53"/>
      <c r="L54" s="54"/>
      <c r="R54" s="55"/>
      <c r="X54" s="56"/>
    </row>
    <row r="55" ht="15.75" customHeight="1">
      <c r="A55" s="6" t="s">
        <v>39</v>
      </c>
      <c r="B55" s="6" t="s">
        <v>23</v>
      </c>
      <c r="E55" s="52"/>
      <c r="G55" s="53"/>
      <c r="H55" s="53"/>
      <c r="L55" s="54"/>
      <c r="R55" s="55"/>
      <c r="S55" s="55"/>
      <c r="X55" s="56"/>
    </row>
    <row r="56" ht="15.75" customHeight="1">
      <c r="A56" s="6" t="s">
        <v>43</v>
      </c>
      <c r="B56" s="6" t="s">
        <v>18</v>
      </c>
      <c r="E56" s="52"/>
      <c r="G56" s="53"/>
      <c r="L56" s="54"/>
      <c r="R56" s="55"/>
      <c r="X56" s="56"/>
    </row>
    <row r="57" ht="15.75" customHeight="1">
      <c r="A57" s="6" t="s">
        <v>46</v>
      </c>
      <c r="B57" s="6" t="s">
        <v>18</v>
      </c>
      <c r="E57" s="52"/>
      <c r="H57" s="53"/>
      <c r="L57" s="54"/>
      <c r="S57" s="55"/>
      <c r="X57" s="56"/>
    </row>
    <row r="58" ht="15.75" customHeight="1">
      <c r="A58" s="6" t="s">
        <v>47</v>
      </c>
      <c r="B58" s="6" t="s">
        <v>23</v>
      </c>
      <c r="F58" s="52"/>
      <c r="I58" s="53"/>
      <c r="M58" s="54"/>
      <c r="T58" s="55"/>
      <c r="Y58" s="56"/>
    </row>
    <row r="59" ht="15.75" customHeight="1">
      <c r="A59" s="6" t="s">
        <v>51</v>
      </c>
      <c r="B59" s="6" t="s">
        <v>23</v>
      </c>
      <c r="F59" s="52"/>
      <c r="I59" s="53"/>
      <c r="M59" s="54"/>
      <c r="T59" s="55"/>
      <c r="Y59" s="56"/>
    </row>
    <row r="60" ht="15.75" customHeight="1">
      <c r="A60" s="58" t="s">
        <v>84</v>
      </c>
      <c r="B60" s="6" t="s">
        <v>23</v>
      </c>
      <c r="F60" s="52"/>
      <c r="I60" s="53"/>
      <c r="J60" s="53"/>
      <c r="M60" s="54"/>
      <c r="T60" s="55"/>
      <c r="U60" s="55"/>
      <c r="Y60" s="56"/>
    </row>
    <row r="61" ht="15.75" customHeight="1">
      <c r="A61" s="20" t="s">
        <v>53</v>
      </c>
      <c r="B61" s="20" t="s">
        <v>18</v>
      </c>
      <c r="C61" s="59"/>
      <c r="D61" s="59"/>
      <c r="E61" s="59"/>
      <c r="F61" s="60" t="s">
        <v>85</v>
      </c>
      <c r="G61" s="61">
        <v>45354.0</v>
      </c>
      <c r="H61" s="59"/>
      <c r="I61" s="59"/>
      <c r="J61" s="62">
        <v>45403.0</v>
      </c>
      <c r="K61" s="59"/>
      <c r="L61" s="59"/>
      <c r="M61" s="63">
        <v>45448.0</v>
      </c>
      <c r="N61" s="59"/>
      <c r="O61" s="59"/>
      <c r="P61" s="59"/>
      <c r="Q61" s="59"/>
      <c r="R61" s="59"/>
      <c r="S61" s="59"/>
      <c r="T61" s="59"/>
      <c r="U61" s="59"/>
      <c r="V61" s="64">
        <v>45567.0</v>
      </c>
      <c r="W61" s="59"/>
      <c r="X61" s="59"/>
      <c r="Y61" s="65">
        <v>45630.0</v>
      </c>
      <c r="Z61" s="59"/>
    </row>
    <row r="62" ht="15.75" customHeight="1">
      <c r="A62" s="6" t="s">
        <v>86</v>
      </c>
      <c r="B62" s="6"/>
      <c r="C62" s="66" t="s">
        <v>87</v>
      </c>
      <c r="O62" s="67" t="s">
        <v>88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A2"/>
    <mergeCell ref="B1:B2"/>
    <mergeCell ref="C1:D1"/>
    <mergeCell ref="E1:F1"/>
    <mergeCell ref="G1:H1"/>
    <mergeCell ref="I1:J1"/>
    <mergeCell ref="K1:L1"/>
    <mergeCell ref="A3:Z3"/>
    <mergeCell ref="M1:N1"/>
    <mergeCell ref="O1:P1"/>
    <mergeCell ref="Q1:R1"/>
    <mergeCell ref="S1:T1"/>
    <mergeCell ref="U1:V1"/>
    <mergeCell ref="W1:X1"/>
    <mergeCell ref="Y1:Z1"/>
    <mergeCell ref="L18:M18"/>
    <mergeCell ref="R18:S18"/>
    <mergeCell ref="X18:Y18"/>
    <mergeCell ref="L19:M19"/>
    <mergeCell ref="A22:Z22"/>
    <mergeCell ref="J29:K29"/>
    <mergeCell ref="Q32:R32"/>
    <mergeCell ref="C41:I42"/>
    <mergeCell ref="C62:N62"/>
    <mergeCell ref="O62:Z62"/>
    <mergeCell ref="C39:E40"/>
    <mergeCell ref="F39:G40"/>
    <mergeCell ref="H39:J40"/>
    <mergeCell ref="M39:R40"/>
    <mergeCell ref="Y39:Z40"/>
    <mergeCell ref="J41:U42"/>
    <mergeCell ref="V41:Z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 outlineLevelRow="1"/>
  <cols>
    <col customWidth="1" min="1" max="8" width="21.29"/>
    <col customWidth="1" hidden="1" min="9" max="9" width="21.29"/>
    <col customWidth="1" min="10" max="17" width="21.29"/>
    <col customWidth="1" hidden="1" min="18" max="19" width="21.29"/>
  </cols>
  <sheetData>
    <row r="1" ht="41.25" customHeight="1">
      <c r="A1" s="68" t="s">
        <v>89</v>
      </c>
      <c r="B1" s="69" t="s">
        <v>90</v>
      </c>
      <c r="C1" s="68" t="s">
        <v>91</v>
      </c>
      <c r="D1" s="68" t="s">
        <v>92</v>
      </c>
      <c r="E1" s="68" t="s">
        <v>93</v>
      </c>
      <c r="F1" s="68" t="s">
        <v>94</v>
      </c>
      <c r="G1" s="68" t="s">
        <v>95</v>
      </c>
      <c r="H1" s="70" t="s">
        <v>96</v>
      </c>
      <c r="I1" s="71" t="s">
        <v>97</v>
      </c>
      <c r="J1" s="71" t="s">
        <v>98</v>
      </c>
      <c r="K1" s="72" t="s">
        <v>99</v>
      </c>
      <c r="L1" s="73" t="s">
        <v>100</v>
      </c>
      <c r="M1" s="74" t="s">
        <v>101</v>
      </c>
      <c r="N1" s="74" t="s">
        <v>102</v>
      </c>
      <c r="O1" s="74" t="s">
        <v>103</v>
      </c>
      <c r="P1" s="68" t="s">
        <v>104</v>
      </c>
      <c r="Q1" s="68"/>
      <c r="R1" s="75" t="s">
        <v>105</v>
      </c>
      <c r="S1" s="75"/>
    </row>
    <row r="2" ht="41.25" customHeight="1">
      <c r="A2" s="76"/>
      <c r="B2" s="76" t="str">
        <f>"Блюда на компанию "&amp;COUNTA(E3:E42)&amp;" шт"</f>
        <v>Блюда на компанию 14 шт</v>
      </c>
      <c r="C2" s="76"/>
      <c r="D2" s="77"/>
      <c r="E2" s="78"/>
      <c r="F2" s="78"/>
      <c r="G2" s="79"/>
      <c r="H2" s="80"/>
      <c r="I2" s="81"/>
      <c r="J2" s="81"/>
      <c r="K2" s="82"/>
      <c r="L2" s="83">
        <f>AVERAGE(L3:L42)</f>
        <v>0.2546677502</v>
      </c>
      <c r="M2" s="83"/>
      <c r="N2" s="76"/>
      <c r="O2" s="84"/>
      <c r="P2" s="76"/>
      <c r="Q2" s="76"/>
      <c r="R2" s="85"/>
      <c r="S2" s="86"/>
    </row>
    <row r="3" ht="41.25" customHeight="1" outlineLevel="1">
      <c r="A3" s="87"/>
      <c r="B3" s="88"/>
      <c r="C3" s="89" t="s">
        <v>106</v>
      </c>
      <c r="D3" s="87" t="s">
        <v>107</v>
      </c>
      <c r="E3" s="90" t="s">
        <v>108</v>
      </c>
      <c r="F3" s="90" t="s">
        <v>109</v>
      </c>
      <c r="G3" s="91" t="s">
        <v>110</v>
      </c>
      <c r="H3" s="92">
        <v>220.0</v>
      </c>
      <c r="I3" s="93">
        <v>799.0</v>
      </c>
      <c r="J3" s="94">
        <v>799.0</v>
      </c>
      <c r="K3" s="95">
        <v>220.0</v>
      </c>
      <c r="L3" s="96">
        <f t="shared" ref="L3:L42" si="1">K3/J3</f>
        <v>0.2753441802</v>
      </c>
      <c r="M3" s="96">
        <f t="shared" ref="M3:M5" si="2">J3/I3</f>
        <v>1</v>
      </c>
      <c r="N3" s="96">
        <f t="shared" ref="N3:N25" si="3">I3/K3-1</f>
        <v>2.631818182</v>
      </c>
      <c r="O3" s="97" t="s">
        <v>89</v>
      </c>
      <c r="P3" s="87" t="s">
        <v>111</v>
      </c>
      <c r="Q3" s="87"/>
      <c r="R3" s="87" t="s">
        <v>112</v>
      </c>
      <c r="S3" s="87"/>
    </row>
    <row r="4" ht="41.25" customHeight="1" outlineLevel="1">
      <c r="G4" s="91" t="s">
        <v>113</v>
      </c>
      <c r="I4" s="93">
        <v>749.0</v>
      </c>
      <c r="J4" s="94">
        <v>799.0</v>
      </c>
      <c r="K4" s="95">
        <v>245.0</v>
      </c>
      <c r="L4" s="96">
        <f t="shared" si="1"/>
        <v>0.3066332916</v>
      </c>
      <c r="M4" s="96">
        <f t="shared" si="2"/>
        <v>1.066755674</v>
      </c>
      <c r="N4" s="96">
        <f t="shared" si="3"/>
        <v>2.057142857</v>
      </c>
      <c r="O4" s="97">
        <v>899.0</v>
      </c>
      <c r="P4" s="87" t="s">
        <v>111</v>
      </c>
      <c r="Q4" s="87" t="s">
        <v>111</v>
      </c>
      <c r="R4" s="87" t="s">
        <v>112</v>
      </c>
      <c r="S4" s="87"/>
    </row>
    <row r="5" ht="41.25" customHeight="1" outlineLevel="1">
      <c r="A5" s="59"/>
      <c r="B5" s="59"/>
      <c r="C5" s="59"/>
      <c r="D5" s="59"/>
      <c r="E5" s="59"/>
      <c r="F5" s="59"/>
      <c r="G5" s="98" t="s">
        <v>114</v>
      </c>
      <c r="H5" s="59"/>
      <c r="I5" s="81">
        <v>899.0</v>
      </c>
      <c r="J5" s="81">
        <v>999.0</v>
      </c>
      <c r="K5" s="99">
        <v>279.0</v>
      </c>
      <c r="L5" s="96">
        <f t="shared" si="1"/>
        <v>0.2792792793</v>
      </c>
      <c r="M5" s="96">
        <f t="shared" si="2"/>
        <v>1.111234705</v>
      </c>
      <c r="N5" s="100">
        <f t="shared" si="3"/>
        <v>2.222222222</v>
      </c>
      <c r="O5" s="101"/>
      <c r="P5" s="79" t="s">
        <v>112</v>
      </c>
      <c r="Q5" s="79"/>
      <c r="R5" s="79" t="s">
        <v>112</v>
      </c>
      <c r="S5" s="87"/>
    </row>
    <row r="6" ht="41.25" customHeight="1" outlineLevel="1">
      <c r="A6" s="87"/>
      <c r="B6" s="89" t="s">
        <v>115</v>
      </c>
      <c r="C6" s="89" t="s">
        <v>116</v>
      </c>
      <c r="D6" s="87" t="s">
        <v>107</v>
      </c>
      <c r="E6" s="90" t="s">
        <v>117</v>
      </c>
      <c r="F6" s="90" t="s">
        <v>118</v>
      </c>
      <c r="G6" s="91" t="s">
        <v>110</v>
      </c>
      <c r="H6" s="92">
        <v>550.0</v>
      </c>
      <c r="I6" s="93"/>
      <c r="J6" s="93">
        <v>649.0</v>
      </c>
      <c r="K6" s="95">
        <v>165.0</v>
      </c>
      <c r="L6" s="96">
        <f t="shared" si="1"/>
        <v>0.2542372881</v>
      </c>
      <c r="M6" s="96"/>
      <c r="N6" s="96">
        <f t="shared" si="3"/>
        <v>-1</v>
      </c>
      <c r="O6" s="97">
        <v>689.0</v>
      </c>
      <c r="P6" s="87" t="s">
        <v>111</v>
      </c>
      <c r="Q6" s="87"/>
      <c r="R6" s="102" t="s">
        <v>111</v>
      </c>
      <c r="S6" s="102"/>
    </row>
    <row r="7" ht="41.25" customHeight="1" outlineLevel="1">
      <c r="G7" s="91" t="s">
        <v>113</v>
      </c>
      <c r="I7" s="81"/>
      <c r="J7" s="81">
        <v>699.0</v>
      </c>
      <c r="K7" s="99">
        <v>175.0</v>
      </c>
      <c r="L7" s="96">
        <f t="shared" si="1"/>
        <v>0.2503576538</v>
      </c>
      <c r="M7" s="100"/>
      <c r="N7" s="100">
        <f t="shared" si="3"/>
        <v>-1</v>
      </c>
      <c r="O7" s="101">
        <v>749.0</v>
      </c>
      <c r="P7" s="79" t="s">
        <v>111</v>
      </c>
      <c r="Q7" s="79" t="s">
        <v>111</v>
      </c>
      <c r="R7" s="103" t="s">
        <v>111</v>
      </c>
      <c r="S7" s="102"/>
    </row>
    <row r="8" ht="41.25" customHeight="1" outlineLevel="1">
      <c r="A8" s="59"/>
      <c r="B8" s="59"/>
      <c r="C8" s="59"/>
      <c r="D8" s="59"/>
      <c r="E8" s="59"/>
      <c r="F8" s="59"/>
      <c r="G8" s="98" t="s">
        <v>114</v>
      </c>
      <c r="H8" s="59"/>
      <c r="I8" s="93"/>
      <c r="J8" s="93">
        <v>799.0</v>
      </c>
      <c r="K8" s="99">
        <v>175.0</v>
      </c>
      <c r="L8" s="96">
        <f t="shared" si="1"/>
        <v>0.2190237797</v>
      </c>
      <c r="M8" s="96"/>
      <c r="N8" s="100">
        <f t="shared" si="3"/>
        <v>-1</v>
      </c>
      <c r="O8" s="97"/>
      <c r="P8" s="87"/>
      <c r="Q8" s="87"/>
      <c r="R8" s="102"/>
      <c r="S8" s="102"/>
    </row>
    <row r="9" ht="41.25" customHeight="1" outlineLevel="1">
      <c r="A9" s="87"/>
      <c r="B9" s="89" t="s">
        <v>119</v>
      </c>
      <c r="C9" s="89" t="s">
        <v>120</v>
      </c>
      <c r="D9" s="87" t="s">
        <v>121</v>
      </c>
      <c r="E9" s="90" t="s">
        <v>122</v>
      </c>
      <c r="F9" s="90" t="s">
        <v>123</v>
      </c>
      <c r="G9" s="91" t="s">
        <v>110</v>
      </c>
      <c r="H9" s="92">
        <v>940.0</v>
      </c>
      <c r="I9" s="93"/>
      <c r="J9" s="93">
        <v>1999.0</v>
      </c>
      <c r="K9" s="95">
        <v>559.0</v>
      </c>
      <c r="L9" s="96">
        <f t="shared" si="1"/>
        <v>0.2796398199</v>
      </c>
      <c r="M9" s="96"/>
      <c r="N9" s="96">
        <f t="shared" si="3"/>
        <v>-1</v>
      </c>
      <c r="O9" s="97">
        <v>2299.0</v>
      </c>
      <c r="P9" s="87" t="s">
        <v>111</v>
      </c>
      <c r="Q9" s="87"/>
      <c r="R9" s="102" t="s">
        <v>111</v>
      </c>
      <c r="S9" s="102"/>
    </row>
    <row r="10" ht="41.25" customHeight="1" outlineLevel="1">
      <c r="G10" s="91" t="s">
        <v>113</v>
      </c>
      <c r="I10" s="81"/>
      <c r="J10" s="81">
        <v>2099.0</v>
      </c>
      <c r="K10" s="99">
        <v>597.0</v>
      </c>
      <c r="L10" s="96">
        <f t="shared" si="1"/>
        <v>0.2844211529</v>
      </c>
      <c r="M10" s="100"/>
      <c r="N10" s="100">
        <f t="shared" si="3"/>
        <v>-1</v>
      </c>
      <c r="O10" s="101">
        <v>2399.0</v>
      </c>
      <c r="P10" s="79" t="s">
        <v>111</v>
      </c>
      <c r="Q10" s="79" t="s">
        <v>111</v>
      </c>
      <c r="R10" s="103" t="s">
        <v>111</v>
      </c>
      <c r="S10" s="102"/>
    </row>
    <row r="11" ht="41.25" customHeight="1" outlineLevel="1">
      <c r="A11" s="59"/>
      <c r="B11" s="59"/>
      <c r="C11" s="59"/>
      <c r="D11" s="59"/>
      <c r="E11" s="59"/>
      <c r="F11" s="59"/>
      <c r="G11" s="98" t="s">
        <v>114</v>
      </c>
      <c r="H11" s="59"/>
      <c r="I11" s="93"/>
      <c r="J11" s="93">
        <v>2499.0</v>
      </c>
      <c r="K11" s="99">
        <v>597.0</v>
      </c>
      <c r="L11" s="96">
        <f t="shared" si="1"/>
        <v>0.2388955582</v>
      </c>
      <c r="M11" s="96"/>
      <c r="N11" s="100">
        <f t="shared" si="3"/>
        <v>-1</v>
      </c>
      <c r="O11" s="97"/>
      <c r="P11" s="87"/>
      <c r="Q11" s="87"/>
      <c r="R11" s="102"/>
      <c r="S11" s="102"/>
    </row>
    <row r="12" ht="41.25" customHeight="1" outlineLevel="1">
      <c r="A12" s="87"/>
      <c r="B12" s="89"/>
      <c r="C12" s="89" t="s">
        <v>124</v>
      </c>
      <c r="D12" s="87" t="s">
        <v>121</v>
      </c>
      <c r="E12" s="90" t="s">
        <v>125</v>
      </c>
      <c r="F12" s="90" t="s">
        <v>126</v>
      </c>
      <c r="G12" s="91" t="s">
        <v>110</v>
      </c>
      <c r="H12" s="92">
        <v>940.0</v>
      </c>
      <c r="I12" s="93"/>
      <c r="J12" s="93">
        <v>1549.0</v>
      </c>
      <c r="K12" s="95">
        <v>369.0</v>
      </c>
      <c r="L12" s="96">
        <f t="shared" si="1"/>
        <v>0.2382182053</v>
      </c>
      <c r="M12" s="96"/>
      <c r="N12" s="96">
        <f t="shared" si="3"/>
        <v>-1</v>
      </c>
      <c r="O12" s="97">
        <v>1599.0</v>
      </c>
      <c r="P12" s="87" t="s">
        <v>111</v>
      </c>
      <c r="Q12" s="87"/>
      <c r="R12" s="102" t="s">
        <v>111</v>
      </c>
      <c r="S12" s="102"/>
    </row>
    <row r="13" ht="41.25" customHeight="1" outlineLevel="1">
      <c r="G13" s="91" t="s">
        <v>113</v>
      </c>
      <c r="I13" s="81"/>
      <c r="J13" s="81">
        <v>1699.0</v>
      </c>
      <c r="K13" s="99">
        <v>415.0</v>
      </c>
      <c r="L13" s="96">
        <f t="shared" si="1"/>
        <v>0.2442613302</v>
      </c>
      <c r="M13" s="100"/>
      <c r="N13" s="100">
        <f t="shared" si="3"/>
        <v>-1</v>
      </c>
      <c r="O13" s="101">
        <v>1799.0</v>
      </c>
      <c r="P13" s="79" t="s">
        <v>111</v>
      </c>
      <c r="Q13" s="79" t="s">
        <v>111</v>
      </c>
      <c r="R13" s="103" t="s">
        <v>111</v>
      </c>
      <c r="S13" s="102"/>
    </row>
    <row r="14" ht="41.25" customHeight="1" outlineLevel="1">
      <c r="A14" s="59"/>
      <c r="B14" s="59"/>
      <c r="C14" s="59"/>
      <c r="D14" s="59"/>
      <c r="E14" s="59"/>
      <c r="F14" s="59"/>
      <c r="G14" s="98" t="s">
        <v>114</v>
      </c>
      <c r="H14" s="59"/>
      <c r="I14" s="93"/>
      <c r="J14" s="93">
        <v>1799.0</v>
      </c>
      <c r="K14" s="99">
        <v>415.0</v>
      </c>
      <c r="L14" s="96">
        <f t="shared" si="1"/>
        <v>0.2306837132</v>
      </c>
      <c r="M14" s="96"/>
      <c r="N14" s="100">
        <f t="shared" si="3"/>
        <v>-1</v>
      </c>
      <c r="O14" s="97"/>
      <c r="P14" s="87"/>
      <c r="Q14" s="87"/>
      <c r="R14" s="102"/>
      <c r="S14" s="102"/>
    </row>
    <row r="15" ht="41.25" customHeight="1" outlineLevel="1">
      <c r="A15" s="87"/>
      <c r="B15" s="89" t="s">
        <v>127</v>
      </c>
      <c r="C15" s="89" t="s">
        <v>128</v>
      </c>
      <c r="D15" s="87" t="s">
        <v>129</v>
      </c>
      <c r="E15" s="90" t="s">
        <v>130</v>
      </c>
      <c r="F15" s="90" t="s">
        <v>131</v>
      </c>
      <c r="G15" s="91" t="s">
        <v>110</v>
      </c>
      <c r="H15" s="92">
        <v>300.0</v>
      </c>
      <c r="I15" s="93"/>
      <c r="J15" s="93">
        <v>499.0</v>
      </c>
      <c r="K15" s="95">
        <v>125.0</v>
      </c>
      <c r="L15" s="96">
        <f t="shared" si="1"/>
        <v>0.250501002</v>
      </c>
      <c r="M15" s="96"/>
      <c r="N15" s="100">
        <f t="shared" si="3"/>
        <v>-1</v>
      </c>
      <c r="O15" s="97">
        <v>549.0</v>
      </c>
      <c r="P15" s="87" t="s">
        <v>111</v>
      </c>
      <c r="Q15" s="87"/>
      <c r="R15" s="102" t="s">
        <v>111</v>
      </c>
      <c r="S15" s="102"/>
    </row>
    <row r="16" ht="41.25" customHeight="1" outlineLevel="1">
      <c r="A16" s="59"/>
      <c r="B16" s="59"/>
      <c r="C16" s="59"/>
      <c r="D16" s="59"/>
      <c r="E16" s="59"/>
      <c r="F16" s="59"/>
      <c r="G16" s="91" t="s">
        <v>113</v>
      </c>
      <c r="H16" s="59"/>
      <c r="I16" s="81"/>
      <c r="J16" s="81">
        <v>599.0</v>
      </c>
      <c r="K16" s="99">
        <v>147.0</v>
      </c>
      <c r="L16" s="96">
        <f t="shared" si="1"/>
        <v>0.245409015</v>
      </c>
      <c r="M16" s="100"/>
      <c r="N16" s="100">
        <f t="shared" si="3"/>
        <v>-1</v>
      </c>
      <c r="O16" s="101">
        <v>649.0</v>
      </c>
      <c r="P16" s="79" t="s">
        <v>111</v>
      </c>
      <c r="Q16" s="79" t="s">
        <v>111</v>
      </c>
      <c r="R16" s="103" t="s">
        <v>111</v>
      </c>
      <c r="S16" s="102"/>
    </row>
    <row r="17" ht="41.25" customHeight="1" outlineLevel="1">
      <c r="A17" s="87"/>
      <c r="B17" s="104" t="s">
        <v>132</v>
      </c>
      <c r="C17" s="89" t="s">
        <v>133</v>
      </c>
      <c r="D17" s="87" t="s">
        <v>134</v>
      </c>
      <c r="E17" s="90" t="s">
        <v>135</v>
      </c>
      <c r="F17" s="105" t="s">
        <v>136</v>
      </c>
      <c r="G17" s="91" t="s">
        <v>110</v>
      </c>
      <c r="H17" s="92">
        <v>130.0</v>
      </c>
      <c r="I17" s="93">
        <v>799.0</v>
      </c>
      <c r="J17" s="93">
        <v>899.0</v>
      </c>
      <c r="K17" s="95">
        <v>310.0</v>
      </c>
      <c r="L17" s="96">
        <f t="shared" si="1"/>
        <v>0.3448275862</v>
      </c>
      <c r="M17" s="96">
        <f t="shared" ref="M17:M18" si="4">J17/I17</f>
        <v>1.125156446</v>
      </c>
      <c r="N17" s="96">
        <f t="shared" si="3"/>
        <v>1.577419355</v>
      </c>
      <c r="O17" s="97" t="s">
        <v>137</v>
      </c>
      <c r="P17" s="87" t="s">
        <v>111</v>
      </c>
      <c r="Q17" s="87"/>
      <c r="R17" s="106" t="s">
        <v>112</v>
      </c>
      <c r="S17" s="106"/>
    </row>
    <row r="18" ht="41.25" customHeight="1" outlineLevel="1">
      <c r="A18" s="59"/>
      <c r="B18" s="59"/>
      <c r="C18" s="59"/>
      <c r="D18" s="59"/>
      <c r="E18" s="59"/>
      <c r="F18" s="59"/>
      <c r="G18" s="91" t="s">
        <v>113</v>
      </c>
      <c r="H18" s="59"/>
      <c r="I18" s="81">
        <v>899.0</v>
      </c>
      <c r="J18" s="81">
        <v>999.0</v>
      </c>
      <c r="K18" s="99">
        <v>310.0</v>
      </c>
      <c r="L18" s="100">
        <f t="shared" si="1"/>
        <v>0.3103103103</v>
      </c>
      <c r="M18" s="96">
        <f t="shared" si="4"/>
        <v>1.111234705</v>
      </c>
      <c r="N18" s="100">
        <f t="shared" si="3"/>
        <v>1.9</v>
      </c>
      <c r="O18" s="101">
        <v>1049.0</v>
      </c>
      <c r="P18" s="79" t="s">
        <v>111</v>
      </c>
      <c r="Q18" s="79" t="s">
        <v>111</v>
      </c>
      <c r="R18" s="107" t="s">
        <v>112</v>
      </c>
      <c r="S18" s="106"/>
    </row>
    <row r="19" ht="41.25" customHeight="1" outlineLevel="1">
      <c r="A19" s="108"/>
      <c r="B19" s="109"/>
      <c r="C19" s="108" t="s">
        <v>138</v>
      </c>
      <c r="D19" s="87" t="s">
        <v>139</v>
      </c>
      <c r="E19" s="90" t="s">
        <v>140</v>
      </c>
      <c r="F19" s="105" t="s">
        <v>141</v>
      </c>
      <c r="G19" s="91" t="s">
        <v>110</v>
      </c>
      <c r="H19" s="92">
        <v>500.0</v>
      </c>
      <c r="I19" s="93">
        <v>949.0</v>
      </c>
      <c r="J19" s="94">
        <v>999.0</v>
      </c>
      <c r="K19" s="95">
        <v>299.0</v>
      </c>
      <c r="L19" s="96">
        <f t="shared" si="1"/>
        <v>0.2992992993</v>
      </c>
      <c r="M19" s="96"/>
      <c r="N19" s="100">
        <f t="shared" si="3"/>
        <v>2.173913043</v>
      </c>
      <c r="O19" s="97">
        <v>1059.0</v>
      </c>
      <c r="P19" s="87" t="s">
        <v>111</v>
      </c>
      <c r="Q19" s="87"/>
      <c r="R19" s="87" t="s">
        <v>111</v>
      </c>
      <c r="S19" s="87"/>
    </row>
    <row r="20" ht="41.25" customHeight="1" outlineLevel="1">
      <c r="G20" s="98" t="s">
        <v>114</v>
      </c>
      <c r="I20" s="93"/>
      <c r="J20" s="93">
        <v>1299.0</v>
      </c>
      <c r="K20" s="95">
        <v>324.0</v>
      </c>
      <c r="L20" s="96">
        <f t="shared" si="1"/>
        <v>0.2494226328</v>
      </c>
      <c r="M20" s="96"/>
      <c r="N20" s="100">
        <f t="shared" si="3"/>
        <v>-1</v>
      </c>
      <c r="O20" s="97"/>
      <c r="P20" s="87"/>
      <c r="Q20" s="87"/>
      <c r="R20" s="87"/>
      <c r="S20" s="87"/>
    </row>
    <row r="21" ht="41.25" customHeight="1" outlineLevel="1">
      <c r="A21" s="59"/>
      <c r="B21" s="59"/>
      <c r="C21" s="59"/>
      <c r="D21" s="59"/>
      <c r="E21" s="59"/>
      <c r="F21" s="59"/>
      <c r="G21" s="91" t="s">
        <v>113</v>
      </c>
      <c r="H21" s="59"/>
      <c r="I21" s="81">
        <v>999.0</v>
      </c>
      <c r="J21" s="110">
        <v>1099.0</v>
      </c>
      <c r="K21" s="99">
        <v>340.0</v>
      </c>
      <c r="L21" s="100">
        <f t="shared" si="1"/>
        <v>0.3093721565</v>
      </c>
      <c r="M21" s="96">
        <f>J21/I21</f>
        <v>1.1001001</v>
      </c>
      <c r="N21" s="100">
        <f t="shared" si="3"/>
        <v>1.938235294</v>
      </c>
      <c r="O21" s="101">
        <v>1099.0</v>
      </c>
      <c r="P21" s="79" t="s">
        <v>111</v>
      </c>
      <c r="Q21" s="79" t="s">
        <v>111</v>
      </c>
      <c r="R21" s="79" t="s">
        <v>111</v>
      </c>
      <c r="S21" s="87"/>
    </row>
    <row r="22" ht="41.25" customHeight="1" outlineLevel="1">
      <c r="A22" s="108"/>
      <c r="B22" s="109"/>
      <c r="C22" s="108" t="s">
        <v>142</v>
      </c>
      <c r="D22" s="87" t="s">
        <v>139</v>
      </c>
      <c r="E22" s="90" t="s">
        <v>143</v>
      </c>
      <c r="F22" s="111" t="s">
        <v>144</v>
      </c>
      <c r="G22" s="91" t="s">
        <v>110</v>
      </c>
      <c r="H22" s="92">
        <v>1000.0</v>
      </c>
      <c r="I22" s="93">
        <v>1699.0</v>
      </c>
      <c r="J22" s="93">
        <v>1849.0</v>
      </c>
      <c r="K22" s="95">
        <v>466.0</v>
      </c>
      <c r="L22" s="96">
        <f t="shared" si="1"/>
        <v>0.2520281233</v>
      </c>
      <c r="M22" s="96"/>
      <c r="N22" s="96">
        <f t="shared" si="3"/>
        <v>2.645922747</v>
      </c>
      <c r="O22" s="97">
        <v>1949.0</v>
      </c>
      <c r="P22" s="87" t="s">
        <v>111</v>
      </c>
      <c r="Q22" s="87"/>
      <c r="R22" s="87" t="s">
        <v>111</v>
      </c>
      <c r="S22" s="87"/>
    </row>
    <row r="23" ht="41.25" customHeight="1" outlineLevel="1">
      <c r="G23" s="98" t="s">
        <v>114</v>
      </c>
      <c r="I23" s="93"/>
      <c r="J23" s="93">
        <v>2299.0</v>
      </c>
      <c r="K23" s="95">
        <v>537.0</v>
      </c>
      <c r="L23" s="96">
        <f t="shared" si="1"/>
        <v>0.2335798173</v>
      </c>
      <c r="M23" s="96"/>
      <c r="N23" s="96">
        <f t="shared" si="3"/>
        <v>-1</v>
      </c>
      <c r="O23" s="97">
        <v>1949.0</v>
      </c>
      <c r="P23" s="87"/>
      <c r="Q23" s="87"/>
      <c r="R23" s="87"/>
      <c r="S23" s="87"/>
    </row>
    <row r="24" ht="41.25" customHeight="1" outlineLevel="1">
      <c r="A24" s="59"/>
      <c r="B24" s="59"/>
      <c r="C24" s="59"/>
      <c r="D24" s="59"/>
      <c r="E24" s="59"/>
      <c r="F24" s="59"/>
      <c r="G24" s="91" t="s">
        <v>113</v>
      </c>
      <c r="H24" s="59"/>
      <c r="I24" s="81">
        <v>1899.0</v>
      </c>
      <c r="J24" s="81">
        <v>1949.0</v>
      </c>
      <c r="K24" s="99">
        <v>527.0</v>
      </c>
      <c r="L24" s="100">
        <f t="shared" si="1"/>
        <v>0.2703950744</v>
      </c>
      <c r="M24" s="96">
        <f>J24/I24</f>
        <v>1.026329647</v>
      </c>
      <c r="N24" s="100">
        <f t="shared" si="3"/>
        <v>2.60341556</v>
      </c>
      <c r="O24" s="101">
        <v>2049.0</v>
      </c>
      <c r="P24" s="79" t="s">
        <v>111</v>
      </c>
      <c r="Q24" s="79" t="s">
        <v>111</v>
      </c>
      <c r="R24" s="79" t="s">
        <v>111</v>
      </c>
      <c r="S24" s="87"/>
    </row>
    <row r="25" ht="41.25" customHeight="1" outlineLevel="1">
      <c r="A25" s="87"/>
      <c r="B25" s="112" t="s">
        <v>145</v>
      </c>
      <c r="C25" s="89" t="s">
        <v>146</v>
      </c>
      <c r="D25" s="87" t="s">
        <v>139</v>
      </c>
      <c r="E25" s="90" t="s">
        <v>147</v>
      </c>
      <c r="F25" s="105" t="s">
        <v>148</v>
      </c>
      <c r="G25" s="91" t="s">
        <v>110</v>
      </c>
      <c r="H25" s="92">
        <v>500.0</v>
      </c>
      <c r="I25" s="93">
        <v>849.0</v>
      </c>
      <c r="J25" s="93">
        <v>959.0</v>
      </c>
      <c r="K25" s="95">
        <v>235.0</v>
      </c>
      <c r="L25" s="113">
        <f t="shared" si="1"/>
        <v>0.2450469239</v>
      </c>
      <c r="M25" s="96"/>
      <c r="N25" s="96">
        <f t="shared" si="3"/>
        <v>2.612765957</v>
      </c>
      <c r="O25" s="97">
        <v>999.0</v>
      </c>
      <c r="P25" s="87" t="s">
        <v>111</v>
      </c>
      <c r="Q25" s="87"/>
      <c r="R25" s="106" t="s">
        <v>111</v>
      </c>
      <c r="S25" s="106"/>
    </row>
    <row r="26" ht="41.25" customHeight="1" outlineLevel="1">
      <c r="G26" s="98" t="s">
        <v>114</v>
      </c>
      <c r="I26" s="93"/>
      <c r="J26" s="93">
        <v>1199.0</v>
      </c>
      <c r="K26" s="95">
        <v>235.0</v>
      </c>
      <c r="L26" s="114">
        <f t="shared" si="1"/>
        <v>0.1959966639</v>
      </c>
      <c r="M26" s="96"/>
      <c r="N26" s="96"/>
      <c r="O26" s="97"/>
      <c r="P26" s="87"/>
      <c r="Q26" s="87"/>
      <c r="R26" s="106"/>
      <c r="S26" s="106"/>
    </row>
    <row r="27" ht="41.25" customHeight="1" outlineLevel="1">
      <c r="A27" s="59"/>
      <c r="B27" s="59"/>
      <c r="C27" s="59"/>
      <c r="D27" s="59"/>
      <c r="E27" s="59"/>
      <c r="F27" s="59"/>
      <c r="G27" s="91" t="s">
        <v>113</v>
      </c>
      <c r="H27" s="59"/>
      <c r="I27" s="81">
        <v>949.0</v>
      </c>
      <c r="J27" s="81">
        <v>999.0</v>
      </c>
      <c r="K27" s="99">
        <v>247.0</v>
      </c>
      <c r="L27" s="115">
        <f t="shared" si="1"/>
        <v>0.2472472472</v>
      </c>
      <c r="M27" s="96">
        <f>J27/I27</f>
        <v>1.052687039</v>
      </c>
      <c r="N27" s="100">
        <f t="shared" ref="N27:N42" si="5">I27/K27-1</f>
        <v>2.842105263</v>
      </c>
      <c r="O27" s="101">
        <v>1099.0</v>
      </c>
      <c r="P27" s="79" t="s">
        <v>111</v>
      </c>
      <c r="Q27" s="79" t="s">
        <v>111</v>
      </c>
      <c r="R27" s="107" t="s">
        <v>111</v>
      </c>
      <c r="S27" s="106"/>
    </row>
    <row r="28" ht="41.25" customHeight="1" outlineLevel="1">
      <c r="A28" s="87"/>
      <c r="B28" s="88"/>
      <c r="C28" s="116"/>
      <c r="D28" s="98" t="s">
        <v>139</v>
      </c>
      <c r="E28" s="117" t="s">
        <v>149</v>
      </c>
      <c r="F28" s="118" t="s">
        <v>150</v>
      </c>
      <c r="G28" s="91" t="s">
        <v>110</v>
      </c>
      <c r="H28" s="92">
        <v>1100.0</v>
      </c>
      <c r="I28" s="93">
        <v>2399.0</v>
      </c>
      <c r="J28" s="93">
        <v>2399.0</v>
      </c>
      <c r="K28" s="95">
        <v>689.0</v>
      </c>
      <c r="L28" s="113">
        <f t="shared" si="1"/>
        <v>0.2872030013</v>
      </c>
      <c r="M28" s="96"/>
      <c r="N28" s="96">
        <f t="shared" si="5"/>
        <v>2.481857765</v>
      </c>
      <c r="O28" s="97">
        <v>2499.0</v>
      </c>
      <c r="P28" s="87" t="s">
        <v>111</v>
      </c>
      <c r="Q28" s="87"/>
      <c r="R28" s="87" t="s">
        <v>111</v>
      </c>
      <c r="S28" s="87"/>
    </row>
    <row r="29" ht="41.25" customHeight="1" outlineLevel="1">
      <c r="G29" s="98" t="s">
        <v>114</v>
      </c>
      <c r="I29" s="93"/>
      <c r="J29" s="93">
        <v>2999.0</v>
      </c>
      <c r="K29" s="95">
        <v>725.0</v>
      </c>
      <c r="L29" s="114">
        <f t="shared" si="1"/>
        <v>0.2417472491</v>
      </c>
      <c r="M29" s="96"/>
      <c r="N29" s="96">
        <f t="shared" si="5"/>
        <v>-1</v>
      </c>
      <c r="O29" s="97"/>
      <c r="P29" s="87"/>
      <c r="Q29" s="87"/>
      <c r="R29" s="87"/>
      <c r="S29" s="87"/>
    </row>
    <row r="30" ht="41.25" customHeight="1" outlineLevel="1">
      <c r="A30" s="59"/>
      <c r="B30" s="59"/>
      <c r="C30" s="59"/>
      <c r="D30" s="59"/>
      <c r="E30" s="59"/>
      <c r="F30" s="59"/>
      <c r="G30" s="91" t="s">
        <v>113</v>
      </c>
      <c r="H30" s="59"/>
      <c r="I30" s="81">
        <v>2499.0</v>
      </c>
      <c r="J30" s="81">
        <v>2499.0</v>
      </c>
      <c r="K30" s="99">
        <v>722.0</v>
      </c>
      <c r="L30" s="115">
        <f t="shared" si="1"/>
        <v>0.2889155662</v>
      </c>
      <c r="M30" s="96">
        <f>J30/I30</f>
        <v>1</v>
      </c>
      <c r="N30" s="100">
        <f t="shared" si="5"/>
        <v>2.461218837</v>
      </c>
      <c r="O30" s="101">
        <v>2599.0</v>
      </c>
      <c r="P30" s="79" t="s">
        <v>111</v>
      </c>
      <c r="Q30" s="79" t="s">
        <v>111</v>
      </c>
      <c r="R30" s="79" t="s">
        <v>111</v>
      </c>
      <c r="S30" s="87"/>
    </row>
    <row r="31" ht="41.25" customHeight="1" outlineLevel="1">
      <c r="A31" s="87"/>
      <c r="B31" s="88"/>
      <c r="C31" s="116"/>
      <c r="D31" s="98" t="s">
        <v>151</v>
      </c>
      <c r="E31" s="117" t="s">
        <v>152</v>
      </c>
      <c r="F31" s="117" t="s">
        <v>153</v>
      </c>
      <c r="G31" s="91" t="s">
        <v>110</v>
      </c>
      <c r="H31" s="92">
        <v>500.0</v>
      </c>
      <c r="I31" s="93">
        <v>1299.0</v>
      </c>
      <c r="J31" s="93">
        <v>1349.0</v>
      </c>
      <c r="K31" s="95">
        <v>355.0</v>
      </c>
      <c r="L31" s="113">
        <f t="shared" si="1"/>
        <v>0.2631578947</v>
      </c>
      <c r="M31" s="96"/>
      <c r="N31" s="96">
        <f t="shared" si="5"/>
        <v>2.65915493</v>
      </c>
      <c r="O31" s="97">
        <v>1449.0</v>
      </c>
      <c r="P31" s="87" t="s">
        <v>111</v>
      </c>
      <c r="Q31" s="87"/>
      <c r="R31" s="87" t="s">
        <v>111</v>
      </c>
      <c r="S31" s="87"/>
    </row>
    <row r="32" ht="41.25" customHeight="1" outlineLevel="1">
      <c r="G32" s="98" t="s">
        <v>114</v>
      </c>
      <c r="I32" s="93"/>
      <c r="J32" s="93">
        <v>1799.0</v>
      </c>
      <c r="K32" s="95">
        <v>369.0</v>
      </c>
      <c r="L32" s="114">
        <f t="shared" si="1"/>
        <v>0.2051139522</v>
      </c>
      <c r="M32" s="96"/>
      <c r="N32" s="96">
        <f t="shared" si="5"/>
        <v>-1</v>
      </c>
      <c r="O32" s="97"/>
      <c r="P32" s="87"/>
      <c r="Q32" s="87"/>
      <c r="R32" s="87"/>
      <c r="S32" s="87"/>
    </row>
    <row r="33" ht="41.25" customHeight="1" outlineLevel="1">
      <c r="A33" s="59"/>
      <c r="B33" s="59"/>
      <c r="C33" s="59"/>
      <c r="D33" s="59"/>
      <c r="E33" s="59"/>
      <c r="F33" s="59"/>
      <c r="G33" s="91" t="s">
        <v>113</v>
      </c>
      <c r="H33" s="59"/>
      <c r="I33" s="81">
        <v>1499.0</v>
      </c>
      <c r="J33" s="81">
        <v>1549.0</v>
      </c>
      <c r="K33" s="99">
        <v>429.0</v>
      </c>
      <c r="L33" s="115">
        <f t="shared" si="1"/>
        <v>0.2769528728</v>
      </c>
      <c r="M33" s="96">
        <f t="shared" ref="M33:M42" si="6">J33/I33</f>
        <v>1.03335557</v>
      </c>
      <c r="N33" s="100">
        <f t="shared" si="5"/>
        <v>2.494172494</v>
      </c>
      <c r="O33" s="101">
        <v>1649.0</v>
      </c>
      <c r="P33" s="79" t="s">
        <v>111</v>
      </c>
      <c r="Q33" s="79" t="s">
        <v>111</v>
      </c>
      <c r="R33" s="79" t="s">
        <v>111</v>
      </c>
      <c r="S33" s="87"/>
    </row>
    <row r="34" ht="41.25" customHeight="1" outlineLevel="1">
      <c r="A34" s="87"/>
      <c r="B34" s="119"/>
      <c r="C34" s="89"/>
      <c r="D34" s="87" t="s">
        <v>154</v>
      </c>
      <c r="E34" s="90" t="s">
        <v>155</v>
      </c>
      <c r="F34" s="68" t="s">
        <v>156</v>
      </c>
      <c r="G34" s="91" t="s">
        <v>110</v>
      </c>
      <c r="H34" s="92">
        <v>1200.0</v>
      </c>
      <c r="I34" s="93">
        <v>1499.0</v>
      </c>
      <c r="J34" s="93">
        <v>1799.0</v>
      </c>
      <c r="K34" s="95">
        <v>357.0</v>
      </c>
      <c r="L34" s="113">
        <f t="shared" si="1"/>
        <v>0.1984435798</v>
      </c>
      <c r="M34" s="96">
        <f t="shared" si="6"/>
        <v>1.200133422</v>
      </c>
      <c r="N34" s="96">
        <f t="shared" si="5"/>
        <v>3.198879552</v>
      </c>
      <c r="O34" s="97"/>
      <c r="P34" s="87" t="s">
        <v>112</v>
      </c>
      <c r="Q34" s="87"/>
      <c r="R34" s="87" t="s">
        <v>112</v>
      </c>
      <c r="S34" s="87"/>
    </row>
    <row r="35" ht="41.25" customHeight="1" outlineLevel="1">
      <c r="G35" s="98" t="s">
        <v>114</v>
      </c>
      <c r="I35" s="81">
        <v>1599.0</v>
      </c>
      <c r="J35" s="81">
        <v>2499.0</v>
      </c>
      <c r="K35" s="99">
        <v>378.0</v>
      </c>
      <c r="L35" s="120">
        <f t="shared" si="1"/>
        <v>0.1512605042</v>
      </c>
      <c r="M35" s="96">
        <f t="shared" si="6"/>
        <v>1.562851782</v>
      </c>
      <c r="N35" s="100">
        <f t="shared" si="5"/>
        <v>3.23015873</v>
      </c>
      <c r="O35" s="101"/>
      <c r="P35" s="79"/>
      <c r="Q35" s="79"/>
      <c r="R35" s="79" t="s">
        <v>112</v>
      </c>
      <c r="S35" s="87"/>
    </row>
    <row r="36" ht="41.25" customHeight="1" outlineLevel="1">
      <c r="A36" s="59"/>
      <c r="B36" s="59"/>
      <c r="C36" s="59"/>
      <c r="D36" s="59"/>
      <c r="E36" s="59"/>
      <c r="F36" s="59"/>
      <c r="G36" s="91" t="s">
        <v>113</v>
      </c>
      <c r="H36" s="59"/>
      <c r="I36" s="93"/>
      <c r="J36" s="81">
        <v>1899.0</v>
      </c>
      <c r="K36" s="99">
        <v>378.0</v>
      </c>
      <c r="L36" s="115">
        <f t="shared" si="1"/>
        <v>0.1990521327</v>
      </c>
      <c r="M36" s="96" t="str">
        <f t="shared" si="6"/>
        <v>#DIV/0!</v>
      </c>
      <c r="N36" s="100">
        <f t="shared" si="5"/>
        <v>-1</v>
      </c>
      <c r="O36" s="101"/>
      <c r="P36" s="79" t="s">
        <v>112</v>
      </c>
      <c r="Q36" s="87"/>
      <c r="R36" s="87"/>
      <c r="S36" s="87"/>
    </row>
    <row r="37" ht="41.25" customHeight="1" outlineLevel="1">
      <c r="A37" s="121"/>
      <c r="B37" s="122"/>
      <c r="C37" s="123"/>
      <c r="D37" s="121" t="s">
        <v>151</v>
      </c>
      <c r="E37" s="124" t="s">
        <v>157</v>
      </c>
      <c r="F37" s="125" t="s">
        <v>158</v>
      </c>
      <c r="G37" s="121" t="s">
        <v>159</v>
      </c>
      <c r="H37" s="126">
        <v>1300.0</v>
      </c>
      <c r="I37" s="127">
        <v>2899.0</v>
      </c>
      <c r="J37" s="127">
        <v>2999.0</v>
      </c>
      <c r="K37" s="128">
        <v>835.0</v>
      </c>
      <c r="L37" s="129">
        <f t="shared" si="1"/>
        <v>0.278426142</v>
      </c>
      <c r="M37" s="130">
        <f t="shared" si="6"/>
        <v>1.034494653</v>
      </c>
      <c r="N37" s="130">
        <f t="shared" si="5"/>
        <v>2.471856287</v>
      </c>
      <c r="O37" s="131">
        <v>3099.0</v>
      </c>
      <c r="P37" s="121" t="s">
        <v>111</v>
      </c>
      <c r="Q37" s="121"/>
      <c r="R37" s="121" t="s">
        <v>111</v>
      </c>
      <c r="S37" s="121"/>
    </row>
    <row r="38" ht="41.25" customHeight="1" outlineLevel="1">
      <c r="G38" s="87" t="s">
        <v>160</v>
      </c>
      <c r="I38" s="93">
        <v>2699.0</v>
      </c>
      <c r="J38" s="93">
        <v>2999.0</v>
      </c>
      <c r="K38" s="95">
        <v>899.0</v>
      </c>
      <c r="L38" s="113">
        <f t="shared" si="1"/>
        <v>0.2997665889</v>
      </c>
      <c r="M38" s="96">
        <f t="shared" si="6"/>
        <v>1.111152279</v>
      </c>
      <c r="N38" s="96">
        <f t="shared" si="5"/>
        <v>2.002224694</v>
      </c>
      <c r="O38" s="97">
        <v>3099.0</v>
      </c>
      <c r="P38" s="87"/>
      <c r="Q38" s="87"/>
      <c r="R38" s="106" t="s">
        <v>111</v>
      </c>
      <c r="S38" s="106"/>
    </row>
    <row r="39" ht="41.25" customHeight="1" outlineLevel="1">
      <c r="A39" s="59"/>
      <c r="B39" s="59"/>
      <c r="C39" s="59"/>
      <c r="D39" s="59"/>
      <c r="E39" s="59"/>
      <c r="F39" s="59"/>
      <c r="G39" s="79" t="s">
        <v>113</v>
      </c>
      <c r="H39" s="59"/>
      <c r="I39" s="81">
        <v>2999.0</v>
      </c>
      <c r="J39" s="81">
        <v>3199.0</v>
      </c>
      <c r="K39" s="99">
        <v>899.0</v>
      </c>
      <c r="L39" s="115">
        <f t="shared" si="1"/>
        <v>0.2810253204</v>
      </c>
      <c r="M39" s="96">
        <f t="shared" si="6"/>
        <v>1.066688896</v>
      </c>
      <c r="N39" s="100">
        <f t="shared" si="5"/>
        <v>2.33592881</v>
      </c>
      <c r="O39" s="101">
        <v>3299.0</v>
      </c>
      <c r="P39" s="79"/>
      <c r="Q39" s="79"/>
      <c r="R39" s="107" t="s">
        <v>111</v>
      </c>
      <c r="S39" s="106"/>
    </row>
    <row r="40" ht="41.25" customHeight="1" outlineLevel="1">
      <c r="A40" s="121"/>
      <c r="B40" s="122"/>
      <c r="C40" s="123"/>
      <c r="D40" s="121" t="s">
        <v>151</v>
      </c>
      <c r="E40" s="124" t="s">
        <v>161</v>
      </c>
      <c r="F40" s="125" t="s">
        <v>162</v>
      </c>
      <c r="G40" s="121" t="s">
        <v>159</v>
      </c>
      <c r="H40" s="132">
        <v>900.0</v>
      </c>
      <c r="I40" s="133">
        <v>1299.0</v>
      </c>
      <c r="J40" s="127">
        <v>1599.0</v>
      </c>
      <c r="K40" s="128">
        <v>355.0</v>
      </c>
      <c r="L40" s="129">
        <f t="shared" si="1"/>
        <v>0.2220137586</v>
      </c>
      <c r="M40" s="130">
        <f t="shared" si="6"/>
        <v>1.230946882</v>
      </c>
      <c r="N40" s="130">
        <f t="shared" si="5"/>
        <v>2.65915493</v>
      </c>
      <c r="O40" s="131">
        <v>1699.0</v>
      </c>
      <c r="P40" s="121" t="s">
        <v>111</v>
      </c>
      <c r="Q40" s="121"/>
      <c r="R40" s="121" t="s">
        <v>111</v>
      </c>
      <c r="S40" s="121"/>
    </row>
    <row r="41" ht="41.25" customHeight="1" outlineLevel="1">
      <c r="G41" s="87" t="s">
        <v>160</v>
      </c>
      <c r="I41" s="134">
        <v>1249.0</v>
      </c>
      <c r="J41" s="93">
        <v>1599.0</v>
      </c>
      <c r="K41" s="95">
        <v>355.0</v>
      </c>
      <c r="L41" s="113">
        <f t="shared" si="1"/>
        <v>0.2220137586</v>
      </c>
      <c r="M41" s="96">
        <f t="shared" si="6"/>
        <v>1.280224179</v>
      </c>
      <c r="N41" s="96">
        <f t="shared" si="5"/>
        <v>2.518309859</v>
      </c>
      <c r="O41" s="97">
        <v>1699.0</v>
      </c>
      <c r="P41" s="87"/>
      <c r="Q41" s="87"/>
      <c r="R41" s="87" t="s">
        <v>111</v>
      </c>
      <c r="S41" s="87"/>
    </row>
    <row r="42" ht="41.25" customHeight="1" outlineLevel="1">
      <c r="A42" s="59"/>
      <c r="B42" s="59"/>
      <c r="C42" s="59"/>
      <c r="D42" s="59"/>
      <c r="E42" s="59"/>
      <c r="F42" s="59"/>
      <c r="G42" s="79" t="s">
        <v>113</v>
      </c>
      <c r="H42" s="59"/>
      <c r="I42" s="135">
        <v>1399.0</v>
      </c>
      <c r="J42" s="81">
        <v>1699.0</v>
      </c>
      <c r="K42" s="99">
        <v>369.0</v>
      </c>
      <c r="L42" s="115">
        <f t="shared" si="1"/>
        <v>0.2171865803</v>
      </c>
      <c r="M42" s="96">
        <f t="shared" si="6"/>
        <v>1.214438885</v>
      </c>
      <c r="N42" s="100">
        <f t="shared" si="5"/>
        <v>2.791327913</v>
      </c>
      <c r="O42" s="101">
        <v>1799.0</v>
      </c>
      <c r="P42" s="79"/>
      <c r="Q42" s="79"/>
      <c r="R42" s="79" t="s">
        <v>111</v>
      </c>
      <c r="S42" s="87"/>
    </row>
    <row r="43" ht="41.25" customHeight="1">
      <c r="A43" s="76"/>
      <c r="B43" s="76" t="str">
        <f>"Япония "&amp;COUNTA(E47:E61)&amp;" шт"</f>
        <v>Япония 5 шт</v>
      </c>
      <c r="C43" s="76"/>
      <c r="D43" s="79"/>
      <c r="E43" s="78"/>
      <c r="F43" s="78"/>
      <c r="G43" s="79"/>
      <c r="H43" s="136"/>
      <c r="I43" s="81"/>
      <c r="J43" s="81"/>
      <c r="K43" s="82"/>
      <c r="L43" s="83">
        <f>AVERAGE(L47:L61)</f>
        <v>0.228132158</v>
      </c>
      <c r="M43" s="83"/>
      <c r="N43" s="76"/>
      <c r="O43" s="84"/>
      <c r="P43" s="76"/>
      <c r="Q43" s="76"/>
      <c r="R43" s="85"/>
      <c r="S43" s="86"/>
    </row>
    <row r="44" ht="41.25" customHeight="1" outlineLevel="1">
      <c r="A44" s="137"/>
      <c r="B44" s="137"/>
      <c r="C44" s="138"/>
      <c r="D44" s="121" t="s">
        <v>163</v>
      </c>
      <c r="E44" s="125" t="s">
        <v>164</v>
      </c>
      <c r="F44" s="125" t="s">
        <v>165</v>
      </c>
      <c r="G44" s="139" t="s">
        <v>159</v>
      </c>
      <c r="H44" s="140">
        <v>200.0</v>
      </c>
      <c r="I44" s="141">
        <v>429.0</v>
      </c>
      <c r="J44" s="141">
        <v>439.0</v>
      </c>
      <c r="K44" s="142">
        <v>62.0</v>
      </c>
      <c r="L44" s="129">
        <f t="shared" ref="L44:L61" si="7">K44/J44</f>
        <v>0.1412300683</v>
      </c>
      <c r="M44" s="130">
        <f t="shared" ref="M44:M61" si="8">J44/I44</f>
        <v>1.023310023</v>
      </c>
      <c r="N44" s="129">
        <f t="shared" ref="N44:N61" si="9">I44/K44-1</f>
        <v>5.919354839</v>
      </c>
      <c r="O44" s="143">
        <v>489.0</v>
      </c>
      <c r="P44" s="137" t="s">
        <v>111</v>
      </c>
      <c r="Q44" s="137"/>
      <c r="R44" s="139" t="s">
        <v>111</v>
      </c>
      <c r="S44" s="139"/>
    </row>
    <row r="45" ht="41.25" customHeight="1" outlineLevel="1">
      <c r="G45" s="139" t="s">
        <v>160</v>
      </c>
      <c r="I45" s="141">
        <v>399.0</v>
      </c>
      <c r="J45" s="141">
        <v>439.0</v>
      </c>
      <c r="K45" s="142">
        <v>65.0</v>
      </c>
      <c r="L45" s="129">
        <f t="shared" si="7"/>
        <v>0.1480637813</v>
      </c>
      <c r="M45" s="130">
        <f t="shared" si="8"/>
        <v>1.100250627</v>
      </c>
      <c r="N45" s="129">
        <f t="shared" si="9"/>
        <v>5.138461538</v>
      </c>
      <c r="O45" s="143">
        <v>489.0</v>
      </c>
      <c r="P45" s="137" t="s">
        <v>111</v>
      </c>
      <c r="Q45" s="137"/>
      <c r="R45" s="139" t="s">
        <v>111</v>
      </c>
      <c r="S45" s="139"/>
    </row>
    <row r="46" ht="41.25" customHeight="1" outlineLevel="1">
      <c r="A46" s="59"/>
      <c r="B46" s="59"/>
      <c r="C46" s="59"/>
      <c r="D46" s="59"/>
      <c r="E46" s="59"/>
      <c r="F46" s="59"/>
      <c r="G46" s="144" t="s">
        <v>113</v>
      </c>
      <c r="H46" s="59"/>
      <c r="I46" s="145">
        <v>459.0</v>
      </c>
      <c r="J46" s="145">
        <v>469.0</v>
      </c>
      <c r="K46" s="146">
        <v>69.0</v>
      </c>
      <c r="L46" s="115">
        <f t="shared" si="7"/>
        <v>0.1471215352</v>
      </c>
      <c r="M46" s="96">
        <f t="shared" si="8"/>
        <v>1.021786492</v>
      </c>
      <c r="N46" s="115">
        <f t="shared" si="9"/>
        <v>5.652173913</v>
      </c>
      <c r="O46" s="147">
        <v>529.0</v>
      </c>
      <c r="P46" s="148"/>
      <c r="Q46" s="148"/>
      <c r="R46" s="149" t="s">
        <v>111</v>
      </c>
      <c r="S46" s="150"/>
    </row>
    <row r="47" ht="41.25" customHeight="1" outlineLevel="1">
      <c r="A47" s="121"/>
      <c r="B47" s="122"/>
      <c r="C47" s="123" t="s">
        <v>166</v>
      </c>
      <c r="D47" s="121" t="s">
        <v>163</v>
      </c>
      <c r="E47" s="124" t="s">
        <v>167</v>
      </c>
      <c r="F47" s="125"/>
      <c r="G47" s="121" t="s">
        <v>159</v>
      </c>
      <c r="H47" s="126">
        <v>200.0</v>
      </c>
      <c r="I47" s="127">
        <v>429.0</v>
      </c>
      <c r="J47" s="127">
        <v>439.0</v>
      </c>
      <c r="K47" s="128">
        <v>62.0</v>
      </c>
      <c r="L47" s="129">
        <f t="shared" si="7"/>
        <v>0.1412300683</v>
      </c>
      <c r="M47" s="130">
        <f t="shared" si="8"/>
        <v>1.023310023</v>
      </c>
      <c r="N47" s="130">
        <f t="shared" si="9"/>
        <v>5.919354839</v>
      </c>
      <c r="O47" s="131">
        <v>489.0</v>
      </c>
      <c r="P47" s="121" t="s">
        <v>111</v>
      </c>
      <c r="Q47" s="121"/>
      <c r="R47" s="121" t="s">
        <v>111</v>
      </c>
      <c r="S47" s="121"/>
    </row>
    <row r="48" ht="41.25" customHeight="1" outlineLevel="1">
      <c r="G48" s="87" t="s">
        <v>160</v>
      </c>
      <c r="I48" s="93">
        <v>399.0</v>
      </c>
      <c r="J48" s="93">
        <v>439.0</v>
      </c>
      <c r="K48" s="95">
        <v>65.0</v>
      </c>
      <c r="L48" s="113">
        <f t="shared" si="7"/>
        <v>0.1480637813</v>
      </c>
      <c r="M48" s="96">
        <f t="shared" si="8"/>
        <v>1.100250627</v>
      </c>
      <c r="N48" s="96">
        <f t="shared" si="9"/>
        <v>5.138461538</v>
      </c>
      <c r="O48" s="97">
        <v>489.0</v>
      </c>
      <c r="P48" s="87"/>
      <c r="Q48" s="87"/>
      <c r="R48" s="87" t="s">
        <v>111</v>
      </c>
      <c r="S48" s="87"/>
    </row>
    <row r="49" ht="41.25" customHeight="1" outlineLevel="1">
      <c r="A49" s="59"/>
      <c r="B49" s="59"/>
      <c r="C49" s="59"/>
      <c r="D49" s="59"/>
      <c r="E49" s="59"/>
      <c r="F49" s="59"/>
      <c r="G49" s="79" t="s">
        <v>113</v>
      </c>
      <c r="H49" s="59"/>
      <c r="I49" s="81">
        <v>459.0</v>
      </c>
      <c r="J49" s="81">
        <v>469.0</v>
      </c>
      <c r="K49" s="99">
        <v>69.0</v>
      </c>
      <c r="L49" s="115">
        <f t="shared" si="7"/>
        <v>0.1471215352</v>
      </c>
      <c r="M49" s="96">
        <f t="shared" si="8"/>
        <v>1.021786492</v>
      </c>
      <c r="N49" s="100">
        <f t="shared" si="9"/>
        <v>5.652173913</v>
      </c>
      <c r="O49" s="101">
        <v>529.0</v>
      </c>
      <c r="P49" s="79"/>
      <c r="Q49" s="79"/>
      <c r="R49" s="79" t="s">
        <v>111</v>
      </c>
      <c r="S49" s="87"/>
    </row>
    <row r="50" ht="41.25" customHeight="1" outlineLevel="1">
      <c r="A50" s="121"/>
      <c r="B50" s="122"/>
      <c r="C50" s="123" t="s">
        <v>168</v>
      </c>
      <c r="D50" s="121" t="s">
        <v>163</v>
      </c>
      <c r="E50" s="124" t="s">
        <v>169</v>
      </c>
      <c r="F50" s="125"/>
      <c r="G50" s="121" t="s">
        <v>159</v>
      </c>
      <c r="H50" s="126">
        <v>200.0</v>
      </c>
      <c r="I50" s="127">
        <v>569.0</v>
      </c>
      <c r="J50" s="127">
        <v>649.0</v>
      </c>
      <c r="K50" s="128">
        <v>176.0</v>
      </c>
      <c r="L50" s="129">
        <f t="shared" si="7"/>
        <v>0.2711864407</v>
      </c>
      <c r="M50" s="130">
        <f t="shared" si="8"/>
        <v>1.14059754</v>
      </c>
      <c r="N50" s="130">
        <f t="shared" si="9"/>
        <v>2.232954545</v>
      </c>
      <c r="O50" s="131">
        <v>699.0</v>
      </c>
      <c r="P50" s="121" t="s">
        <v>111</v>
      </c>
      <c r="Q50" s="121"/>
      <c r="R50" s="121" t="s">
        <v>111</v>
      </c>
      <c r="S50" s="121"/>
    </row>
    <row r="51" ht="41.25" customHeight="1" outlineLevel="1">
      <c r="G51" s="87" t="s">
        <v>160</v>
      </c>
      <c r="I51" s="93">
        <v>529.0</v>
      </c>
      <c r="J51" s="93">
        <v>649.0</v>
      </c>
      <c r="K51" s="95">
        <v>177.0</v>
      </c>
      <c r="L51" s="113">
        <f t="shared" si="7"/>
        <v>0.2727272727</v>
      </c>
      <c r="M51" s="96">
        <f t="shared" si="8"/>
        <v>1.2268431</v>
      </c>
      <c r="N51" s="96">
        <f t="shared" si="9"/>
        <v>1.988700565</v>
      </c>
      <c r="O51" s="97">
        <v>699.0</v>
      </c>
      <c r="P51" s="87"/>
      <c r="Q51" s="87"/>
      <c r="R51" s="87" t="s">
        <v>111</v>
      </c>
      <c r="S51" s="87"/>
    </row>
    <row r="52" ht="41.25" customHeight="1" outlineLevel="1">
      <c r="A52" s="59"/>
      <c r="B52" s="59"/>
      <c r="C52" s="59"/>
      <c r="D52" s="59"/>
      <c r="E52" s="59"/>
      <c r="F52" s="59"/>
      <c r="G52" s="79" t="s">
        <v>113</v>
      </c>
      <c r="H52" s="59"/>
      <c r="I52" s="81">
        <v>599.0</v>
      </c>
      <c r="J52" s="81">
        <v>669.0</v>
      </c>
      <c r="K52" s="99">
        <v>182.0</v>
      </c>
      <c r="L52" s="115">
        <f t="shared" si="7"/>
        <v>0.2720478326</v>
      </c>
      <c r="M52" s="96">
        <f t="shared" si="8"/>
        <v>1.116861436</v>
      </c>
      <c r="N52" s="100">
        <f t="shared" si="9"/>
        <v>2.291208791</v>
      </c>
      <c r="O52" s="101">
        <v>729.0</v>
      </c>
      <c r="P52" s="79"/>
      <c r="Q52" s="79"/>
      <c r="R52" s="79" t="s">
        <v>111</v>
      </c>
      <c r="S52" s="87"/>
    </row>
    <row r="53" ht="41.25" customHeight="1" outlineLevel="1">
      <c r="A53" s="121"/>
      <c r="B53" s="151"/>
      <c r="C53" s="123"/>
      <c r="D53" s="121" t="s">
        <v>163</v>
      </c>
      <c r="E53" s="124" t="s">
        <v>170</v>
      </c>
      <c r="F53" s="125" t="s">
        <v>171</v>
      </c>
      <c r="G53" s="121" t="s">
        <v>159</v>
      </c>
      <c r="H53" s="126">
        <v>180.0</v>
      </c>
      <c r="I53" s="127">
        <v>359.0</v>
      </c>
      <c r="J53" s="127">
        <v>369.0</v>
      </c>
      <c r="K53" s="128">
        <v>57.0</v>
      </c>
      <c r="L53" s="129">
        <f t="shared" si="7"/>
        <v>0.1544715447</v>
      </c>
      <c r="M53" s="130">
        <f t="shared" si="8"/>
        <v>1.027855153</v>
      </c>
      <c r="N53" s="130">
        <f t="shared" si="9"/>
        <v>5.298245614</v>
      </c>
      <c r="O53" s="131">
        <v>419.0</v>
      </c>
      <c r="P53" s="121" t="s">
        <v>111</v>
      </c>
      <c r="Q53" s="121"/>
      <c r="R53" s="121" t="s">
        <v>111</v>
      </c>
      <c r="S53" s="121"/>
    </row>
    <row r="54" ht="41.25" customHeight="1" outlineLevel="1">
      <c r="G54" s="87" t="s">
        <v>160</v>
      </c>
      <c r="I54" s="93">
        <v>359.0</v>
      </c>
      <c r="J54" s="93">
        <v>369.0</v>
      </c>
      <c r="K54" s="95">
        <v>59.0</v>
      </c>
      <c r="L54" s="113">
        <f t="shared" si="7"/>
        <v>0.1598915989</v>
      </c>
      <c r="M54" s="96">
        <f t="shared" si="8"/>
        <v>1.027855153</v>
      </c>
      <c r="N54" s="96">
        <f t="shared" si="9"/>
        <v>5.084745763</v>
      </c>
      <c r="O54" s="97">
        <v>419.0</v>
      </c>
      <c r="P54" s="87"/>
      <c r="Q54" s="87"/>
      <c r="R54" s="87" t="s">
        <v>111</v>
      </c>
      <c r="S54" s="87"/>
    </row>
    <row r="55" ht="41.25" customHeight="1" outlineLevel="1">
      <c r="A55" s="59"/>
      <c r="B55" s="59"/>
      <c r="C55" s="59"/>
      <c r="D55" s="59"/>
      <c r="E55" s="59"/>
      <c r="F55" s="59"/>
      <c r="G55" s="79" t="s">
        <v>113</v>
      </c>
      <c r="H55" s="59"/>
      <c r="I55" s="81">
        <v>399.0</v>
      </c>
      <c r="J55" s="81">
        <v>399.0</v>
      </c>
      <c r="K55" s="99">
        <v>65.0</v>
      </c>
      <c r="L55" s="115">
        <f t="shared" si="7"/>
        <v>0.1629072682</v>
      </c>
      <c r="M55" s="96">
        <f t="shared" si="8"/>
        <v>1</v>
      </c>
      <c r="N55" s="100">
        <f t="shared" si="9"/>
        <v>5.138461538</v>
      </c>
      <c r="O55" s="101">
        <v>449.0</v>
      </c>
      <c r="P55" s="79"/>
      <c r="Q55" s="79"/>
      <c r="R55" s="79" t="s">
        <v>111</v>
      </c>
      <c r="S55" s="87"/>
    </row>
    <row r="56" ht="41.25" customHeight="1" outlineLevel="1">
      <c r="A56" s="121"/>
      <c r="B56" s="122"/>
      <c r="C56" s="123" t="s">
        <v>172</v>
      </c>
      <c r="D56" s="121" t="s">
        <v>163</v>
      </c>
      <c r="E56" s="124" t="s">
        <v>173</v>
      </c>
      <c r="F56" s="125"/>
      <c r="G56" s="121" t="s">
        <v>159</v>
      </c>
      <c r="H56" s="126">
        <v>230.0</v>
      </c>
      <c r="I56" s="127">
        <v>469.0</v>
      </c>
      <c r="J56" s="127">
        <v>499.0</v>
      </c>
      <c r="K56" s="128">
        <v>118.0</v>
      </c>
      <c r="L56" s="152">
        <f t="shared" si="7"/>
        <v>0.2364729459</v>
      </c>
      <c r="M56" s="130">
        <f t="shared" si="8"/>
        <v>1.063965885</v>
      </c>
      <c r="N56" s="130">
        <f t="shared" si="9"/>
        <v>2.974576271</v>
      </c>
      <c r="O56" s="131">
        <v>549.0</v>
      </c>
      <c r="P56" s="121" t="s">
        <v>111</v>
      </c>
      <c r="Q56" s="121"/>
      <c r="R56" s="121" t="s">
        <v>111</v>
      </c>
      <c r="S56" s="121"/>
    </row>
    <row r="57" ht="41.25" customHeight="1" outlineLevel="1">
      <c r="G57" s="87" t="s">
        <v>160</v>
      </c>
      <c r="I57" s="93">
        <v>449.0</v>
      </c>
      <c r="J57" s="93">
        <v>499.0</v>
      </c>
      <c r="K57" s="95">
        <v>129.0</v>
      </c>
      <c r="L57" s="153">
        <f t="shared" si="7"/>
        <v>0.2585170341</v>
      </c>
      <c r="M57" s="96">
        <f t="shared" si="8"/>
        <v>1.111358575</v>
      </c>
      <c r="N57" s="96">
        <f t="shared" si="9"/>
        <v>2.480620155</v>
      </c>
      <c r="O57" s="97">
        <v>549.0</v>
      </c>
      <c r="P57" s="87"/>
      <c r="Q57" s="87"/>
      <c r="R57" s="87" t="s">
        <v>111</v>
      </c>
      <c r="S57" s="87"/>
    </row>
    <row r="58" ht="41.25" customHeight="1" outlineLevel="1">
      <c r="A58" s="59"/>
      <c r="B58" s="59"/>
      <c r="C58" s="59"/>
      <c r="D58" s="59"/>
      <c r="E58" s="59"/>
      <c r="F58" s="59"/>
      <c r="G58" s="79" t="s">
        <v>113</v>
      </c>
      <c r="H58" s="59"/>
      <c r="I58" s="81">
        <v>499.0</v>
      </c>
      <c r="J58" s="81">
        <v>549.0</v>
      </c>
      <c r="K58" s="99">
        <v>129.0</v>
      </c>
      <c r="L58" s="154">
        <f t="shared" si="7"/>
        <v>0.2349726776</v>
      </c>
      <c r="M58" s="96">
        <f t="shared" si="8"/>
        <v>1.100200401</v>
      </c>
      <c r="N58" s="100">
        <f t="shared" si="9"/>
        <v>2.868217054</v>
      </c>
      <c r="O58" s="101">
        <v>599.0</v>
      </c>
      <c r="P58" s="79"/>
      <c r="Q58" s="79"/>
      <c r="R58" s="79" t="s">
        <v>111</v>
      </c>
      <c r="S58" s="87"/>
    </row>
    <row r="59" ht="41.25" customHeight="1" outlineLevel="1">
      <c r="A59" s="121"/>
      <c r="B59" s="122"/>
      <c r="C59" s="123" t="s">
        <v>174</v>
      </c>
      <c r="D59" s="121" t="s">
        <v>163</v>
      </c>
      <c r="E59" s="124" t="s">
        <v>175</v>
      </c>
      <c r="F59" s="125"/>
      <c r="G59" s="121" t="s">
        <v>159</v>
      </c>
      <c r="H59" s="126">
        <v>240.0</v>
      </c>
      <c r="I59" s="127">
        <v>549.0</v>
      </c>
      <c r="J59" s="127">
        <v>599.0</v>
      </c>
      <c r="K59" s="128">
        <v>186.0</v>
      </c>
      <c r="L59" s="152">
        <f t="shared" si="7"/>
        <v>0.3105175292</v>
      </c>
      <c r="M59" s="130">
        <f t="shared" si="8"/>
        <v>1.091074681</v>
      </c>
      <c r="N59" s="130">
        <f t="shared" si="9"/>
        <v>1.951612903</v>
      </c>
      <c r="O59" s="131">
        <v>649.0</v>
      </c>
      <c r="P59" s="121" t="s">
        <v>111</v>
      </c>
      <c r="Q59" s="121"/>
      <c r="R59" s="121" t="s">
        <v>111</v>
      </c>
      <c r="S59" s="121"/>
    </row>
    <row r="60" ht="41.25" customHeight="1" outlineLevel="1">
      <c r="G60" s="87" t="s">
        <v>160</v>
      </c>
      <c r="I60" s="93">
        <v>529.0</v>
      </c>
      <c r="J60" s="93">
        <v>599.0</v>
      </c>
      <c r="K60" s="95">
        <v>200.0</v>
      </c>
      <c r="L60" s="153">
        <f t="shared" si="7"/>
        <v>0.3338898164</v>
      </c>
      <c r="M60" s="96">
        <f t="shared" si="8"/>
        <v>1.132325142</v>
      </c>
      <c r="N60" s="96">
        <f t="shared" si="9"/>
        <v>1.645</v>
      </c>
      <c r="O60" s="97">
        <v>649.0</v>
      </c>
      <c r="P60" s="87"/>
      <c r="Q60" s="87"/>
      <c r="R60" s="87" t="s">
        <v>111</v>
      </c>
      <c r="S60" s="87"/>
    </row>
    <row r="61" ht="41.25" customHeight="1" outlineLevel="1">
      <c r="A61" s="59"/>
      <c r="B61" s="59"/>
      <c r="C61" s="59"/>
      <c r="D61" s="59"/>
      <c r="E61" s="59"/>
      <c r="F61" s="59"/>
      <c r="G61" s="79" t="s">
        <v>113</v>
      </c>
      <c r="H61" s="59"/>
      <c r="I61" s="81">
        <v>599.0</v>
      </c>
      <c r="J61" s="81">
        <v>629.0</v>
      </c>
      <c r="K61" s="99">
        <v>200.0</v>
      </c>
      <c r="L61" s="154">
        <f t="shared" si="7"/>
        <v>0.3179650238</v>
      </c>
      <c r="M61" s="96">
        <f t="shared" si="8"/>
        <v>1.050083472</v>
      </c>
      <c r="N61" s="100">
        <f t="shared" si="9"/>
        <v>1.995</v>
      </c>
      <c r="O61" s="101">
        <v>679.0</v>
      </c>
      <c r="P61" s="79"/>
      <c r="Q61" s="79"/>
      <c r="R61" s="79" t="s">
        <v>111</v>
      </c>
      <c r="S61" s="87"/>
    </row>
    <row r="62" ht="41.25" customHeight="1">
      <c r="A62" s="76"/>
      <c r="B62" s="76" t="str">
        <f>"Салаты "&amp;COUNTA(E63:E77)&amp;" шт"</f>
        <v>Салаты 5 шт</v>
      </c>
      <c r="C62" s="76"/>
      <c r="D62" s="79"/>
      <c r="E62" s="78"/>
      <c r="F62" s="78"/>
      <c r="G62" s="79"/>
      <c r="H62" s="136"/>
      <c r="I62" s="81"/>
      <c r="J62" s="81"/>
      <c r="K62" s="82"/>
      <c r="L62" s="83">
        <f>AVERAGE(L63:L77)</f>
        <v>0.2379131646</v>
      </c>
      <c r="M62" s="83"/>
      <c r="N62" s="76"/>
      <c r="O62" s="84"/>
      <c r="P62" s="81"/>
      <c r="Q62" s="81"/>
      <c r="R62" s="85"/>
      <c r="S62" s="86"/>
    </row>
    <row r="63" ht="41.25" customHeight="1" outlineLevel="1">
      <c r="A63" s="87"/>
      <c r="B63" s="88"/>
      <c r="C63" s="89"/>
      <c r="D63" s="87" t="s">
        <v>176</v>
      </c>
      <c r="E63" s="90" t="s">
        <v>177</v>
      </c>
      <c r="F63" s="105" t="s">
        <v>178</v>
      </c>
      <c r="G63" s="91" t="s">
        <v>110</v>
      </c>
      <c r="H63" s="92">
        <v>180.0</v>
      </c>
      <c r="I63" s="93">
        <v>599.0</v>
      </c>
      <c r="J63" s="93">
        <v>599.0</v>
      </c>
      <c r="K63" s="95">
        <v>130.0</v>
      </c>
      <c r="L63" s="153">
        <f t="shared" ref="L63:L77" si="10">K63/J63</f>
        <v>0.2170283806</v>
      </c>
      <c r="M63" s="96">
        <f>J63/I63</f>
        <v>1</v>
      </c>
      <c r="N63" s="96">
        <f t="shared" ref="N63:N77" si="11">I63/K63-1</f>
        <v>3.607692308</v>
      </c>
      <c r="O63" s="97">
        <v>649.0</v>
      </c>
      <c r="P63" s="87" t="s">
        <v>111</v>
      </c>
      <c r="Q63" s="87"/>
      <c r="R63" s="87" t="s">
        <v>111</v>
      </c>
      <c r="S63" s="87"/>
    </row>
    <row r="64" ht="41.25" customHeight="1" outlineLevel="1">
      <c r="G64" s="98" t="s">
        <v>114</v>
      </c>
      <c r="I64" s="93"/>
      <c r="J64" s="93">
        <v>629.0</v>
      </c>
      <c r="K64" s="95">
        <v>139.0</v>
      </c>
      <c r="L64" s="155">
        <f t="shared" si="10"/>
        <v>0.2209856916</v>
      </c>
      <c r="M64" s="96"/>
      <c r="N64" s="96">
        <f t="shared" si="11"/>
        <v>-1</v>
      </c>
      <c r="O64" s="97"/>
      <c r="P64" s="87"/>
      <c r="Q64" s="87"/>
      <c r="R64" s="87"/>
      <c r="S64" s="87"/>
    </row>
    <row r="65" ht="41.25" customHeight="1" outlineLevel="1">
      <c r="A65" s="59"/>
      <c r="B65" s="59"/>
      <c r="C65" s="59"/>
      <c r="D65" s="59"/>
      <c r="E65" s="59"/>
      <c r="F65" s="59"/>
      <c r="G65" s="91" t="s">
        <v>113</v>
      </c>
      <c r="H65" s="59"/>
      <c r="I65" s="81">
        <v>599.0</v>
      </c>
      <c r="J65" s="81">
        <v>599.0</v>
      </c>
      <c r="K65" s="99">
        <v>135.0</v>
      </c>
      <c r="L65" s="154">
        <f t="shared" si="10"/>
        <v>0.225375626</v>
      </c>
      <c r="M65" s="96">
        <f t="shared" ref="M65:M66" si="12">J65/I65</f>
        <v>1</v>
      </c>
      <c r="N65" s="100">
        <f t="shared" si="11"/>
        <v>3.437037037</v>
      </c>
      <c r="O65" s="101">
        <v>649.0</v>
      </c>
      <c r="P65" s="79" t="s">
        <v>111</v>
      </c>
      <c r="Q65" s="79" t="s">
        <v>111</v>
      </c>
      <c r="R65" s="79" t="s">
        <v>111</v>
      </c>
      <c r="S65" s="87"/>
    </row>
    <row r="66" ht="41.25" customHeight="1" outlineLevel="1">
      <c r="A66" s="87"/>
      <c r="B66" s="88"/>
      <c r="C66" s="116" t="s">
        <v>179</v>
      </c>
      <c r="D66" s="87" t="s">
        <v>129</v>
      </c>
      <c r="E66" s="117" t="s">
        <v>180</v>
      </c>
      <c r="F66" s="105" t="s">
        <v>181</v>
      </c>
      <c r="G66" s="91" t="s">
        <v>110</v>
      </c>
      <c r="H66" s="92">
        <v>180.0</v>
      </c>
      <c r="I66" s="93">
        <v>449.0</v>
      </c>
      <c r="J66" s="93">
        <v>459.0</v>
      </c>
      <c r="K66" s="95">
        <v>115.0</v>
      </c>
      <c r="L66" s="153">
        <f t="shared" si="10"/>
        <v>0.2505446623</v>
      </c>
      <c r="M66" s="96">
        <f t="shared" si="12"/>
        <v>1.022271715</v>
      </c>
      <c r="N66" s="96">
        <f t="shared" si="11"/>
        <v>2.904347826</v>
      </c>
      <c r="O66" s="97">
        <v>519.0</v>
      </c>
      <c r="P66" s="87" t="s">
        <v>111</v>
      </c>
      <c r="Q66" s="87"/>
      <c r="R66" s="87" t="s">
        <v>111</v>
      </c>
      <c r="S66" s="87"/>
    </row>
    <row r="67" ht="41.25" customHeight="1" outlineLevel="1">
      <c r="G67" s="98" t="s">
        <v>114</v>
      </c>
      <c r="I67" s="93"/>
      <c r="J67" s="93">
        <v>529.0</v>
      </c>
      <c r="K67" s="95">
        <v>117.0</v>
      </c>
      <c r="L67" s="155">
        <f t="shared" si="10"/>
        <v>0.2211720227</v>
      </c>
      <c r="M67" s="96"/>
      <c r="N67" s="96">
        <f t="shared" si="11"/>
        <v>-1</v>
      </c>
      <c r="O67" s="97"/>
      <c r="P67" s="87"/>
      <c r="Q67" s="87"/>
      <c r="R67" s="87"/>
      <c r="S67" s="87"/>
    </row>
    <row r="68" ht="41.25" customHeight="1" outlineLevel="1">
      <c r="A68" s="59"/>
      <c r="B68" s="59"/>
      <c r="C68" s="59"/>
      <c r="D68" s="59"/>
      <c r="E68" s="59"/>
      <c r="F68" s="59"/>
      <c r="G68" s="91" t="s">
        <v>113</v>
      </c>
      <c r="H68" s="59"/>
      <c r="I68" s="81">
        <v>499.0</v>
      </c>
      <c r="J68" s="81">
        <v>499.0</v>
      </c>
      <c r="K68" s="99">
        <v>105.0</v>
      </c>
      <c r="L68" s="154">
        <f t="shared" si="10"/>
        <v>0.2104208417</v>
      </c>
      <c r="M68" s="96">
        <f t="shared" ref="M68:M69" si="13">J68/I68</f>
        <v>1</v>
      </c>
      <c r="N68" s="100">
        <f t="shared" si="11"/>
        <v>3.752380952</v>
      </c>
      <c r="O68" s="101">
        <v>569.0</v>
      </c>
      <c r="P68" s="79" t="s">
        <v>111</v>
      </c>
      <c r="Q68" s="79" t="s">
        <v>111</v>
      </c>
      <c r="R68" s="79" t="s">
        <v>111</v>
      </c>
      <c r="S68" s="87"/>
    </row>
    <row r="69" ht="41.25" customHeight="1" outlineLevel="1">
      <c r="A69" s="87"/>
      <c r="B69" s="88"/>
      <c r="C69" s="89" t="s">
        <v>182</v>
      </c>
      <c r="D69" s="87" t="s">
        <v>183</v>
      </c>
      <c r="E69" s="90" t="s">
        <v>184</v>
      </c>
      <c r="F69" s="90" t="s">
        <v>185</v>
      </c>
      <c r="G69" s="91" t="s">
        <v>110</v>
      </c>
      <c r="H69" s="92">
        <v>210.0</v>
      </c>
      <c r="I69" s="93">
        <v>449.0</v>
      </c>
      <c r="J69" s="93">
        <v>489.0</v>
      </c>
      <c r="K69" s="95">
        <v>136.0</v>
      </c>
      <c r="L69" s="153">
        <f t="shared" si="10"/>
        <v>0.2781186094</v>
      </c>
      <c r="M69" s="96">
        <f t="shared" si="13"/>
        <v>1.08908686</v>
      </c>
      <c r="N69" s="96">
        <f t="shared" si="11"/>
        <v>2.301470588</v>
      </c>
      <c r="O69" s="97">
        <v>539.0</v>
      </c>
      <c r="P69" s="87" t="s">
        <v>111</v>
      </c>
      <c r="Q69" s="87"/>
      <c r="R69" s="87" t="s">
        <v>111</v>
      </c>
      <c r="S69" s="87"/>
    </row>
    <row r="70" ht="41.25" customHeight="1" outlineLevel="1">
      <c r="G70" s="98" t="s">
        <v>114</v>
      </c>
      <c r="I70" s="93"/>
      <c r="J70" s="93">
        <v>599.0</v>
      </c>
      <c r="K70" s="95">
        <v>147.0</v>
      </c>
      <c r="L70" s="155">
        <f t="shared" si="10"/>
        <v>0.245409015</v>
      </c>
      <c r="M70" s="96"/>
      <c r="N70" s="96">
        <f t="shared" si="11"/>
        <v>-1</v>
      </c>
      <c r="O70" s="97"/>
      <c r="P70" s="87"/>
      <c r="Q70" s="87"/>
      <c r="R70" s="87"/>
      <c r="S70" s="87"/>
    </row>
    <row r="71" ht="41.25" customHeight="1" outlineLevel="1">
      <c r="A71" s="59"/>
      <c r="B71" s="59"/>
      <c r="C71" s="59"/>
      <c r="D71" s="59"/>
      <c r="E71" s="59"/>
      <c r="F71" s="59"/>
      <c r="G71" s="91" t="s">
        <v>113</v>
      </c>
      <c r="H71" s="59"/>
      <c r="I71" s="81">
        <v>499.0</v>
      </c>
      <c r="J71" s="81">
        <v>529.0</v>
      </c>
      <c r="K71" s="99">
        <v>151.0</v>
      </c>
      <c r="L71" s="154">
        <f t="shared" si="10"/>
        <v>0.2854442344</v>
      </c>
      <c r="M71" s="96">
        <f t="shared" ref="M71:M72" si="14">J71/I71</f>
        <v>1.06012024</v>
      </c>
      <c r="N71" s="100">
        <f t="shared" si="11"/>
        <v>2.304635762</v>
      </c>
      <c r="O71" s="101">
        <v>579.0</v>
      </c>
      <c r="P71" s="79" t="s">
        <v>111</v>
      </c>
      <c r="Q71" s="79" t="s">
        <v>111</v>
      </c>
      <c r="R71" s="79" t="s">
        <v>111</v>
      </c>
      <c r="S71" s="87"/>
    </row>
    <row r="72" ht="41.25" customHeight="1" outlineLevel="1">
      <c r="A72" s="87"/>
      <c r="B72" s="104" t="s">
        <v>186</v>
      </c>
      <c r="C72" s="89" t="s">
        <v>187</v>
      </c>
      <c r="D72" s="87" t="s">
        <v>176</v>
      </c>
      <c r="E72" s="90" t="s">
        <v>188</v>
      </c>
      <c r="F72" s="105"/>
      <c r="G72" s="91" t="s">
        <v>110</v>
      </c>
      <c r="H72" s="92">
        <v>210.0</v>
      </c>
      <c r="I72" s="93">
        <v>449.0</v>
      </c>
      <c r="J72" s="93">
        <v>469.0</v>
      </c>
      <c r="K72" s="95">
        <v>98.0</v>
      </c>
      <c r="L72" s="153">
        <f t="shared" si="10"/>
        <v>0.2089552239</v>
      </c>
      <c r="M72" s="96">
        <f t="shared" si="14"/>
        <v>1.04454343</v>
      </c>
      <c r="N72" s="96">
        <f t="shared" si="11"/>
        <v>3.581632653</v>
      </c>
      <c r="O72" s="97">
        <v>519.0</v>
      </c>
      <c r="P72" s="87" t="s">
        <v>111</v>
      </c>
      <c r="Q72" s="87"/>
      <c r="R72" s="106" t="s">
        <v>111</v>
      </c>
      <c r="S72" s="106"/>
    </row>
    <row r="73" ht="41.25" customHeight="1" outlineLevel="1">
      <c r="G73" s="98" t="s">
        <v>114</v>
      </c>
      <c r="I73" s="93"/>
      <c r="J73" s="93">
        <v>529.0</v>
      </c>
      <c r="K73" s="95">
        <v>112.0</v>
      </c>
      <c r="L73" s="155">
        <f t="shared" si="10"/>
        <v>0.2117202268</v>
      </c>
      <c r="M73" s="96"/>
      <c r="N73" s="96">
        <f t="shared" si="11"/>
        <v>-1</v>
      </c>
      <c r="O73" s="97"/>
      <c r="P73" s="87"/>
      <c r="Q73" s="87"/>
      <c r="R73" s="106"/>
      <c r="S73" s="106"/>
    </row>
    <row r="74" ht="41.25" customHeight="1" outlineLevel="1">
      <c r="A74" s="59"/>
      <c r="B74" s="59"/>
      <c r="C74" s="59"/>
      <c r="D74" s="59"/>
      <c r="E74" s="59"/>
      <c r="F74" s="59"/>
      <c r="G74" s="91" t="s">
        <v>113</v>
      </c>
      <c r="H74" s="59"/>
      <c r="I74" s="81">
        <v>499.0</v>
      </c>
      <c r="J74" s="81">
        <v>499.0</v>
      </c>
      <c r="K74" s="99">
        <v>105.0</v>
      </c>
      <c r="L74" s="154">
        <f t="shared" si="10"/>
        <v>0.2104208417</v>
      </c>
      <c r="M74" s="96">
        <f t="shared" ref="M74:M75" si="15">J74/I74</f>
        <v>1</v>
      </c>
      <c r="N74" s="100">
        <f t="shared" si="11"/>
        <v>3.752380952</v>
      </c>
      <c r="O74" s="101">
        <v>559.0</v>
      </c>
      <c r="P74" s="79" t="s">
        <v>111</v>
      </c>
      <c r="Q74" s="79" t="s">
        <v>111</v>
      </c>
      <c r="R74" s="107" t="s">
        <v>111</v>
      </c>
      <c r="S74" s="106"/>
    </row>
    <row r="75" ht="41.25" customHeight="1" outlineLevel="1">
      <c r="A75" s="87"/>
      <c r="B75" s="88"/>
      <c r="C75" s="89" t="s">
        <v>189</v>
      </c>
      <c r="D75" s="87" t="s">
        <v>129</v>
      </c>
      <c r="E75" s="90" t="s">
        <v>190</v>
      </c>
      <c r="F75" s="105"/>
      <c r="G75" s="91" t="s">
        <v>110</v>
      </c>
      <c r="H75" s="92">
        <v>210.0</v>
      </c>
      <c r="I75" s="93">
        <v>579.0</v>
      </c>
      <c r="J75" s="93">
        <v>579.0</v>
      </c>
      <c r="K75" s="95">
        <v>146.0</v>
      </c>
      <c r="L75" s="153">
        <f t="shared" si="10"/>
        <v>0.2521588946</v>
      </c>
      <c r="M75" s="96">
        <f t="shared" si="15"/>
        <v>1</v>
      </c>
      <c r="N75" s="96">
        <f t="shared" si="11"/>
        <v>2.965753425</v>
      </c>
      <c r="O75" s="97">
        <v>629.0</v>
      </c>
      <c r="P75" s="87" t="s">
        <v>111</v>
      </c>
      <c r="Q75" s="87"/>
      <c r="R75" s="87" t="s">
        <v>111</v>
      </c>
      <c r="S75" s="87"/>
    </row>
    <row r="76" ht="15.75" customHeight="1" outlineLevel="1">
      <c r="G76" s="98" t="s">
        <v>114</v>
      </c>
      <c r="I76" s="93"/>
      <c r="J76" s="93">
        <v>629.0</v>
      </c>
      <c r="K76" s="95">
        <v>167.0</v>
      </c>
      <c r="L76" s="155">
        <f t="shared" si="10"/>
        <v>0.2655007949</v>
      </c>
      <c r="M76" s="96"/>
      <c r="N76" s="96">
        <f t="shared" si="11"/>
        <v>-1</v>
      </c>
      <c r="O76" s="97"/>
      <c r="P76" s="87"/>
      <c r="Q76" s="87"/>
      <c r="R76" s="87"/>
      <c r="S76" s="87"/>
    </row>
    <row r="77" ht="15.75" customHeight="1" outlineLevel="1">
      <c r="A77" s="59"/>
      <c r="B77" s="59"/>
      <c r="C77" s="59"/>
      <c r="D77" s="59"/>
      <c r="E77" s="59"/>
      <c r="F77" s="59"/>
      <c r="G77" s="91" t="s">
        <v>113</v>
      </c>
      <c r="H77" s="59"/>
      <c r="I77" s="81">
        <v>599.0</v>
      </c>
      <c r="J77" s="81">
        <v>599.0</v>
      </c>
      <c r="K77" s="99">
        <v>159.0</v>
      </c>
      <c r="L77" s="154">
        <f t="shared" si="10"/>
        <v>0.265442404</v>
      </c>
      <c r="M77" s="96">
        <f>J77/I77</f>
        <v>1</v>
      </c>
      <c r="N77" s="100">
        <f t="shared" si="11"/>
        <v>2.767295597</v>
      </c>
      <c r="O77" s="101">
        <v>669.0</v>
      </c>
      <c r="P77" s="79" t="s">
        <v>111</v>
      </c>
      <c r="Q77" s="79" t="s">
        <v>111</v>
      </c>
      <c r="R77" s="79" t="s">
        <v>111</v>
      </c>
      <c r="S77" s="87"/>
    </row>
    <row r="78" ht="41.25" customHeight="1">
      <c r="A78" s="89"/>
      <c r="B78" s="89" t="str">
        <f>"Закуски "&amp;COUNTA(E82:E103)&amp;" шт"</f>
        <v>Закуски 8 шт</v>
      </c>
      <c r="C78" s="89"/>
      <c r="D78" s="87"/>
      <c r="E78" s="90"/>
      <c r="F78" s="90"/>
      <c r="G78" s="87"/>
      <c r="H78" s="156"/>
      <c r="I78" s="93"/>
      <c r="J78" s="93"/>
      <c r="K78" s="157"/>
      <c r="L78" s="158">
        <f t="shared" ref="L78:L81" si="16">AVERAGE(L82:L103)</f>
        <v>0.2404517434</v>
      </c>
      <c r="M78" s="158"/>
      <c r="N78" s="89"/>
      <c r="O78" s="159"/>
      <c r="P78" s="89"/>
      <c r="Q78" s="89"/>
      <c r="R78" s="86"/>
      <c r="S78" s="86"/>
    </row>
    <row r="79" ht="41.25" customHeight="1">
      <c r="A79" s="89"/>
      <c r="B79" s="89"/>
      <c r="C79" s="89"/>
      <c r="D79" s="87"/>
      <c r="E79" s="90" t="s">
        <v>191</v>
      </c>
      <c r="F79" s="90"/>
      <c r="G79" s="160" t="s">
        <v>110</v>
      </c>
      <c r="H79" s="156"/>
      <c r="I79" s="93"/>
      <c r="J79" s="161">
        <v>249.0</v>
      </c>
      <c r="K79" s="162">
        <v>60.0</v>
      </c>
      <c r="L79" s="158">
        <f t="shared" si="16"/>
        <v>0.2358344294</v>
      </c>
      <c r="M79" s="158"/>
      <c r="N79" s="89"/>
      <c r="O79" s="159"/>
      <c r="P79" s="89"/>
      <c r="Q79" s="89"/>
      <c r="R79" s="86"/>
      <c r="S79" s="86"/>
    </row>
    <row r="80" ht="41.25" customHeight="1">
      <c r="G80" s="160" t="s">
        <v>113</v>
      </c>
      <c r="H80" s="156"/>
      <c r="I80" s="93"/>
      <c r="J80" s="161">
        <v>299.0</v>
      </c>
      <c r="K80" s="162">
        <v>48.0</v>
      </c>
      <c r="L80" s="158">
        <f t="shared" si="16"/>
        <v>0.2314975412</v>
      </c>
      <c r="M80" s="158"/>
      <c r="N80" s="89"/>
      <c r="O80" s="159"/>
      <c r="P80" s="89"/>
      <c r="Q80" s="89"/>
      <c r="R80" s="86"/>
      <c r="S80" s="86"/>
    </row>
    <row r="81" ht="41.25" customHeight="1" collapsed="1">
      <c r="G81" s="163" t="s">
        <v>114</v>
      </c>
      <c r="H81" s="156"/>
      <c r="I81" s="93"/>
      <c r="J81" s="161">
        <v>399.0</v>
      </c>
      <c r="K81" s="162">
        <v>48.0</v>
      </c>
      <c r="L81" s="158" t="str">
        <f t="shared" si="16"/>
        <v>#DIV/0!</v>
      </c>
      <c r="M81" s="158"/>
      <c r="N81" s="89"/>
      <c r="O81" s="159"/>
      <c r="P81" s="89"/>
      <c r="Q81" s="89"/>
      <c r="R81" s="86"/>
      <c r="S81" s="86"/>
    </row>
    <row r="82" ht="41.25" customHeight="1" outlineLevel="1">
      <c r="A82" s="87"/>
      <c r="B82" s="89" t="s">
        <v>192</v>
      </c>
      <c r="C82" s="89" t="s">
        <v>193</v>
      </c>
      <c r="D82" s="87" t="s">
        <v>194</v>
      </c>
      <c r="E82" s="90" t="s">
        <v>195</v>
      </c>
      <c r="F82" s="105" t="s">
        <v>196</v>
      </c>
      <c r="G82" s="91" t="s">
        <v>110</v>
      </c>
      <c r="H82" s="92">
        <v>80.0</v>
      </c>
      <c r="I82" s="93"/>
      <c r="J82" s="93">
        <v>259.0</v>
      </c>
      <c r="K82" s="95">
        <v>79.0</v>
      </c>
      <c r="L82" s="153">
        <f t="shared" ref="L82:L161" si="17">K82/J82</f>
        <v>0.305019305</v>
      </c>
      <c r="M82" s="96"/>
      <c r="N82" s="96">
        <f t="shared" ref="N82:N208" si="18">I82/K82-1</f>
        <v>-1</v>
      </c>
      <c r="O82" s="97">
        <v>299.0</v>
      </c>
      <c r="P82" s="87" t="s">
        <v>111</v>
      </c>
      <c r="Q82" s="87"/>
      <c r="R82" s="102" t="s">
        <v>111</v>
      </c>
      <c r="S82" s="102"/>
    </row>
    <row r="83" ht="41.25" customHeight="1" outlineLevel="1">
      <c r="A83" s="59"/>
      <c r="G83" s="91" t="s">
        <v>113</v>
      </c>
      <c r="I83" s="81"/>
      <c r="J83" s="93">
        <v>289.0</v>
      </c>
      <c r="K83" s="95">
        <v>79.0</v>
      </c>
      <c r="L83" s="153">
        <f t="shared" si="17"/>
        <v>0.2733564014</v>
      </c>
      <c r="M83" s="96"/>
      <c r="N83" s="96">
        <f t="shared" si="18"/>
        <v>-1</v>
      </c>
      <c r="O83" s="101">
        <v>349.0</v>
      </c>
      <c r="P83" s="79" t="s">
        <v>111</v>
      </c>
      <c r="Q83" s="79" t="s">
        <v>111</v>
      </c>
      <c r="R83" s="103" t="s">
        <v>111</v>
      </c>
      <c r="S83" s="102"/>
    </row>
    <row r="84" ht="41.25" hidden="1" customHeight="1" outlineLevel="1">
      <c r="A84" s="79"/>
      <c r="B84" s="59"/>
      <c r="C84" s="59"/>
      <c r="D84" s="59"/>
      <c r="E84" s="59"/>
      <c r="F84" s="59"/>
      <c r="G84" s="98" t="s">
        <v>114</v>
      </c>
      <c r="H84" s="59"/>
      <c r="I84" s="81">
        <v>0.0</v>
      </c>
      <c r="J84" s="81">
        <v>339.0</v>
      </c>
      <c r="K84" s="99">
        <v>79.0</v>
      </c>
      <c r="L84" s="155">
        <f t="shared" si="17"/>
        <v>0.2330383481</v>
      </c>
      <c r="M84" s="100">
        <f>I84/J84</f>
        <v>0</v>
      </c>
      <c r="N84" s="96">
        <f t="shared" si="18"/>
        <v>-1</v>
      </c>
      <c r="O84" s="101"/>
      <c r="P84" s="79" t="s">
        <v>112</v>
      </c>
      <c r="Q84" s="79"/>
      <c r="R84" s="103" t="s">
        <v>111</v>
      </c>
      <c r="S84" s="102"/>
    </row>
    <row r="85" ht="41.25" customHeight="1" outlineLevel="1">
      <c r="A85" s="87"/>
      <c r="B85" s="104" t="s">
        <v>197</v>
      </c>
      <c r="C85" s="89" t="s">
        <v>198</v>
      </c>
      <c r="D85" s="87" t="s">
        <v>199</v>
      </c>
      <c r="E85" s="90" t="s">
        <v>200</v>
      </c>
      <c r="F85" s="105"/>
      <c r="G85" s="91" t="s">
        <v>110</v>
      </c>
      <c r="H85" s="92">
        <v>120.0</v>
      </c>
      <c r="I85" s="93"/>
      <c r="J85" s="93">
        <v>469.0</v>
      </c>
      <c r="K85" s="95">
        <v>129.0</v>
      </c>
      <c r="L85" s="153">
        <f t="shared" si="17"/>
        <v>0.2750533049</v>
      </c>
      <c r="M85" s="96"/>
      <c r="N85" s="96">
        <f t="shared" si="18"/>
        <v>-1</v>
      </c>
      <c r="O85" s="97">
        <v>519.0</v>
      </c>
      <c r="P85" s="87" t="s">
        <v>111</v>
      </c>
      <c r="Q85" s="87"/>
      <c r="R85" s="102" t="s">
        <v>111</v>
      </c>
      <c r="S85" s="102"/>
    </row>
    <row r="86" ht="41.25" customHeight="1" outlineLevel="1">
      <c r="A86" s="59"/>
      <c r="G86" s="91" t="s">
        <v>113</v>
      </c>
      <c r="I86" s="81"/>
      <c r="J86" s="93">
        <v>499.0</v>
      </c>
      <c r="K86" s="99">
        <v>134.0</v>
      </c>
      <c r="L86" s="153">
        <f t="shared" si="17"/>
        <v>0.2685370741</v>
      </c>
      <c r="M86" s="100"/>
      <c r="N86" s="96">
        <f t="shared" si="18"/>
        <v>-1</v>
      </c>
      <c r="O86" s="101">
        <v>549.0</v>
      </c>
      <c r="P86" s="79" t="s">
        <v>111</v>
      </c>
      <c r="Q86" s="79" t="s">
        <v>111</v>
      </c>
      <c r="R86" s="103" t="s">
        <v>111</v>
      </c>
      <c r="S86" s="102"/>
    </row>
    <row r="87" ht="41.25" hidden="1" customHeight="1" outlineLevel="1">
      <c r="A87" s="79"/>
      <c r="B87" s="59"/>
      <c r="C87" s="59"/>
      <c r="D87" s="59"/>
      <c r="E87" s="59"/>
      <c r="F87" s="59"/>
      <c r="G87" s="98" t="s">
        <v>114</v>
      </c>
      <c r="H87" s="59"/>
      <c r="I87" s="81">
        <v>0.0</v>
      </c>
      <c r="J87" s="81">
        <v>549.0</v>
      </c>
      <c r="K87" s="99">
        <v>134.0</v>
      </c>
      <c r="L87" s="155">
        <f t="shared" si="17"/>
        <v>0.2440801457</v>
      </c>
      <c r="M87" s="100">
        <f>I87/J87</f>
        <v>0</v>
      </c>
      <c r="N87" s="96">
        <f t="shared" si="18"/>
        <v>-1</v>
      </c>
      <c r="O87" s="101"/>
      <c r="P87" s="79" t="s">
        <v>112</v>
      </c>
      <c r="Q87" s="79"/>
      <c r="R87" s="103" t="s">
        <v>111</v>
      </c>
      <c r="S87" s="102"/>
    </row>
    <row r="88" ht="41.25" customHeight="1" outlineLevel="1">
      <c r="A88" s="87"/>
      <c r="B88" s="104" t="s">
        <v>197</v>
      </c>
      <c r="C88" s="89"/>
      <c r="D88" s="87"/>
      <c r="E88" s="90" t="s">
        <v>201</v>
      </c>
      <c r="F88" s="105"/>
      <c r="G88" s="91" t="s">
        <v>110</v>
      </c>
      <c r="H88" s="92" t="s">
        <v>202</v>
      </c>
      <c r="I88" s="93">
        <v>229.0</v>
      </c>
      <c r="J88" s="94">
        <v>249.0</v>
      </c>
      <c r="K88" s="95">
        <v>42.0</v>
      </c>
      <c r="L88" s="153">
        <f t="shared" si="17"/>
        <v>0.1686746988</v>
      </c>
      <c r="M88" s="96">
        <f t="shared" ref="M88:M89" si="19">J88/I88</f>
        <v>1.087336245</v>
      </c>
      <c r="N88" s="96">
        <f t="shared" si="18"/>
        <v>4.452380952</v>
      </c>
      <c r="O88" s="97">
        <v>289.0</v>
      </c>
      <c r="P88" s="87" t="s">
        <v>111</v>
      </c>
      <c r="Q88" s="87"/>
      <c r="R88" s="106" t="s">
        <v>111</v>
      </c>
      <c r="S88" s="106"/>
    </row>
    <row r="89" ht="41.25" customHeight="1" outlineLevel="1">
      <c r="G89" s="91" t="s">
        <v>113</v>
      </c>
      <c r="I89" s="81">
        <v>229.0</v>
      </c>
      <c r="J89" s="110">
        <v>299.0</v>
      </c>
      <c r="K89" s="99">
        <v>51.0</v>
      </c>
      <c r="L89" s="153">
        <f t="shared" si="17"/>
        <v>0.1705685619</v>
      </c>
      <c r="M89" s="96">
        <f t="shared" si="19"/>
        <v>1.305676856</v>
      </c>
      <c r="N89" s="96">
        <f t="shared" si="18"/>
        <v>3.490196078</v>
      </c>
      <c r="O89" s="101">
        <v>329.0</v>
      </c>
      <c r="P89" s="79" t="s">
        <v>111</v>
      </c>
      <c r="Q89" s="79" t="s">
        <v>111</v>
      </c>
      <c r="R89" s="107" t="s">
        <v>111</v>
      </c>
      <c r="S89" s="106"/>
    </row>
    <row r="90" ht="41.25" hidden="1" customHeight="1" outlineLevel="1">
      <c r="A90" s="59"/>
      <c r="B90" s="59"/>
      <c r="C90" s="59"/>
      <c r="D90" s="59"/>
      <c r="E90" s="59"/>
      <c r="F90" s="59"/>
      <c r="G90" s="98" t="s">
        <v>114</v>
      </c>
      <c r="H90" s="59"/>
      <c r="I90" s="81">
        <v>0.0</v>
      </c>
      <c r="J90" s="81">
        <v>349.0</v>
      </c>
      <c r="K90" s="99">
        <v>51.0</v>
      </c>
      <c r="L90" s="155">
        <f t="shared" si="17"/>
        <v>0.1461318052</v>
      </c>
      <c r="M90" s="100">
        <f>I90/J90</f>
        <v>0</v>
      </c>
      <c r="N90" s="96">
        <f t="shared" si="18"/>
        <v>-1</v>
      </c>
      <c r="O90" s="101"/>
      <c r="P90" s="79" t="s">
        <v>112</v>
      </c>
      <c r="Q90" s="79"/>
      <c r="R90" s="79" t="s">
        <v>111</v>
      </c>
      <c r="S90" s="87"/>
    </row>
    <row r="91" ht="41.25" customHeight="1" outlineLevel="1">
      <c r="A91" s="87"/>
      <c r="B91" s="104" t="s">
        <v>197</v>
      </c>
      <c r="C91" s="89"/>
      <c r="D91" s="87"/>
      <c r="E91" s="90" t="s">
        <v>203</v>
      </c>
      <c r="F91" s="105"/>
      <c r="G91" s="91" t="s">
        <v>110</v>
      </c>
      <c r="H91" s="92" t="s">
        <v>202</v>
      </c>
      <c r="I91" s="93">
        <v>379.0</v>
      </c>
      <c r="J91" s="93">
        <v>399.0</v>
      </c>
      <c r="K91" s="95">
        <v>79.0</v>
      </c>
      <c r="L91" s="153">
        <f t="shared" si="17"/>
        <v>0.1979949875</v>
      </c>
      <c r="M91" s="96">
        <f t="shared" ref="M91:M92" si="20">J91/I91</f>
        <v>1.052770449</v>
      </c>
      <c r="N91" s="96">
        <f t="shared" si="18"/>
        <v>3.797468354</v>
      </c>
      <c r="O91" s="97">
        <v>449.0</v>
      </c>
      <c r="P91" s="87" t="s">
        <v>111</v>
      </c>
      <c r="Q91" s="87"/>
      <c r="R91" s="106" t="s">
        <v>111</v>
      </c>
      <c r="S91" s="106"/>
    </row>
    <row r="92" ht="41.25" customHeight="1" outlineLevel="1">
      <c r="G92" s="91" t="s">
        <v>113</v>
      </c>
      <c r="I92" s="81">
        <v>399.0</v>
      </c>
      <c r="J92" s="81">
        <v>429.0</v>
      </c>
      <c r="K92" s="99">
        <v>86.0</v>
      </c>
      <c r="L92" s="153">
        <f t="shared" si="17"/>
        <v>0.2004662005</v>
      </c>
      <c r="M92" s="96">
        <f t="shared" si="20"/>
        <v>1.07518797</v>
      </c>
      <c r="N92" s="96">
        <f t="shared" si="18"/>
        <v>3.639534884</v>
      </c>
      <c r="O92" s="101">
        <v>499.0</v>
      </c>
      <c r="P92" s="79" t="s">
        <v>111</v>
      </c>
      <c r="Q92" s="79" t="s">
        <v>111</v>
      </c>
      <c r="R92" s="107" t="s">
        <v>111</v>
      </c>
      <c r="S92" s="106"/>
    </row>
    <row r="93" ht="41.25" hidden="1" customHeight="1" outlineLevel="1">
      <c r="A93" s="59"/>
      <c r="B93" s="59"/>
      <c r="C93" s="59"/>
      <c r="D93" s="59"/>
      <c r="E93" s="59"/>
      <c r="F93" s="59"/>
      <c r="G93" s="98" t="s">
        <v>114</v>
      </c>
      <c r="H93" s="59"/>
      <c r="I93" s="81">
        <v>0.0</v>
      </c>
      <c r="J93" s="81">
        <v>459.0</v>
      </c>
      <c r="K93" s="99">
        <v>86.0</v>
      </c>
      <c r="L93" s="155">
        <f t="shared" si="17"/>
        <v>0.1873638344</v>
      </c>
      <c r="M93" s="100">
        <f t="shared" ref="M93:M96" si="21">I93/J93</f>
        <v>0</v>
      </c>
      <c r="N93" s="96">
        <f t="shared" si="18"/>
        <v>-1</v>
      </c>
      <c r="O93" s="101"/>
      <c r="P93" s="79" t="s">
        <v>112</v>
      </c>
      <c r="Q93" s="79"/>
      <c r="R93" s="79" t="s">
        <v>111</v>
      </c>
      <c r="S93" s="87"/>
    </row>
    <row r="94" ht="41.25" customHeight="1" outlineLevel="1">
      <c r="A94" s="164"/>
      <c r="B94" s="165"/>
      <c r="C94" s="166"/>
      <c r="D94" s="164"/>
      <c r="E94" s="105" t="s">
        <v>204</v>
      </c>
      <c r="F94" s="167"/>
      <c r="G94" s="91" t="s">
        <v>110</v>
      </c>
      <c r="H94" s="168">
        <v>250.0</v>
      </c>
      <c r="I94" s="169"/>
      <c r="J94" s="169">
        <v>299.0</v>
      </c>
      <c r="K94" s="170">
        <v>87.0</v>
      </c>
      <c r="L94" s="153">
        <f t="shared" si="17"/>
        <v>0.2909698997</v>
      </c>
      <c r="M94" s="113">
        <f t="shared" si="21"/>
        <v>0</v>
      </c>
      <c r="N94" s="96">
        <f t="shared" si="18"/>
        <v>-1</v>
      </c>
      <c r="O94" s="171">
        <v>349.0</v>
      </c>
      <c r="P94" s="172" t="s">
        <v>111</v>
      </c>
      <c r="Q94" s="172"/>
      <c r="R94" s="173" t="s">
        <v>111</v>
      </c>
      <c r="S94" s="173"/>
    </row>
    <row r="95" ht="41.25" customHeight="1" outlineLevel="1">
      <c r="G95" s="91" t="s">
        <v>113</v>
      </c>
      <c r="I95" s="145"/>
      <c r="J95" s="169">
        <v>329.0</v>
      </c>
      <c r="K95" s="146">
        <v>105.0</v>
      </c>
      <c r="L95" s="153">
        <f t="shared" si="17"/>
        <v>0.3191489362</v>
      </c>
      <c r="M95" s="115">
        <f t="shared" si="21"/>
        <v>0</v>
      </c>
      <c r="N95" s="96">
        <f t="shared" si="18"/>
        <v>-1</v>
      </c>
      <c r="O95" s="147">
        <v>379.0</v>
      </c>
      <c r="P95" s="144" t="s">
        <v>111</v>
      </c>
      <c r="Q95" s="144" t="s">
        <v>111</v>
      </c>
      <c r="R95" s="174" t="s">
        <v>111</v>
      </c>
      <c r="S95" s="173"/>
    </row>
    <row r="96" ht="41.25" hidden="1" customHeight="1" outlineLevel="1">
      <c r="A96" s="59"/>
      <c r="B96" s="59"/>
      <c r="C96" s="59"/>
      <c r="D96" s="59"/>
      <c r="E96" s="59"/>
      <c r="F96" s="59"/>
      <c r="G96" s="98" t="s">
        <v>114</v>
      </c>
      <c r="H96" s="59"/>
      <c r="I96" s="175"/>
      <c r="J96" s="175">
        <v>399.0</v>
      </c>
      <c r="K96" s="176">
        <v>105.0</v>
      </c>
      <c r="L96" s="155">
        <f t="shared" si="17"/>
        <v>0.2631578947</v>
      </c>
      <c r="M96" s="120">
        <f t="shared" si="21"/>
        <v>0</v>
      </c>
      <c r="N96" s="96">
        <f t="shared" si="18"/>
        <v>-1</v>
      </c>
      <c r="O96" s="177"/>
      <c r="P96" s="178"/>
      <c r="Q96" s="179"/>
      <c r="R96" s="180"/>
      <c r="S96" s="180"/>
    </row>
    <row r="97" ht="41.25" customHeight="1" outlineLevel="1">
      <c r="A97" s="87"/>
      <c r="B97" s="104" t="s">
        <v>197</v>
      </c>
      <c r="C97" s="89"/>
      <c r="D97" s="87"/>
      <c r="E97" s="90" t="s">
        <v>205</v>
      </c>
      <c r="F97" s="105"/>
      <c r="G97" s="91" t="s">
        <v>110</v>
      </c>
      <c r="H97" s="92">
        <v>200.0</v>
      </c>
      <c r="I97" s="93">
        <v>259.0</v>
      </c>
      <c r="J97" s="93">
        <v>279.0</v>
      </c>
      <c r="K97" s="95">
        <v>67.0</v>
      </c>
      <c r="L97" s="153">
        <f t="shared" si="17"/>
        <v>0.2401433692</v>
      </c>
      <c r="M97" s="96">
        <f t="shared" ref="M97:M98" si="22">J97/I97</f>
        <v>1.077220077</v>
      </c>
      <c r="N97" s="96">
        <f t="shared" si="18"/>
        <v>2.865671642</v>
      </c>
      <c r="O97" s="97">
        <v>329.0</v>
      </c>
      <c r="P97" s="87" t="s">
        <v>111</v>
      </c>
      <c r="Q97" s="87"/>
      <c r="R97" s="106" t="s">
        <v>111</v>
      </c>
      <c r="S97" s="106"/>
    </row>
    <row r="98" ht="41.25" customHeight="1" outlineLevel="1">
      <c r="G98" s="91" t="s">
        <v>113</v>
      </c>
      <c r="I98" s="81">
        <v>279.0</v>
      </c>
      <c r="J98" s="93">
        <v>299.0</v>
      </c>
      <c r="K98" s="99">
        <v>85.0</v>
      </c>
      <c r="L98" s="153">
        <f t="shared" si="17"/>
        <v>0.2842809365</v>
      </c>
      <c r="M98" s="96">
        <f t="shared" si="22"/>
        <v>1.071684588</v>
      </c>
      <c r="N98" s="96">
        <f t="shared" si="18"/>
        <v>2.282352941</v>
      </c>
      <c r="O98" s="101">
        <v>359.0</v>
      </c>
      <c r="P98" s="79" t="s">
        <v>111</v>
      </c>
      <c r="Q98" s="79" t="s">
        <v>111</v>
      </c>
      <c r="R98" s="107" t="s">
        <v>111</v>
      </c>
      <c r="S98" s="106"/>
    </row>
    <row r="99" ht="41.25" hidden="1" customHeight="1" outlineLevel="1">
      <c r="A99" s="59"/>
      <c r="B99" s="59"/>
      <c r="C99" s="59"/>
      <c r="D99" s="59"/>
      <c r="E99" s="59"/>
      <c r="F99" s="59"/>
      <c r="G99" s="98" t="s">
        <v>114</v>
      </c>
      <c r="H99" s="59"/>
      <c r="I99" s="81">
        <v>0.0</v>
      </c>
      <c r="J99" s="93">
        <v>369.0</v>
      </c>
      <c r="K99" s="99">
        <v>85.0</v>
      </c>
      <c r="L99" s="155">
        <f t="shared" si="17"/>
        <v>0.2303523035</v>
      </c>
      <c r="M99" s="100">
        <f>I99/J99</f>
        <v>0</v>
      </c>
      <c r="N99" s="96">
        <f t="shared" si="18"/>
        <v>-1</v>
      </c>
      <c r="O99" s="101"/>
      <c r="P99" s="79" t="s">
        <v>112</v>
      </c>
      <c r="Q99" s="79"/>
      <c r="R99" s="79" t="s">
        <v>111</v>
      </c>
      <c r="S99" s="87"/>
    </row>
    <row r="100" ht="41.25" customHeight="1" outlineLevel="1">
      <c r="A100" s="87"/>
      <c r="B100" s="104" t="s">
        <v>197</v>
      </c>
      <c r="C100" s="89"/>
      <c r="D100" s="87"/>
      <c r="E100" s="90" t="s">
        <v>206</v>
      </c>
      <c r="F100" s="105"/>
      <c r="G100" s="91" t="s">
        <v>110</v>
      </c>
      <c r="H100" s="92">
        <v>200.0</v>
      </c>
      <c r="I100" s="93">
        <v>259.0</v>
      </c>
      <c r="J100" s="93">
        <v>279.0</v>
      </c>
      <c r="K100" s="95">
        <v>67.0</v>
      </c>
      <c r="L100" s="153">
        <f t="shared" si="17"/>
        <v>0.2401433692</v>
      </c>
      <c r="M100" s="96">
        <f t="shared" ref="M100:M101" si="23">J100/I100</f>
        <v>1.077220077</v>
      </c>
      <c r="N100" s="96">
        <f t="shared" si="18"/>
        <v>2.865671642</v>
      </c>
      <c r="O100" s="97">
        <v>329.0</v>
      </c>
      <c r="P100" s="87" t="s">
        <v>111</v>
      </c>
      <c r="Q100" s="87"/>
      <c r="R100" s="106" t="s">
        <v>111</v>
      </c>
      <c r="S100" s="106"/>
    </row>
    <row r="101" ht="41.25" customHeight="1" outlineLevel="1">
      <c r="G101" s="91" t="s">
        <v>113</v>
      </c>
      <c r="I101" s="81">
        <v>279.0</v>
      </c>
      <c r="J101" s="81">
        <v>299.0</v>
      </c>
      <c r="K101" s="99">
        <v>86.0</v>
      </c>
      <c r="L101" s="153">
        <f t="shared" si="17"/>
        <v>0.2876254181</v>
      </c>
      <c r="M101" s="96">
        <f t="shared" si="23"/>
        <v>1.071684588</v>
      </c>
      <c r="N101" s="96">
        <f t="shared" si="18"/>
        <v>2.244186047</v>
      </c>
      <c r="O101" s="101">
        <v>359.0</v>
      </c>
      <c r="P101" s="79" t="s">
        <v>111</v>
      </c>
      <c r="Q101" s="79" t="s">
        <v>111</v>
      </c>
      <c r="R101" s="107" t="s">
        <v>111</v>
      </c>
      <c r="S101" s="106"/>
    </row>
    <row r="102" ht="41.25" hidden="1" customHeight="1" outlineLevel="1">
      <c r="A102" s="59"/>
      <c r="B102" s="59"/>
      <c r="C102" s="59"/>
      <c r="D102" s="59"/>
      <c r="E102" s="59"/>
      <c r="F102" s="59"/>
      <c r="G102" s="98" t="s">
        <v>114</v>
      </c>
      <c r="H102" s="59"/>
      <c r="I102" s="81">
        <v>0.0</v>
      </c>
      <c r="J102" s="81">
        <v>369.0</v>
      </c>
      <c r="K102" s="99">
        <v>86.0</v>
      </c>
      <c r="L102" s="155">
        <f t="shared" si="17"/>
        <v>0.2330623306</v>
      </c>
      <c r="M102" s="100">
        <f>I102/J102</f>
        <v>0</v>
      </c>
      <c r="N102" s="96">
        <f t="shared" si="18"/>
        <v>-1</v>
      </c>
      <c r="O102" s="101"/>
      <c r="P102" s="79" t="s">
        <v>112</v>
      </c>
      <c r="Q102" s="79"/>
      <c r="R102" s="79" t="s">
        <v>111</v>
      </c>
      <c r="S102" s="87"/>
    </row>
    <row r="103" ht="41.25" customHeight="1" outlineLevel="1">
      <c r="A103" s="87"/>
      <c r="B103" s="104" t="s">
        <v>197</v>
      </c>
      <c r="C103" s="89"/>
      <c r="D103" s="87"/>
      <c r="E103" s="90" t="s">
        <v>207</v>
      </c>
      <c r="F103" s="105"/>
      <c r="G103" s="91" t="s">
        <v>110</v>
      </c>
      <c r="H103" s="92" t="s">
        <v>202</v>
      </c>
      <c r="I103" s="93">
        <v>299.0</v>
      </c>
      <c r="J103" s="93">
        <v>299.0</v>
      </c>
      <c r="K103" s="95">
        <v>69.0</v>
      </c>
      <c r="L103" s="153">
        <f t="shared" si="17"/>
        <v>0.2307692308</v>
      </c>
      <c r="M103" s="96">
        <f t="shared" ref="M103:M104" si="24">J103/I103</f>
        <v>1</v>
      </c>
      <c r="N103" s="96">
        <f t="shared" si="18"/>
        <v>3.333333333</v>
      </c>
      <c r="O103" s="97">
        <v>349.0</v>
      </c>
      <c r="P103" s="87" t="s">
        <v>111</v>
      </c>
      <c r="Q103" s="87"/>
      <c r="R103" s="106" t="s">
        <v>111</v>
      </c>
      <c r="S103" s="106"/>
    </row>
    <row r="104" ht="41.25" customHeight="1" outlineLevel="1">
      <c r="G104" s="91" t="s">
        <v>113</v>
      </c>
      <c r="I104" s="81">
        <v>339.0</v>
      </c>
      <c r="J104" s="81">
        <v>349.0</v>
      </c>
      <c r="K104" s="99">
        <v>71.0</v>
      </c>
      <c r="L104" s="153">
        <f t="shared" si="17"/>
        <v>0.2034383954</v>
      </c>
      <c r="M104" s="96">
        <f t="shared" si="24"/>
        <v>1.029498525</v>
      </c>
      <c r="N104" s="96">
        <f t="shared" si="18"/>
        <v>3.774647887</v>
      </c>
      <c r="O104" s="101">
        <v>399.0</v>
      </c>
      <c r="P104" s="79" t="s">
        <v>111</v>
      </c>
      <c r="Q104" s="79" t="s">
        <v>111</v>
      </c>
      <c r="R104" s="107" t="s">
        <v>111</v>
      </c>
      <c r="S104" s="106"/>
    </row>
    <row r="105" ht="41.25" hidden="1" customHeight="1" outlineLevel="1">
      <c r="A105" s="59"/>
      <c r="B105" s="59"/>
      <c r="C105" s="59"/>
      <c r="D105" s="59"/>
      <c r="E105" s="59"/>
      <c r="F105" s="59"/>
      <c r="G105" s="98" t="s">
        <v>114</v>
      </c>
      <c r="H105" s="59"/>
      <c r="I105" s="81">
        <v>0.0</v>
      </c>
      <c r="J105" s="81">
        <v>399.0</v>
      </c>
      <c r="K105" s="99">
        <v>71.0</v>
      </c>
      <c r="L105" s="155">
        <f t="shared" si="17"/>
        <v>0.1779448622</v>
      </c>
      <c r="M105" s="100">
        <f>I105/J105</f>
        <v>0</v>
      </c>
      <c r="N105" s="96">
        <f t="shared" si="18"/>
        <v>-1</v>
      </c>
      <c r="O105" s="101"/>
      <c r="P105" s="79" t="s">
        <v>112</v>
      </c>
      <c r="Q105" s="79"/>
      <c r="R105" s="79" t="s">
        <v>111</v>
      </c>
      <c r="S105" s="87"/>
    </row>
    <row r="106" ht="41.25" customHeight="1">
      <c r="A106" s="89"/>
      <c r="B106" s="89" t="str">
        <f>"Супы "&amp;COUNTA(E110:E118)&amp;" шт"</f>
        <v>Супы 3 шт</v>
      </c>
      <c r="C106" s="89"/>
      <c r="D106" s="87"/>
      <c r="E106" s="90"/>
      <c r="F106" s="90"/>
      <c r="G106" s="87"/>
      <c r="H106" s="156"/>
      <c r="I106" s="93"/>
      <c r="J106" s="93"/>
      <c r="K106" s="157"/>
      <c r="L106" s="153" t="str">
        <f t="shared" si="17"/>
        <v>#DIV/0!</v>
      </c>
      <c r="M106" s="158"/>
      <c r="N106" s="96" t="str">
        <f t="shared" si="18"/>
        <v>#DIV/0!</v>
      </c>
      <c r="O106" s="159"/>
      <c r="P106" s="89"/>
      <c r="Q106" s="89"/>
      <c r="R106" s="86"/>
      <c r="S106" s="86"/>
    </row>
    <row r="107" ht="41.25" customHeight="1" outlineLevel="1">
      <c r="A107" s="87"/>
      <c r="B107" s="89" t="s">
        <v>208</v>
      </c>
      <c r="C107" s="89" t="s">
        <v>209</v>
      </c>
      <c r="D107" s="98" t="s">
        <v>210</v>
      </c>
      <c r="E107" s="90" t="s">
        <v>211</v>
      </c>
      <c r="F107" s="117" t="s">
        <v>212</v>
      </c>
      <c r="G107" s="91" t="s">
        <v>110</v>
      </c>
      <c r="H107" s="92">
        <v>400.0</v>
      </c>
      <c r="I107" s="93"/>
      <c r="J107" s="93">
        <v>459.0</v>
      </c>
      <c r="K107" s="95">
        <v>113.0</v>
      </c>
      <c r="L107" s="153">
        <f t="shared" si="17"/>
        <v>0.2461873638</v>
      </c>
      <c r="M107" s="96"/>
      <c r="N107" s="96">
        <f t="shared" si="18"/>
        <v>-1</v>
      </c>
      <c r="O107" s="97">
        <v>499.0</v>
      </c>
      <c r="P107" s="87" t="s">
        <v>111</v>
      </c>
      <c r="Q107" s="87"/>
      <c r="R107" s="102" t="s">
        <v>111</v>
      </c>
      <c r="S107" s="102"/>
    </row>
    <row r="108" ht="41.25" customHeight="1" outlineLevel="1">
      <c r="A108" s="59"/>
      <c r="G108" s="91" t="s">
        <v>113</v>
      </c>
      <c r="I108" s="81"/>
      <c r="J108" s="81">
        <v>479.0</v>
      </c>
      <c r="K108" s="99">
        <v>117.0</v>
      </c>
      <c r="L108" s="153">
        <f t="shared" si="17"/>
        <v>0.2442588727</v>
      </c>
      <c r="M108" s="100"/>
      <c r="N108" s="96">
        <f t="shared" si="18"/>
        <v>-1</v>
      </c>
      <c r="O108" s="101">
        <v>529.0</v>
      </c>
      <c r="P108" s="79" t="s">
        <v>111</v>
      </c>
      <c r="Q108" s="79" t="s">
        <v>111</v>
      </c>
      <c r="R108" s="103" t="s">
        <v>111</v>
      </c>
      <c r="S108" s="102"/>
    </row>
    <row r="109" ht="41.25" customHeight="1" outlineLevel="1">
      <c r="A109" s="79"/>
      <c r="B109" s="59"/>
      <c r="C109" s="59"/>
      <c r="D109" s="59"/>
      <c r="E109" s="59"/>
      <c r="F109" s="59"/>
      <c r="G109" s="98" t="s">
        <v>114</v>
      </c>
      <c r="H109" s="59"/>
      <c r="I109" s="81">
        <v>0.0</v>
      </c>
      <c r="J109" s="81">
        <v>559.0</v>
      </c>
      <c r="K109" s="99">
        <v>117.0</v>
      </c>
      <c r="L109" s="155">
        <f t="shared" si="17"/>
        <v>0.2093023256</v>
      </c>
      <c r="M109" s="100">
        <f>I109/J109</f>
        <v>0</v>
      </c>
      <c r="N109" s="96">
        <f t="shared" si="18"/>
        <v>-1</v>
      </c>
      <c r="O109" s="101"/>
      <c r="P109" s="79" t="s">
        <v>112</v>
      </c>
      <c r="Q109" s="79"/>
      <c r="R109" s="103" t="s">
        <v>111</v>
      </c>
      <c r="S109" s="102"/>
    </row>
    <row r="110" ht="41.25" customHeight="1" outlineLevel="1">
      <c r="A110" s="87"/>
      <c r="B110" s="88"/>
      <c r="C110" s="89" t="s">
        <v>213</v>
      </c>
      <c r="D110" s="98" t="s">
        <v>210</v>
      </c>
      <c r="E110" s="90" t="s">
        <v>214</v>
      </c>
      <c r="F110" s="117"/>
      <c r="G110" s="91" t="s">
        <v>110</v>
      </c>
      <c r="H110" s="92">
        <v>300.0</v>
      </c>
      <c r="I110" s="93">
        <v>379.0</v>
      </c>
      <c r="J110" s="93">
        <v>399.0</v>
      </c>
      <c r="K110" s="95">
        <v>108.0</v>
      </c>
      <c r="L110" s="153">
        <f t="shared" si="17"/>
        <v>0.2706766917</v>
      </c>
      <c r="M110" s="96">
        <f t="shared" ref="M110:M111" si="25">J110/I110</f>
        <v>1.052770449</v>
      </c>
      <c r="N110" s="96">
        <f t="shared" si="18"/>
        <v>2.509259259</v>
      </c>
      <c r="O110" s="97">
        <v>449.0</v>
      </c>
      <c r="P110" s="87" t="s">
        <v>111</v>
      </c>
      <c r="Q110" s="87"/>
      <c r="R110" s="87" t="s">
        <v>111</v>
      </c>
      <c r="S110" s="87"/>
    </row>
    <row r="111" ht="41.25" customHeight="1" outlineLevel="1">
      <c r="G111" s="91" t="s">
        <v>113</v>
      </c>
      <c r="I111" s="81">
        <v>399.0</v>
      </c>
      <c r="J111" s="81">
        <v>429.0</v>
      </c>
      <c r="K111" s="99">
        <v>119.0</v>
      </c>
      <c r="L111" s="153">
        <f t="shared" si="17"/>
        <v>0.2773892774</v>
      </c>
      <c r="M111" s="96">
        <f t="shared" si="25"/>
        <v>1.07518797</v>
      </c>
      <c r="N111" s="96">
        <f t="shared" si="18"/>
        <v>2.352941176</v>
      </c>
      <c r="O111" s="101">
        <v>479.0</v>
      </c>
      <c r="P111" s="79" t="s">
        <v>111</v>
      </c>
      <c r="Q111" s="79" t="s">
        <v>111</v>
      </c>
      <c r="R111" s="79" t="s">
        <v>111</v>
      </c>
      <c r="S111" s="87"/>
    </row>
    <row r="112" ht="41.25" customHeight="1" outlineLevel="1">
      <c r="A112" s="59"/>
      <c r="B112" s="59"/>
      <c r="C112" s="59"/>
      <c r="D112" s="59"/>
      <c r="E112" s="59"/>
      <c r="F112" s="59"/>
      <c r="G112" s="98" t="s">
        <v>114</v>
      </c>
      <c r="H112" s="59"/>
      <c r="I112" s="81">
        <v>0.0</v>
      </c>
      <c r="J112" s="81">
        <v>479.0</v>
      </c>
      <c r="K112" s="99">
        <v>119.0</v>
      </c>
      <c r="L112" s="155">
        <f t="shared" si="17"/>
        <v>0.248434238</v>
      </c>
      <c r="M112" s="100">
        <f>I112/J112</f>
        <v>0</v>
      </c>
      <c r="N112" s="96">
        <f t="shared" si="18"/>
        <v>-1</v>
      </c>
      <c r="O112" s="101"/>
      <c r="P112" s="79" t="s">
        <v>112</v>
      </c>
      <c r="Q112" s="79"/>
      <c r="R112" s="79" t="s">
        <v>111</v>
      </c>
      <c r="S112" s="87"/>
    </row>
    <row r="113" ht="41.25" customHeight="1" outlineLevel="1">
      <c r="A113" s="87"/>
      <c r="B113" s="88"/>
      <c r="C113" s="89" t="s">
        <v>215</v>
      </c>
      <c r="D113" s="87" t="s">
        <v>210</v>
      </c>
      <c r="E113" s="90" t="s">
        <v>216</v>
      </c>
      <c r="F113" s="105" t="s">
        <v>217</v>
      </c>
      <c r="G113" s="91" t="s">
        <v>110</v>
      </c>
      <c r="H113" s="92">
        <v>300.0</v>
      </c>
      <c r="I113" s="93">
        <v>439.0</v>
      </c>
      <c r="J113" s="93">
        <v>459.0</v>
      </c>
      <c r="K113" s="95">
        <v>148.0</v>
      </c>
      <c r="L113" s="153">
        <f t="shared" si="17"/>
        <v>0.3224400871</v>
      </c>
      <c r="M113" s="96">
        <f t="shared" ref="M113:M114" si="26">J113/I113</f>
        <v>1.045558087</v>
      </c>
      <c r="N113" s="96">
        <f t="shared" si="18"/>
        <v>1.966216216</v>
      </c>
      <c r="O113" s="97">
        <v>499.0</v>
      </c>
      <c r="P113" s="87" t="s">
        <v>111</v>
      </c>
      <c r="Q113" s="87"/>
      <c r="R113" s="87" t="s">
        <v>111</v>
      </c>
      <c r="S113" s="87"/>
    </row>
    <row r="114" ht="41.25" customHeight="1" outlineLevel="1">
      <c r="G114" s="91" t="s">
        <v>113</v>
      </c>
      <c r="I114" s="81">
        <v>359.0</v>
      </c>
      <c r="J114" s="81">
        <v>479.0</v>
      </c>
      <c r="K114" s="99">
        <v>142.0</v>
      </c>
      <c r="L114" s="153">
        <f t="shared" si="17"/>
        <v>0.2964509395</v>
      </c>
      <c r="M114" s="96">
        <f t="shared" si="26"/>
        <v>1.334261838</v>
      </c>
      <c r="N114" s="96">
        <f t="shared" si="18"/>
        <v>1.528169014</v>
      </c>
      <c r="O114" s="101">
        <v>529.0</v>
      </c>
      <c r="P114" s="79" t="s">
        <v>111</v>
      </c>
      <c r="Q114" s="79" t="s">
        <v>111</v>
      </c>
      <c r="R114" s="79" t="s">
        <v>111</v>
      </c>
      <c r="S114" s="87"/>
    </row>
    <row r="115" ht="41.25" customHeight="1" outlineLevel="1">
      <c r="A115" s="59"/>
      <c r="B115" s="59"/>
      <c r="C115" s="59"/>
      <c r="D115" s="59"/>
      <c r="E115" s="59"/>
      <c r="F115" s="59"/>
      <c r="G115" s="98" t="s">
        <v>114</v>
      </c>
      <c r="H115" s="59"/>
      <c r="I115" s="81">
        <v>0.0</v>
      </c>
      <c r="J115" s="81">
        <v>559.0</v>
      </c>
      <c r="K115" s="99">
        <v>142.0</v>
      </c>
      <c r="L115" s="155">
        <f t="shared" si="17"/>
        <v>0.2540250447</v>
      </c>
      <c r="M115" s="100">
        <f>I115/J115</f>
        <v>0</v>
      </c>
      <c r="N115" s="96">
        <f t="shared" si="18"/>
        <v>-1</v>
      </c>
      <c r="O115" s="101"/>
      <c r="P115" s="79" t="s">
        <v>112</v>
      </c>
      <c r="Q115" s="79"/>
      <c r="R115" s="79" t="s">
        <v>111</v>
      </c>
      <c r="S115" s="87"/>
    </row>
    <row r="116" ht="41.25" customHeight="1" outlineLevel="1">
      <c r="A116" s="87"/>
      <c r="B116" s="88"/>
      <c r="C116" s="89" t="s">
        <v>218</v>
      </c>
      <c r="D116" s="87" t="s">
        <v>210</v>
      </c>
      <c r="E116" s="90" t="s">
        <v>219</v>
      </c>
      <c r="F116" s="105"/>
      <c r="G116" s="91" t="s">
        <v>110</v>
      </c>
      <c r="H116" s="92">
        <v>300.0</v>
      </c>
      <c r="I116" s="93">
        <v>599.0</v>
      </c>
      <c r="J116" s="93">
        <v>599.0</v>
      </c>
      <c r="K116" s="95">
        <v>216.0</v>
      </c>
      <c r="L116" s="153">
        <f t="shared" si="17"/>
        <v>0.3606010017</v>
      </c>
      <c r="M116" s="96">
        <f t="shared" ref="M116:M117" si="27">J116/I116</f>
        <v>1</v>
      </c>
      <c r="N116" s="96">
        <f t="shared" si="18"/>
        <v>1.773148148</v>
      </c>
      <c r="O116" s="97">
        <v>649.0</v>
      </c>
      <c r="P116" s="87" t="s">
        <v>111</v>
      </c>
      <c r="Q116" s="87"/>
      <c r="R116" s="87" t="s">
        <v>111</v>
      </c>
      <c r="S116" s="87"/>
    </row>
    <row r="117" ht="41.25" customHeight="1" outlineLevel="1">
      <c r="G117" s="91" t="s">
        <v>113</v>
      </c>
      <c r="I117" s="81">
        <v>659.0</v>
      </c>
      <c r="J117" s="81">
        <v>659.0</v>
      </c>
      <c r="K117" s="99">
        <v>207.0</v>
      </c>
      <c r="L117" s="153">
        <f t="shared" si="17"/>
        <v>0.3141122914</v>
      </c>
      <c r="M117" s="96">
        <f t="shared" si="27"/>
        <v>1</v>
      </c>
      <c r="N117" s="96">
        <f t="shared" si="18"/>
        <v>2.183574879</v>
      </c>
      <c r="O117" s="101">
        <v>699.0</v>
      </c>
      <c r="P117" s="79" t="s">
        <v>111</v>
      </c>
      <c r="Q117" s="79" t="s">
        <v>111</v>
      </c>
      <c r="R117" s="79" t="s">
        <v>111</v>
      </c>
      <c r="S117" s="87"/>
    </row>
    <row r="118" ht="41.25" customHeight="1" outlineLevel="1">
      <c r="A118" s="59"/>
      <c r="B118" s="59"/>
      <c r="C118" s="59"/>
      <c r="D118" s="59"/>
      <c r="E118" s="59"/>
      <c r="F118" s="59"/>
      <c r="G118" s="98" t="s">
        <v>114</v>
      </c>
      <c r="H118" s="59"/>
      <c r="I118" s="81">
        <v>0.0</v>
      </c>
      <c r="J118" s="81">
        <v>699.0</v>
      </c>
      <c r="K118" s="99">
        <v>207.0</v>
      </c>
      <c r="L118" s="155">
        <f t="shared" si="17"/>
        <v>0.2961373391</v>
      </c>
      <c r="M118" s="100">
        <f>I118/J118</f>
        <v>0</v>
      </c>
      <c r="N118" s="96">
        <f t="shared" si="18"/>
        <v>-1</v>
      </c>
      <c r="O118" s="97"/>
      <c r="P118" s="79" t="s">
        <v>112</v>
      </c>
      <c r="Q118" s="79"/>
      <c r="R118" s="79" t="s">
        <v>111</v>
      </c>
      <c r="S118" s="87"/>
    </row>
    <row r="119" ht="41.25" customHeight="1">
      <c r="A119" s="89"/>
      <c r="B119" s="89" t="str">
        <f>"Горячее, паста "&amp;COUNTA(E162:E186)&amp;" шт"</f>
        <v>Горячее, паста 9 шт</v>
      </c>
      <c r="C119" s="89"/>
      <c r="D119" s="87"/>
      <c r="E119" s="90"/>
      <c r="F119" s="90"/>
      <c r="G119" s="87"/>
      <c r="H119" s="156" t="s">
        <v>220</v>
      </c>
      <c r="I119" s="93"/>
      <c r="J119" s="93"/>
      <c r="K119" s="157"/>
      <c r="L119" s="153" t="str">
        <f t="shared" si="17"/>
        <v>#DIV/0!</v>
      </c>
      <c r="M119" s="158"/>
      <c r="N119" s="96" t="str">
        <f t="shared" si="18"/>
        <v>#DIV/0!</v>
      </c>
      <c r="O119" s="159"/>
      <c r="P119" s="89"/>
      <c r="Q119" s="89"/>
      <c r="R119" s="86"/>
      <c r="S119" s="86"/>
    </row>
    <row r="120" ht="41.25" customHeight="1" outlineLevel="1">
      <c r="A120" s="87"/>
      <c r="B120" s="181" t="s">
        <v>221</v>
      </c>
      <c r="C120" s="89" t="s">
        <v>222</v>
      </c>
      <c r="D120" s="87" t="s">
        <v>107</v>
      </c>
      <c r="E120" s="90" t="s">
        <v>223</v>
      </c>
      <c r="F120" s="105" t="s">
        <v>224</v>
      </c>
      <c r="G120" s="91" t="s">
        <v>110</v>
      </c>
      <c r="H120" s="92">
        <v>200.0</v>
      </c>
      <c r="I120" s="93"/>
      <c r="J120" s="93">
        <v>459.0</v>
      </c>
      <c r="K120" s="95">
        <v>105.0</v>
      </c>
      <c r="L120" s="153">
        <f t="shared" si="17"/>
        <v>0.2287581699</v>
      </c>
      <c r="M120" s="96"/>
      <c r="N120" s="96">
        <f t="shared" si="18"/>
        <v>-1</v>
      </c>
      <c r="O120" s="97">
        <v>519.0</v>
      </c>
      <c r="P120" s="87" t="s">
        <v>111</v>
      </c>
      <c r="Q120" s="87"/>
      <c r="R120" s="102" t="s">
        <v>111</v>
      </c>
      <c r="S120" s="102"/>
    </row>
    <row r="121" ht="41.25" customHeight="1" outlineLevel="1">
      <c r="G121" s="91" t="s">
        <v>113</v>
      </c>
      <c r="I121" s="81"/>
      <c r="J121" s="81">
        <v>489.0</v>
      </c>
      <c r="K121" s="99">
        <v>137.0</v>
      </c>
      <c r="L121" s="153">
        <f t="shared" si="17"/>
        <v>0.2801635992</v>
      </c>
      <c r="M121" s="100"/>
      <c r="N121" s="100">
        <f t="shared" si="18"/>
        <v>-1</v>
      </c>
      <c r="O121" s="101">
        <v>549.0</v>
      </c>
      <c r="P121" s="79" t="s">
        <v>111</v>
      </c>
      <c r="Q121" s="79" t="s">
        <v>111</v>
      </c>
      <c r="R121" s="103" t="s">
        <v>111</v>
      </c>
      <c r="S121" s="102"/>
    </row>
    <row r="122" ht="41.25" customHeight="1" outlineLevel="1">
      <c r="A122" s="59"/>
      <c r="B122" s="59"/>
      <c r="C122" s="59"/>
      <c r="D122" s="59"/>
      <c r="E122" s="59"/>
      <c r="F122" s="59"/>
      <c r="G122" s="98" t="s">
        <v>114</v>
      </c>
      <c r="H122" s="59"/>
      <c r="I122" s="81">
        <v>0.0</v>
      </c>
      <c r="J122" s="81">
        <v>539.0</v>
      </c>
      <c r="K122" s="99">
        <v>137.0</v>
      </c>
      <c r="L122" s="155">
        <f t="shared" si="17"/>
        <v>0.254174397</v>
      </c>
      <c r="M122" s="100">
        <f>I122/J122</f>
        <v>0</v>
      </c>
      <c r="N122" s="100">
        <f t="shared" si="18"/>
        <v>-1</v>
      </c>
      <c r="O122" s="101"/>
      <c r="P122" s="79" t="s">
        <v>112</v>
      </c>
      <c r="Q122" s="79"/>
      <c r="R122" s="103" t="s">
        <v>111</v>
      </c>
      <c r="S122" s="102"/>
    </row>
    <row r="123" ht="41.25" customHeight="1" outlineLevel="1">
      <c r="A123" s="87"/>
      <c r="B123" s="181" t="s">
        <v>225</v>
      </c>
      <c r="C123" s="89" t="s">
        <v>226</v>
      </c>
      <c r="D123" s="87" t="s">
        <v>107</v>
      </c>
      <c r="E123" s="90" t="s">
        <v>227</v>
      </c>
      <c r="F123" s="105" t="s">
        <v>228</v>
      </c>
      <c r="G123" s="91" t="s">
        <v>110</v>
      </c>
      <c r="H123" s="92">
        <v>200.0</v>
      </c>
      <c r="I123" s="93"/>
      <c r="J123" s="93">
        <v>479.0</v>
      </c>
      <c r="K123" s="95">
        <v>115.0</v>
      </c>
      <c r="L123" s="153">
        <f t="shared" si="17"/>
        <v>0.2400835073</v>
      </c>
      <c r="M123" s="96"/>
      <c r="N123" s="96">
        <f t="shared" si="18"/>
        <v>-1</v>
      </c>
      <c r="O123" s="97">
        <v>539.0</v>
      </c>
      <c r="P123" s="87" t="s">
        <v>111</v>
      </c>
      <c r="Q123" s="87"/>
      <c r="R123" s="102" t="s">
        <v>111</v>
      </c>
      <c r="S123" s="102"/>
    </row>
    <row r="124" ht="41.25" customHeight="1" outlineLevel="1">
      <c r="G124" s="91" t="s">
        <v>113</v>
      </c>
      <c r="I124" s="81"/>
      <c r="J124" s="81">
        <v>499.0</v>
      </c>
      <c r="K124" s="99">
        <v>153.0</v>
      </c>
      <c r="L124" s="153">
        <f t="shared" si="17"/>
        <v>0.3066132265</v>
      </c>
      <c r="M124" s="100"/>
      <c r="N124" s="100">
        <f t="shared" si="18"/>
        <v>-1</v>
      </c>
      <c r="O124" s="101">
        <v>559.0</v>
      </c>
      <c r="P124" s="79" t="s">
        <v>111</v>
      </c>
      <c r="Q124" s="79" t="s">
        <v>111</v>
      </c>
      <c r="R124" s="103" t="s">
        <v>111</v>
      </c>
      <c r="S124" s="102"/>
    </row>
    <row r="125" ht="41.25" customHeight="1" outlineLevel="1">
      <c r="A125" s="59"/>
      <c r="B125" s="59"/>
      <c r="C125" s="59"/>
      <c r="D125" s="59"/>
      <c r="E125" s="59"/>
      <c r="F125" s="59"/>
      <c r="G125" s="98" t="s">
        <v>114</v>
      </c>
      <c r="H125" s="59"/>
      <c r="I125" s="81">
        <v>0.0</v>
      </c>
      <c r="J125" s="81">
        <v>599.0</v>
      </c>
      <c r="K125" s="99">
        <v>153.0</v>
      </c>
      <c r="L125" s="155">
        <f t="shared" si="17"/>
        <v>0.2554257095</v>
      </c>
      <c r="M125" s="100">
        <f t="shared" ref="M125:M128" si="28">I125/J125</f>
        <v>0</v>
      </c>
      <c r="N125" s="100">
        <f t="shared" si="18"/>
        <v>-1</v>
      </c>
      <c r="O125" s="101"/>
      <c r="P125" s="79" t="s">
        <v>112</v>
      </c>
      <c r="Q125" s="79"/>
      <c r="R125" s="103" t="s">
        <v>111</v>
      </c>
      <c r="S125" s="102"/>
    </row>
    <row r="126" ht="41.25" customHeight="1" outlineLevel="1">
      <c r="A126" s="107"/>
      <c r="B126" s="107"/>
      <c r="C126" s="107"/>
      <c r="D126" s="107"/>
      <c r="E126" s="182" t="s">
        <v>229</v>
      </c>
      <c r="F126" s="182"/>
      <c r="G126" s="106" t="s">
        <v>114</v>
      </c>
      <c r="H126" s="183">
        <v>240.0</v>
      </c>
      <c r="I126" s="184"/>
      <c r="J126" s="81">
        <v>499.0</v>
      </c>
      <c r="K126" s="185">
        <v>99.0</v>
      </c>
      <c r="L126" s="155">
        <f t="shared" si="17"/>
        <v>0.1983967936</v>
      </c>
      <c r="M126" s="186">
        <f t="shared" si="28"/>
        <v>0</v>
      </c>
      <c r="N126" s="186">
        <f t="shared" si="18"/>
        <v>-1</v>
      </c>
      <c r="O126" s="187"/>
      <c r="P126" s="106"/>
      <c r="Q126" s="106"/>
      <c r="R126" s="106"/>
      <c r="S126" s="106"/>
    </row>
    <row r="127" ht="41.25" customHeight="1" outlineLevel="1">
      <c r="A127" s="107"/>
      <c r="B127" s="107"/>
      <c r="C127" s="107"/>
      <c r="D127" s="107"/>
      <c r="E127" s="182" t="s">
        <v>230</v>
      </c>
      <c r="F127" s="182"/>
      <c r="G127" s="106" t="s">
        <v>114</v>
      </c>
      <c r="H127" s="183">
        <v>200.0</v>
      </c>
      <c r="I127" s="184"/>
      <c r="J127" s="81">
        <v>499.0</v>
      </c>
      <c r="K127" s="185">
        <v>99.0</v>
      </c>
      <c r="L127" s="155">
        <f t="shared" si="17"/>
        <v>0.1983967936</v>
      </c>
      <c r="M127" s="186">
        <f t="shared" si="28"/>
        <v>0</v>
      </c>
      <c r="N127" s="186">
        <f t="shared" si="18"/>
        <v>-1</v>
      </c>
      <c r="O127" s="187"/>
      <c r="P127" s="106"/>
      <c r="Q127" s="106"/>
      <c r="R127" s="106"/>
      <c r="S127" s="106"/>
    </row>
    <row r="128" ht="41.25" customHeight="1" outlineLevel="1">
      <c r="A128" s="107"/>
      <c r="B128" s="107"/>
      <c r="C128" s="107"/>
      <c r="D128" s="107"/>
      <c r="E128" s="182" t="s">
        <v>231</v>
      </c>
      <c r="F128" s="182"/>
      <c r="G128" s="106" t="s">
        <v>114</v>
      </c>
      <c r="H128" s="183">
        <v>200.0</v>
      </c>
      <c r="I128" s="184"/>
      <c r="J128" s="81">
        <v>449.0</v>
      </c>
      <c r="K128" s="185">
        <v>73.0</v>
      </c>
      <c r="L128" s="155">
        <f t="shared" si="17"/>
        <v>0.1625835189</v>
      </c>
      <c r="M128" s="186">
        <f t="shared" si="28"/>
        <v>0</v>
      </c>
      <c r="N128" s="186">
        <f t="shared" si="18"/>
        <v>-1</v>
      </c>
      <c r="O128" s="187"/>
      <c r="P128" s="106"/>
      <c r="Q128" s="106"/>
      <c r="R128" s="106"/>
      <c r="S128" s="106"/>
    </row>
    <row r="129" ht="41.25" customHeight="1" outlineLevel="1">
      <c r="A129" s="87"/>
      <c r="B129" s="89" t="s">
        <v>232</v>
      </c>
      <c r="C129" s="89" t="s">
        <v>233</v>
      </c>
      <c r="D129" s="87" t="s">
        <v>234</v>
      </c>
      <c r="E129" s="90" t="s">
        <v>235</v>
      </c>
      <c r="F129" s="105" t="s">
        <v>236</v>
      </c>
      <c r="G129" s="91" t="s">
        <v>110</v>
      </c>
      <c r="H129" s="92">
        <v>320.0</v>
      </c>
      <c r="I129" s="93"/>
      <c r="J129" s="93">
        <v>549.0</v>
      </c>
      <c r="K129" s="95">
        <v>119.0</v>
      </c>
      <c r="L129" s="96">
        <f t="shared" si="17"/>
        <v>0.2167577413</v>
      </c>
      <c r="M129" s="96"/>
      <c r="N129" s="96">
        <f t="shared" si="18"/>
        <v>-1</v>
      </c>
      <c r="O129" s="97">
        <v>599.0</v>
      </c>
      <c r="P129" s="87" t="s">
        <v>111</v>
      </c>
      <c r="Q129" s="87"/>
      <c r="R129" s="102" t="s">
        <v>111</v>
      </c>
      <c r="S129" s="102"/>
    </row>
    <row r="130" ht="41.25" customHeight="1" outlineLevel="1">
      <c r="G130" s="91" t="s">
        <v>113</v>
      </c>
      <c r="I130" s="81"/>
      <c r="J130" s="81">
        <v>599.0</v>
      </c>
      <c r="K130" s="99">
        <v>145.0</v>
      </c>
      <c r="L130" s="96">
        <f t="shared" si="17"/>
        <v>0.2420701169</v>
      </c>
      <c r="M130" s="100"/>
      <c r="N130" s="100">
        <f t="shared" si="18"/>
        <v>-1</v>
      </c>
      <c r="O130" s="101">
        <v>649.0</v>
      </c>
      <c r="P130" s="79" t="s">
        <v>111</v>
      </c>
      <c r="Q130" s="79" t="s">
        <v>111</v>
      </c>
      <c r="R130" s="103" t="s">
        <v>111</v>
      </c>
      <c r="S130" s="102"/>
    </row>
    <row r="131" ht="41.25" customHeight="1" outlineLevel="1">
      <c r="A131" s="59"/>
      <c r="B131" s="59"/>
      <c r="C131" s="59"/>
      <c r="D131" s="59"/>
      <c r="E131" s="59"/>
      <c r="F131" s="59"/>
      <c r="G131" s="98" t="s">
        <v>114</v>
      </c>
      <c r="H131" s="59"/>
      <c r="I131" s="81">
        <v>0.0</v>
      </c>
      <c r="J131" s="81">
        <v>599.0</v>
      </c>
      <c r="K131" s="99">
        <v>145.0</v>
      </c>
      <c r="L131" s="96">
        <f t="shared" si="17"/>
        <v>0.2420701169</v>
      </c>
      <c r="M131" s="100">
        <f>I131/J131</f>
        <v>0</v>
      </c>
      <c r="N131" s="100">
        <f t="shared" si="18"/>
        <v>-1</v>
      </c>
      <c r="O131" s="101"/>
      <c r="P131" s="79" t="s">
        <v>112</v>
      </c>
      <c r="Q131" s="79"/>
      <c r="R131" s="103" t="s">
        <v>111</v>
      </c>
      <c r="S131" s="102"/>
    </row>
    <row r="132" ht="41.25" customHeight="1" outlineLevel="1">
      <c r="A132" s="87"/>
      <c r="B132" s="89" t="s">
        <v>237</v>
      </c>
      <c r="C132" s="89" t="s">
        <v>238</v>
      </c>
      <c r="D132" s="87" t="s">
        <v>234</v>
      </c>
      <c r="E132" s="90" t="s">
        <v>239</v>
      </c>
      <c r="F132" s="105" t="s">
        <v>240</v>
      </c>
      <c r="G132" s="91" t="s">
        <v>110</v>
      </c>
      <c r="H132" s="92">
        <v>300.0</v>
      </c>
      <c r="I132" s="93"/>
      <c r="J132" s="93">
        <v>549.0</v>
      </c>
      <c r="K132" s="95">
        <v>152.0</v>
      </c>
      <c r="L132" s="96">
        <f t="shared" si="17"/>
        <v>0.276867031</v>
      </c>
      <c r="M132" s="96"/>
      <c r="N132" s="96">
        <f t="shared" si="18"/>
        <v>-1</v>
      </c>
      <c r="O132" s="97">
        <v>599.0</v>
      </c>
      <c r="P132" s="87" t="s">
        <v>111</v>
      </c>
      <c r="Q132" s="87"/>
      <c r="R132" s="102" t="s">
        <v>111</v>
      </c>
      <c r="S132" s="102"/>
    </row>
    <row r="133" ht="41.25" customHeight="1" outlineLevel="1">
      <c r="A133" s="59"/>
      <c r="G133" s="91" t="s">
        <v>113</v>
      </c>
      <c r="I133" s="81"/>
      <c r="J133" s="81">
        <v>599.0</v>
      </c>
      <c r="K133" s="99">
        <v>141.0</v>
      </c>
      <c r="L133" s="96">
        <f t="shared" si="17"/>
        <v>0.2353923205</v>
      </c>
      <c r="M133" s="100"/>
      <c r="N133" s="100">
        <f t="shared" si="18"/>
        <v>-1</v>
      </c>
      <c r="O133" s="101">
        <v>649.0</v>
      </c>
      <c r="P133" s="79" t="s">
        <v>111</v>
      </c>
      <c r="Q133" s="79" t="s">
        <v>111</v>
      </c>
      <c r="R133" s="103" t="s">
        <v>111</v>
      </c>
      <c r="S133" s="102"/>
    </row>
    <row r="134" ht="41.25" customHeight="1" outlineLevel="1">
      <c r="A134" s="79"/>
      <c r="B134" s="59"/>
      <c r="C134" s="59"/>
      <c r="D134" s="59"/>
      <c r="E134" s="59"/>
      <c r="F134" s="59"/>
      <c r="G134" s="98" t="s">
        <v>114</v>
      </c>
      <c r="H134" s="59"/>
      <c r="I134" s="81">
        <v>0.0</v>
      </c>
      <c r="J134" s="81">
        <v>599.0</v>
      </c>
      <c r="K134" s="99">
        <v>141.0</v>
      </c>
      <c r="L134" s="96">
        <f t="shared" si="17"/>
        <v>0.2353923205</v>
      </c>
      <c r="M134" s="100">
        <f>I134/J134</f>
        <v>0</v>
      </c>
      <c r="N134" s="100">
        <f t="shared" si="18"/>
        <v>-1</v>
      </c>
      <c r="O134" s="101"/>
      <c r="P134" s="79" t="s">
        <v>112</v>
      </c>
      <c r="Q134" s="79"/>
      <c r="R134" s="103" t="s">
        <v>111</v>
      </c>
      <c r="S134" s="102"/>
    </row>
    <row r="135" ht="41.25" customHeight="1" outlineLevel="1">
      <c r="A135" s="87"/>
      <c r="B135" s="89" t="s">
        <v>241</v>
      </c>
      <c r="C135" s="89"/>
      <c r="D135" s="87" t="s">
        <v>234</v>
      </c>
      <c r="E135" s="90" t="s">
        <v>242</v>
      </c>
      <c r="F135" s="105" t="s">
        <v>243</v>
      </c>
      <c r="G135" s="91" t="s">
        <v>110</v>
      </c>
      <c r="H135" s="92">
        <v>320.0</v>
      </c>
      <c r="I135" s="93">
        <v>489.0</v>
      </c>
      <c r="J135" s="93">
        <v>549.0</v>
      </c>
      <c r="K135" s="95">
        <v>106.0</v>
      </c>
      <c r="L135" s="96">
        <f t="shared" si="17"/>
        <v>0.1930783242</v>
      </c>
      <c r="M135" s="96">
        <f t="shared" ref="M135:M136" si="29">J135/I135</f>
        <v>1.122699387</v>
      </c>
      <c r="N135" s="96">
        <f t="shared" si="18"/>
        <v>3.613207547</v>
      </c>
      <c r="O135" s="97">
        <v>599.0</v>
      </c>
      <c r="P135" s="87" t="s">
        <v>111</v>
      </c>
      <c r="Q135" s="87"/>
      <c r="R135" s="102" t="s">
        <v>111</v>
      </c>
      <c r="S135" s="102"/>
    </row>
    <row r="136" ht="41.25" customHeight="1" outlineLevel="1">
      <c r="A136" s="59"/>
      <c r="G136" s="91" t="s">
        <v>113</v>
      </c>
      <c r="I136" s="81">
        <v>499.0</v>
      </c>
      <c r="J136" s="81">
        <v>599.0</v>
      </c>
      <c r="K136" s="99">
        <v>135.0</v>
      </c>
      <c r="L136" s="96">
        <f t="shared" si="17"/>
        <v>0.225375626</v>
      </c>
      <c r="M136" s="96">
        <f t="shared" si="29"/>
        <v>1.200400802</v>
      </c>
      <c r="N136" s="100">
        <f t="shared" si="18"/>
        <v>2.696296296</v>
      </c>
      <c r="O136" s="101">
        <v>649.0</v>
      </c>
      <c r="P136" s="79" t="s">
        <v>111</v>
      </c>
      <c r="Q136" s="79" t="s">
        <v>111</v>
      </c>
      <c r="R136" s="103" t="s">
        <v>111</v>
      </c>
      <c r="S136" s="102"/>
    </row>
    <row r="137" ht="41.25" customHeight="1" outlineLevel="1">
      <c r="A137" s="79"/>
      <c r="B137" s="59"/>
      <c r="C137" s="59"/>
      <c r="D137" s="59"/>
      <c r="E137" s="59"/>
      <c r="F137" s="59"/>
      <c r="G137" s="98" t="s">
        <v>114</v>
      </c>
      <c r="H137" s="59"/>
      <c r="I137" s="81">
        <v>0.0</v>
      </c>
      <c r="J137" s="81">
        <v>599.0</v>
      </c>
      <c r="K137" s="99">
        <v>135.0</v>
      </c>
      <c r="L137" s="96">
        <f t="shared" si="17"/>
        <v>0.225375626</v>
      </c>
      <c r="M137" s="100">
        <f>I137/J137</f>
        <v>0</v>
      </c>
      <c r="N137" s="100">
        <f t="shared" si="18"/>
        <v>-1</v>
      </c>
      <c r="O137" s="101"/>
      <c r="P137" s="79" t="s">
        <v>112</v>
      </c>
      <c r="Q137" s="79"/>
      <c r="R137" s="103" t="s">
        <v>111</v>
      </c>
      <c r="S137" s="102"/>
    </row>
    <row r="138" ht="41.25" customHeight="1" outlineLevel="1">
      <c r="A138" s="87"/>
      <c r="B138" s="181" t="s">
        <v>244</v>
      </c>
      <c r="C138" s="89" t="s">
        <v>245</v>
      </c>
      <c r="D138" s="87" t="s">
        <v>107</v>
      </c>
      <c r="E138" s="90" t="s">
        <v>246</v>
      </c>
      <c r="F138" s="105" t="s">
        <v>247</v>
      </c>
      <c r="G138" s="91" t="s">
        <v>110</v>
      </c>
      <c r="H138" s="92">
        <v>320.0</v>
      </c>
      <c r="I138" s="93"/>
      <c r="J138" s="94">
        <v>699.0</v>
      </c>
      <c r="K138" s="95">
        <v>185.0</v>
      </c>
      <c r="L138" s="96">
        <f t="shared" si="17"/>
        <v>0.2646638054</v>
      </c>
      <c r="M138" s="96"/>
      <c r="N138" s="96">
        <f t="shared" si="18"/>
        <v>-1</v>
      </c>
      <c r="O138" s="97">
        <v>749.0</v>
      </c>
      <c r="P138" s="87" t="s">
        <v>111</v>
      </c>
      <c r="Q138" s="87"/>
      <c r="R138" s="102" t="s">
        <v>111</v>
      </c>
      <c r="S138" s="102"/>
    </row>
    <row r="139" ht="41.25" customHeight="1" outlineLevel="1">
      <c r="G139" s="91" t="s">
        <v>113</v>
      </c>
      <c r="I139" s="81"/>
      <c r="J139" s="110">
        <v>749.0</v>
      </c>
      <c r="K139" s="99">
        <v>212.0</v>
      </c>
      <c r="L139" s="96">
        <f t="shared" si="17"/>
        <v>0.2830440587</v>
      </c>
      <c r="M139" s="100"/>
      <c r="N139" s="100">
        <f t="shared" si="18"/>
        <v>-1</v>
      </c>
      <c r="O139" s="101">
        <v>799.0</v>
      </c>
      <c r="P139" s="79" t="s">
        <v>111</v>
      </c>
      <c r="Q139" s="79" t="s">
        <v>111</v>
      </c>
      <c r="R139" s="103" t="s">
        <v>111</v>
      </c>
      <c r="S139" s="102"/>
    </row>
    <row r="140" ht="41.25" customHeight="1" outlineLevel="1">
      <c r="A140" s="59"/>
      <c r="B140" s="59"/>
      <c r="C140" s="59"/>
      <c r="D140" s="59"/>
      <c r="E140" s="59"/>
      <c r="F140" s="59"/>
      <c r="G140" s="98" t="s">
        <v>114</v>
      </c>
      <c r="H140" s="59"/>
      <c r="I140" s="81">
        <v>0.0</v>
      </c>
      <c r="J140" s="81">
        <v>849.0</v>
      </c>
      <c r="K140" s="99">
        <v>212.0</v>
      </c>
      <c r="L140" s="96">
        <f t="shared" si="17"/>
        <v>0.2497055359</v>
      </c>
      <c r="M140" s="100">
        <f>I140/J140</f>
        <v>0</v>
      </c>
      <c r="N140" s="100">
        <f t="shared" si="18"/>
        <v>-1</v>
      </c>
      <c r="O140" s="101"/>
      <c r="P140" s="79" t="s">
        <v>112</v>
      </c>
      <c r="Q140" s="79"/>
      <c r="R140" s="103" t="s">
        <v>111</v>
      </c>
      <c r="S140" s="102"/>
    </row>
    <row r="141" ht="41.25" customHeight="1" outlineLevel="1">
      <c r="A141" s="87"/>
      <c r="B141" s="181" t="s">
        <v>248</v>
      </c>
      <c r="C141" s="89" t="s">
        <v>249</v>
      </c>
      <c r="D141" s="87" t="s">
        <v>107</v>
      </c>
      <c r="E141" s="90" t="s">
        <v>250</v>
      </c>
      <c r="F141" s="105" t="s">
        <v>240</v>
      </c>
      <c r="G141" s="91" t="s">
        <v>110</v>
      </c>
      <c r="H141" s="92">
        <v>320.0</v>
      </c>
      <c r="I141" s="93"/>
      <c r="J141" s="94">
        <v>699.0</v>
      </c>
      <c r="K141" s="95">
        <v>219.0</v>
      </c>
      <c r="L141" s="96">
        <f t="shared" si="17"/>
        <v>0.313304721</v>
      </c>
      <c r="M141" s="96"/>
      <c r="N141" s="96">
        <f t="shared" si="18"/>
        <v>-1</v>
      </c>
      <c r="O141" s="97">
        <v>749.0</v>
      </c>
      <c r="P141" s="87" t="s">
        <v>111</v>
      </c>
      <c r="Q141" s="87"/>
      <c r="R141" s="102" t="s">
        <v>111</v>
      </c>
      <c r="S141" s="102"/>
    </row>
    <row r="142" ht="41.25" customHeight="1" outlineLevel="1">
      <c r="G142" s="91" t="s">
        <v>113</v>
      </c>
      <c r="I142" s="81"/>
      <c r="J142" s="110">
        <v>749.0</v>
      </c>
      <c r="K142" s="99">
        <v>219.0</v>
      </c>
      <c r="L142" s="96">
        <f t="shared" si="17"/>
        <v>0.2923898531</v>
      </c>
      <c r="M142" s="100"/>
      <c r="N142" s="100">
        <f t="shared" si="18"/>
        <v>-1</v>
      </c>
      <c r="O142" s="101">
        <v>799.0</v>
      </c>
      <c r="P142" s="79" t="s">
        <v>111</v>
      </c>
      <c r="Q142" s="79" t="s">
        <v>111</v>
      </c>
      <c r="R142" s="103" t="s">
        <v>111</v>
      </c>
      <c r="S142" s="102"/>
    </row>
    <row r="143" ht="41.25" customHeight="1" outlineLevel="1">
      <c r="A143" s="59"/>
      <c r="B143" s="59"/>
      <c r="C143" s="59"/>
      <c r="D143" s="59"/>
      <c r="E143" s="59"/>
      <c r="F143" s="59"/>
      <c r="G143" s="98" t="s">
        <v>114</v>
      </c>
      <c r="H143" s="59"/>
      <c r="I143" s="81">
        <v>0.0</v>
      </c>
      <c r="J143" s="81">
        <v>849.0</v>
      </c>
      <c r="K143" s="99">
        <v>219.0</v>
      </c>
      <c r="L143" s="96">
        <f t="shared" si="17"/>
        <v>0.25795053</v>
      </c>
      <c r="M143" s="100">
        <f>I143/J143</f>
        <v>0</v>
      </c>
      <c r="N143" s="100">
        <f t="shared" si="18"/>
        <v>-1</v>
      </c>
      <c r="O143" s="101"/>
      <c r="P143" s="79" t="s">
        <v>112</v>
      </c>
      <c r="Q143" s="79"/>
      <c r="R143" s="103" t="s">
        <v>111</v>
      </c>
      <c r="S143" s="102"/>
    </row>
    <row r="144" ht="41.25" customHeight="1" outlineLevel="1">
      <c r="A144" s="87"/>
      <c r="B144" s="181" t="s">
        <v>251</v>
      </c>
      <c r="C144" s="89" t="s">
        <v>252</v>
      </c>
      <c r="D144" s="87" t="s">
        <v>253</v>
      </c>
      <c r="E144" s="90" t="s">
        <v>254</v>
      </c>
      <c r="F144" s="105" t="s">
        <v>243</v>
      </c>
      <c r="G144" s="91" t="s">
        <v>110</v>
      </c>
      <c r="H144" s="92">
        <v>320.0</v>
      </c>
      <c r="I144" s="93"/>
      <c r="J144" s="94">
        <v>699.0</v>
      </c>
      <c r="K144" s="95">
        <v>161.0</v>
      </c>
      <c r="L144" s="96">
        <f t="shared" si="17"/>
        <v>0.2303290415</v>
      </c>
      <c r="M144" s="96"/>
      <c r="N144" s="96">
        <f t="shared" si="18"/>
        <v>-1</v>
      </c>
      <c r="O144" s="97">
        <v>749.0</v>
      </c>
      <c r="P144" s="87" t="s">
        <v>111</v>
      </c>
      <c r="Q144" s="87"/>
      <c r="R144" s="102" t="s">
        <v>111</v>
      </c>
      <c r="S144" s="102"/>
    </row>
    <row r="145" ht="41.25" customHeight="1" outlineLevel="1">
      <c r="G145" s="91" t="s">
        <v>113</v>
      </c>
      <c r="I145" s="81"/>
      <c r="J145" s="110">
        <v>749.0</v>
      </c>
      <c r="K145" s="99">
        <v>201.0</v>
      </c>
      <c r="L145" s="96">
        <f t="shared" si="17"/>
        <v>0.2683578104</v>
      </c>
      <c r="M145" s="100"/>
      <c r="N145" s="100">
        <f t="shared" si="18"/>
        <v>-1</v>
      </c>
      <c r="O145" s="101">
        <v>799.0</v>
      </c>
      <c r="P145" s="79" t="s">
        <v>111</v>
      </c>
      <c r="Q145" s="79" t="s">
        <v>111</v>
      </c>
      <c r="R145" s="103" t="s">
        <v>111</v>
      </c>
      <c r="S145" s="102"/>
    </row>
    <row r="146" ht="41.25" customHeight="1" outlineLevel="1">
      <c r="A146" s="59"/>
      <c r="B146" s="59"/>
      <c r="C146" s="59"/>
      <c r="D146" s="59"/>
      <c r="E146" s="59"/>
      <c r="F146" s="59"/>
      <c r="G146" s="98" t="s">
        <v>114</v>
      </c>
      <c r="H146" s="59"/>
      <c r="I146" s="81">
        <v>0.0</v>
      </c>
      <c r="J146" s="81">
        <v>849.0</v>
      </c>
      <c r="K146" s="99">
        <v>201.0</v>
      </c>
      <c r="L146" s="96">
        <f t="shared" si="17"/>
        <v>0.2367491166</v>
      </c>
      <c r="M146" s="100">
        <f>I146/J146</f>
        <v>0</v>
      </c>
      <c r="N146" s="100">
        <f t="shared" si="18"/>
        <v>-1</v>
      </c>
      <c r="O146" s="101"/>
      <c r="P146" s="79" t="s">
        <v>112</v>
      </c>
      <c r="Q146" s="79"/>
      <c r="R146" s="103" t="s">
        <v>111</v>
      </c>
      <c r="S146" s="102"/>
    </row>
    <row r="147" ht="41.25" customHeight="1" outlineLevel="1">
      <c r="A147" s="87"/>
      <c r="B147" s="181" t="s">
        <v>255</v>
      </c>
      <c r="C147" s="89" t="s">
        <v>256</v>
      </c>
      <c r="D147" s="87" t="s">
        <v>257</v>
      </c>
      <c r="E147" s="90" t="s">
        <v>258</v>
      </c>
      <c r="F147" s="105" t="s">
        <v>259</v>
      </c>
      <c r="G147" s="91" t="s">
        <v>110</v>
      </c>
      <c r="H147" s="92">
        <v>280.0</v>
      </c>
      <c r="I147" s="93"/>
      <c r="J147" s="93">
        <v>469.0</v>
      </c>
      <c r="K147" s="95">
        <v>121.0</v>
      </c>
      <c r="L147" s="96">
        <f t="shared" si="17"/>
        <v>0.2579957356</v>
      </c>
      <c r="M147" s="96"/>
      <c r="N147" s="96">
        <f t="shared" si="18"/>
        <v>-1</v>
      </c>
      <c r="O147" s="97">
        <v>529.0</v>
      </c>
      <c r="P147" s="87" t="s">
        <v>111</v>
      </c>
      <c r="Q147" s="87"/>
      <c r="R147" s="102" t="s">
        <v>111</v>
      </c>
      <c r="S147" s="102"/>
    </row>
    <row r="148" ht="41.25" customHeight="1" outlineLevel="1">
      <c r="A148" s="59"/>
      <c r="G148" s="91" t="s">
        <v>113</v>
      </c>
      <c r="I148" s="81"/>
      <c r="J148" s="81">
        <v>499.0</v>
      </c>
      <c r="K148" s="99">
        <v>125.0</v>
      </c>
      <c r="L148" s="96">
        <f t="shared" si="17"/>
        <v>0.250501002</v>
      </c>
      <c r="M148" s="100"/>
      <c r="N148" s="100">
        <f t="shared" si="18"/>
        <v>-1</v>
      </c>
      <c r="O148" s="101">
        <v>559.0</v>
      </c>
      <c r="P148" s="79" t="s">
        <v>111</v>
      </c>
      <c r="Q148" s="79" t="s">
        <v>111</v>
      </c>
      <c r="R148" s="103" t="s">
        <v>111</v>
      </c>
      <c r="S148" s="102"/>
    </row>
    <row r="149" ht="41.25" customHeight="1" outlineLevel="1">
      <c r="A149" s="79"/>
      <c r="B149" s="59"/>
      <c r="C149" s="59"/>
      <c r="D149" s="59"/>
      <c r="E149" s="59"/>
      <c r="F149" s="59"/>
      <c r="G149" s="98" t="s">
        <v>114</v>
      </c>
      <c r="H149" s="59"/>
      <c r="I149" s="81">
        <v>0.0</v>
      </c>
      <c r="J149" s="81">
        <v>549.0</v>
      </c>
      <c r="K149" s="99">
        <v>125.0</v>
      </c>
      <c r="L149" s="96">
        <f t="shared" si="17"/>
        <v>0.2276867031</v>
      </c>
      <c r="M149" s="100">
        <f>I149/J149</f>
        <v>0</v>
      </c>
      <c r="N149" s="100">
        <f t="shared" si="18"/>
        <v>-1</v>
      </c>
      <c r="O149" s="101"/>
      <c r="P149" s="79" t="s">
        <v>112</v>
      </c>
      <c r="Q149" s="79"/>
      <c r="R149" s="103" t="s">
        <v>111</v>
      </c>
      <c r="S149" s="102"/>
    </row>
    <row r="150" ht="41.25" customHeight="1" outlineLevel="1">
      <c r="A150" s="87"/>
      <c r="B150" s="181" t="s">
        <v>260</v>
      </c>
      <c r="C150" s="89" t="s">
        <v>261</v>
      </c>
      <c r="D150" s="87" t="s">
        <v>129</v>
      </c>
      <c r="E150" s="105" t="s">
        <v>262</v>
      </c>
      <c r="F150" s="105" t="s">
        <v>263</v>
      </c>
      <c r="G150" s="91" t="s">
        <v>110</v>
      </c>
      <c r="H150" s="92">
        <v>250.0</v>
      </c>
      <c r="I150" s="93"/>
      <c r="J150" s="93">
        <v>659.0</v>
      </c>
      <c r="K150" s="95">
        <v>202.0</v>
      </c>
      <c r="L150" s="96">
        <f t="shared" si="17"/>
        <v>0.3065250379</v>
      </c>
      <c r="M150" s="96"/>
      <c r="N150" s="96">
        <f t="shared" si="18"/>
        <v>-1</v>
      </c>
      <c r="O150" s="97">
        <v>719.0</v>
      </c>
      <c r="P150" s="87" t="s">
        <v>111</v>
      </c>
      <c r="Q150" s="87"/>
      <c r="R150" s="102" t="s">
        <v>111</v>
      </c>
      <c r="S150" s="102"/>
    </row>
    <row r="151" ht="41.25" customHeight="1" outlineLevel="1">
      <c r="A151" s="59"/>
      <c r="G151" s="91" t="s">
        <v>113</v>
      </c>
      <c r="I151" s="81"/>
      <c r="J151" s="81">
        <v>689.0</v>
      </c>
      <c r="K151" s="99">
        <v>208.0</v>
      </c>
      <c r="L151" s="96">
        <f t="shared" si="17"/>
        <v>0.3018867925</v>
      </c>
      <c r="M151" s="100"/>
      <c r="N151" s="100">
        <f t="shared" si="18"/>
        <v>-1</v>
      </c>
      <c r="O151" s="101">
        <v>739.0</v>
      </c>
      <c r="P151" s="79" t="s">
        <v>111</v>
      </c>
      <c r="Q151" s="79" t="s">
        <v>111</v>
      </c>
      <c r="R151" s="103" t="s">
        <v>111</v>
      </c>
      <c r="S151" s="102"/>
    </row>
    <row r="152" ht="41.25" customHeight="1" outlineLevel="1">
      <c r="A152" s="79"/>
      <c r="B152" s="59"/>
      <c r="C152" s="59"/>
      <c r="D152" s="59"/>
      <c r="E152" s="59"/>
      <c r="F152" s="59"/>
      <c r="G152" s="98" t="s">
        <v>114</v>
      </c>
      <c r="H152" s="59"/>
      <c r="I152" s="81">
        <v>0.0</v>
      </c>
      <c r="J152" s="81">
        <v>699.0</v>
      </c>
      <c r="K152" s="99">
        <v>208.0</v>
      </c>
      <c r="L152" s="96">
        <f t="shared" si="17"/>
        <v>0.2975679542</v>
      </c>
      <c r="M152" s="100">
        <f>I152/J152</f>
        <v>0</v>
      </c>
      <c r="N152" s="100">
        <f t="shared" si="18"/>
        <v>-1</v>
      </c>
      <c r="O152" s="101"/>
      <c r="P152" s="79" t="s">
        <v>112</v>
      </c>
      <c r="Q152" s="79"/>
      <c r="R152" s="103" t="s">
        <v>111</v>
      </c>
      <c r="S152" s="102"/>
    </row>
    <row r="153" ht="41.25" customHeight="1" outlineLevel="1">
      <c r="A153" s="87"/>
      <c r="B153" s="181" t="s">
        <v>264</v>
      </c>
      <c r="C153" s="89" t="s">
        <v>265</v>
      </c>
      <c r="D153" s="87" t="s">
        <v>176</v>
      </c>
      <c r="E153" s="105" t="s">
        <v>266</v>
      </c>
      <c r="F153" s="105"/>
      <c r="G153" s="91" t="s">
        <v>110</v>
      </c>
      <c r="H153" s="92">
        <v>250.0</v>
      </c>
      <c r="I153" s="93"/>
      <c r="J153" s="93">
        <v>659.0</v>
      </c>
      <c r="K153" s="95">
        <v>195.0</v>
      </c>
      <c r="L153" s="96">
        <f t="shared" si="17"/>
        <v>0.2959028832</v>
      </c>
      <c r="M153" s="96"/>
      <c r="N153" s="96">
        <f t="shared" si="18"/>
        <v>-1</v>
      </c>
      <c r="O153" s="97">
        <v>719.0</v>
      </c>
      <c r="P153" s="87" t="s">
        <v>111</v>
      </c>
      <c r="Q153" s="87"/>
      <c r="R153" s="102" t="s">
        <v>111</v>
      </c>
      <c r="S153" s="102"/>
    </row>
    <row r="154" ht="41.25" customHeight="1" outlineLevel="1">
      <c r="A154" s="59"/>
      <c r="G154" s="91" t="s">
        <v>113</v>
      </c>
      <c r="I154" s="81"/>
      <c r="J154" s="81">
        <v>689.0</v>
      </c>
      <c r="K154" s="99">
        <v>205.0</v>
      </c>
      <c r="L154" s="96">
        <f t="shared" si="17"/>
        <v>0.297532656</v>
      </c>
      <c r="M154" s="100"/>
      <c r="N154" s="100">
        <f t="shared" si="18"/>
        <v>-1</v>
      </c>
      <c r="O154" s="101">
        <v>739.0</v>
      </c>
      <c r="P154" s="79" t="s">
        <v>111</v>
      </c>
      <c r="Q154" s="79" t="s">
        <v>111</v>
      </c>
      <c r="R154" s="103" t="s">
        <v>111</v>
      </c>
      <c r="S154" s="102"/>
    </row>
    <row r="155" ht="41.25" customHeight="1" outlineLevel="1">
      <c r="A155" s="79"/>
      <c r="B155" s="59"/>
      <c r="C155" s="59"/>
      <c r="D155" s="59"/>
      <c r="E155" s="59"/>
      <c r="F155" s="59"/>
      <c r="G155" s="98" t="s">
        <v>114</v>
      </c>
      <c r="H155" s="59"/>
      <c r="I155" s="81">
        <v>0.0</v>
      </c>
      <c r="J155" s="81">
        <v>699.0</v>
      </c>
      <c r="K155" s="99">
        <v>205.0</v>
      </c>
      <c r="L155" s="96">
        <f t="shared" si="17"/>
        <v>0.2932761087</v>
      </c>
      <c r="M155" s="100">
        <f>I155/J155</f>
        <v>0</v>
      </c>
      <c r="N155" s="100">
        <f t="shared" si="18"/>
        <v>-1</v>
      </c>
      <c r="O155" s="101"/>
      <c r="P155" s="79" t="s">
        <v>112</v>
      </c>
      <c r="Q155" s="79"/>
      <c r="R155" s="103" t="s">
        <v>111</v>
      </c>
      <c r="S155" s="102"/>
    </row>
    <row r="156" ht="41.25" customHeight="1" outlineLevel="1">
      <c r="A156" s="87"/>
      <c r="B156" s="181" t="s">
        <v>267</v>
      </c>
      <c r="C156" s="89" t="s">
        <v>268</v>
      </c>
      <c r="D156" s="87" t="s">
        <v>269</v>
      </c>
      <c r="E156" s="90" t="s">
        <v>270</v>
      </c>
      <c r="F156" s="105"/>
      <c r="G156" s="91" t="s">
        <v>110</v>
      </c>
      <c r="H156" s="92">
        <v>320.0</v>
      </c>
      <c r="I156" s="93"/>
      <c r="J156" s="93">
        <v>659.0</v>
      </c>
      <c r="K156" s="95">
        <v>217.0</v>
      </c>
      <c r="L156" s="96">
        <f t="shared" si="17"/>
        <v>0.3292867982</v>
      </c>
      <c r="M156" s="96"/>
      <c r="N156" s="96">
        <f t="shared" si="18"/>
        <v>-1</v>
      </c>
      <c r="O156" s="97">
        <v>719.0</v>
      </c>
      <c r="P156" s="87" t="s">
        <v>111</v>
      </c>
      <c r="Q156" s="87"/>
      <c r="R156" s="102" t="s">
        <v>111</v>
      </c>
      <c r="S156" s="102"/>
    </row>
    <row r="157" ht="41.25" customHeight="1" outlineLevel="1">
      <c r="G157" s="91" t="s">
        <v>113</v>
      </c>
      <c r="I157" s="81"/>
      <c r="J157" s="81">
        <v>699.0</v>
      </c>
      <c r="K157" s="99">
        <v>217.0</v>
      </c>
      <c r="L157" s="96">
        <f t="shared" si="17"/>
        <v>0.3104434907</v>
      </c>
      <c r="M157" s="100"/>
      <c r="N157" s="100">
        <f t="shared" si="18"/>
        <v>-1</v>
      </c>
      <c r="O157" s="101">
        <v>739.0</v>
      </c>
      <c r="P157" s="79" t="s">
        <v>111</v>
      </c>
      <c r="Q157" s="79" t="s">
        <v>111</v>
      </c>
      <c r="R157" s="103" t="s">
        <v>111</v>
      </c>
      <c r="S157" s="102"/>
    </row>
    <row r="158" ht="41.25" customHeight="1" outlineLevel="1">
      <c r="A158" s="59"/>
      <c r="B158" s="59"/>
      <c r="C158" s="59"/>
      <c r="D158" s="59"/>
      <c r="E158" s="59"/>
      <c r="F158" s="59"/>
      <c r="G158" s="98" t="s">
        <v>114</v>
      </c>
      <c r="H158" s="59"/>
      <c r="I158" s="81">
        <v>0.0</v>
      </c>
      <c r="J158" s="81">
        <v>849.0</v>
      </c>
      <c r="K158" s="99">
        <v>217.0</v>
      </c>
      <c r="L158" s="96">
        <f t="shared" si="17"/>
        <v>0.2555948174</v>
      </c>
      <c r="M158" s="100">
        <f>I158/J158</f>
        <v>0</v>
      </c>
      <c r="N158" s="100">
        <f t="shared" si="18"/>
        <v>-1</v>
      </c>
      <c r="O158" s="101"/>
      <c r="P158" s="79" t="s">
        <v>112</v>
      </c>
      <c r="Q158" s="79"/>
      <c r="R158" s="103" t="s">
        <v>111</v>
      </c>
      <c r="S158" s="102"/>
    </row>
    <row r="159" ht="41.25" customHeight="1" outlineLevel="1">
      <c r="A159" s="87"/>
      <c r="B159" s="181" t="s">
        <v>271</v>
      </c>
      <c r="C159" s="89" t="s">
        <v>272</v>
      </c>
      <c r="D159" s="87" t="s">
        <v>273</v>
      </c>
      <c r="E159" s="90" t="s">
        <v>274</v>
      </c>
      <c r="F159" s="105" t="s">
        <v>275</v>
      </c>
      <c r="G159" s="91" t="s">
        <v>110</v>
      </c>
      <c r="H159" s="92">
        <v>350.0</v>
      </c>
      <c r="I159" s="93"/>
      <c r="J159" s="93">
        <v>679.0</v>
      </c>
      <c r="K159" s="95">
        <v>165.0</v>
      </c>
      <c r="L159" s="96">
        <f t="shared" si="17"/>
        <v>0.2430044183</v>
      </c>
      <c r="M159" s="96"/>
      <c r="N159" s="96">
        <f t="shared" si="18"/>
        <v>-1</v>
      </c>
      <c r="O159" s="97">
        <v>729.0</v>
      </c>
      <c r="P159" s="87" t="s">
        <v>111</v>
      </c>
      <c r="Q159" s="87"/>
      <c r="R159" s="102" t="s">
        <v>111</v>
      </c>
      <c r="S159" s="102"/>
    </row>
    <row r="160" ht="41.25" customHeight="1" outlineLevel="1">
      <c r="G160" s="91" t="s">
        <v>113</v>
      </c>
      <c r="I160" s="81"/>
      <c r="J160" s="81">
        <v>739.0</v>
      </c>
      <c r="K160" s="99">
        <v>179.0</v>
      </c>
      <c r="L160" s="96">
        <f t="shared" si="17"/>
        <v>0.2422192152</v>
      </c>
      <c r="M160" s="100"/>
      <c r="N160" s="100">
        <f t="shared" si="18"/>
        <v>-1</v>
      </c>
      <c r="O160" s="101">
        <v>799.0</v>
      </c>
      <c r="P160" s="79" t="s">
        <v>111</v>
      </c>
      <c r="Q160" s="79" t="s">
        <v>111</v>
      </c>
      <c r="R160" s="103" t="s">
        <v>111</v>
      </c>
      <c r="S160" s="102"/>
    </row>
    <row r="161" ht="41.25" customHeight="1" outlineLevel="1">
      <c r="A161" s="59"/>
      <c r="B161" s="59"/>
      <c r="C161" s="59"/>
      <c r="D161" s="59"/>
      <c r="E161" s="59"/>
      <c r="F161" s="59"/>
      <c r="G161" s="98" t="s">
        <v>114</v>
      </c>
      <c r="H161" s="59"/>
      <c r="I161" s="81">
        <v>0.0</v>
      </c>
      <c r="J161" s="81">
        <v>759.0</v>
      </c>
      <c r="K161" s="99">
        <v>179.0</v>
      </c>
      <c r="L161" s="96">
        <f t="shared" si="17"/>
        <v>0.2358366271</v>
      </c>
      <c r="M161" s="100">
        <f t="shared" ref="M161:M164" si="30">I161/J161</f>
        <v>0</v>
      </c>
      <c r="N161" s="100">
        <f t="shared" si="18"/>
        <v>-1</v>
      </c>
      <c r="O161" s="101"/>
      <c r="P161" s="79" t="s">
        <v>112</v>
      </c>
      <c r="Q161" s="79"/>
      <c r="R161" s="103" t="s">
        <v>111</v>
      </c>
      <c r="S161" s="102"/>
    </row>
    <row r="162" ht="41.25" customHeight="1" outlineLevel="1">
      <c r="A162" s="87"/>
      <c r="B162" s="119"/>
      <c r="C162" s="89" t="s">
        <v>276</v>
      </c>
      <c r="D162" s="87"/>
      <c r="E162" s="90" t="s">
        <v>277</v>
      </c>
      <c r="F162" s="105"/>
      <c r="G162" s="91" t="s">
        <v>110</v>
      </c>
      <c r="H162" s="92">
        <v>230.0</v>
      </c>
      <c r="I162" s="93">
        <v>459.0</v>
      </c>
      <c r="J162" s="94">
        <v>479.0</v>
      </c>
      <c r="K162" s="95">
        <v>150.0</v>
      </c>
      <c r="L162" s="96">
        <f>K162/I162</f>
        <v>0.3267973856</v>
      </c>
      <c r="M162" s="96">
        <f t="shared" si="30"/>
        <v>0.9582463466</v>
      </c>
      <c r="N162" s="96">
        <f t="shared" si="18"/>
        <v>2.06</v>
      </c>
      <c r="O162" s="97">
        <v>519.0</v>
      </c>
      <c r="P162" s="87" t="s">
        <v>111</v>
      </c>
      <c r="Q162" s="87"/>
      <c r="R162" s="87" t="s">
        <v>111</v>
      </c>
      <c r="S162" s="87"/>
    </row>
    <row r="163" ht="41.25" customHeight="1" outlineLevel="1">
      <c r="G163" s="91" t="s">
        <v>113</v>
      </c>
      <c r="I163" s="93">
        <v>469.0</v>
      </c>
      <c r="J163" s="94">
        <v>499.0</v>
      </c>
      <c r="K163" s="95">
        <v>117.0</v>
      </c>
      <c r="L163" s="96">
        <f t="shared" ref="L163:L208" si="31">K163/J163</f>
        <v>0.2344689379</v>
      </c>
      <c r="M163" s="96">
        <f t="shared" si="30"/>
        <v>0.9398797595</v>
      </c>
      <c r="N163" s="96">
        <f t="shared" si="18"/>
        <v>3.008547009</v>
      </c>
      <c r="O163" s="97">
        <v>539.0</v>
      </c>
      <c r="P163" s="87" t="s">
        <v>111</v>
      </c>
      <c r="Q163" s="87" t="s">
        <v>111</v>
      </c>
      <c r="R163" s="87" t="s">
        <v>111</v>
      </c>
      <c r="S163" s="87"/>
    </row>
    <row r="164" ht="41.25" customHeight="1" outlineLevel="1">
      <c r="A164" s="59"/>
      <c r="B164" s="59"/>
      <c r="C164" s="59"/>
      <c r="D164" s="59"/>
      <c r="E164" s="59"/>
      <c r="F164" s="59"/>
      <c r="G164" s="98" t="s">
        <v>114</v>
      </c>
      <c r="H164" s="59"/>
      <c r="I164" s="81">
        <v>0.0</v>
      </c>
      <c r="J164" s="81">
        <v>549.0</v>
      </c>
      <c r="K164" s="95">
        <v>117.0</v>
      </c>
      <c r="L164" s="96">
        <f t="shared" si="31"/>
        <v>0.2131147541</v>
      </c>
      <c r="M164" s="100">
        <f t="shared" si="30"/>
        <v>0</v>
      </c>
      <c r="N164" s="96">
        <f t="shared" si="18"/>
        <v>-1</v>
      </c>
      <c r="O164" s="97"/>
      <c r="P164" s="79" t="s">
        <v>112</v>
      </c>
      <c r="Q164" s="79"/>
      <c r="R164" s="79" t="s">
        <v>111</v>
      </c>
      <c r="S164" s="87"/>
    </row>
    <row r="165" ht="41.25" customHeight="1" outlineLevel="1">
      <c r="A165" s="87"/>
      <c r="B165" s="112" t="s">
        <v>278</v>
      </c>
      <c r="C165" s="89" t="s">
        <v>279</v>
      </c>
      <c r="D165" s="87" t="s">
        <v>129</v>
      </c>
      <c r="E165" s="90" t="s">
        <v>280</v>
      </c>
      <c r="F165" s="105"/>
      <c r="G165" s="91" t="s">
        <v>110</v>
      </c>
      <c r="H165" s="92">
        <v>250.0</v>
      </c>
      <c r="I165" s="93">
        <v>439.0</v>
      </c>
      <c r="J165" s="94">
        <v>479.0</v>
      </c>
      <c r="K165" s="95">
        <v>120.0</v>
      </c>
      <c r="L165" s="96">
        <f t="shared" si="31"/>
        <v>0.2505219207</v>
      </c>
      <c r="M165" s="96">
        <f t="shared" ref="M165:M166" si="32">J165/I165</f>
        <v>1.091116173</v>
      </c>
      <c r="N165" s="96">
        <f t="shared" si="18"/>
        <v>2.658333333</v>
      </c>
      <c r="O165" s="97">
        <v>519.0</v>
      </c>
      <c r="P165" s="87" t="s">
        <v>111</v>
      </c>
      <c r="Q165" s="87"/>
      <c r="R165" s="106" t="s">
        <v>111</v>
      </c>
      <c r="S165" s="106"/>
    </row>
    <row r="166" ht="41.25" customHeight="1" outlineLevel="1">
      <c r="G166" s="91" t="s">
        <v>113</v>
      </c>
      <c r="I166" s="81">
        <v>459.0</v>
      </c>
      <c r="J166" s="110">
        <v>499.0</v>
      </c>
      <c r="K166" s="99">
        <v>135.0</v>
      </c>
      <c r="L166" s="96">
        <f t="shared" si="31"/>
        <v>0.2705410822</v>
      </c>
      <c r="M166" s="96">
        <f t="shared" si="32"/>
        <v>1.087145969</v>
      </c>
      <c r="N166" s="100">
        <f t="shared" si="18"/>
        <v>2.4</v>
      </c>
      <c r="O166" s="101">
        <v>539.0</v>
      </c>
      <c r="P166" s="79" t="s">
        <v>111</v>
      </c>
      <c r="Q166" s="79" t="s">
        <v>111</v>
      </c>
      <c r="R166" s="107" t="s">
        <v>111</v>
      </c>
      <c r="S166" s="106"/>
    </row>
    <row r="167" ht="41.25" customHeight="1" outlineLevel="1">
      <c r="A167" s="59"/>
      <c r="B167" s="59"/>
      <c r="C167" s="59"/>
      <c r="D167" s="59"/>
      <c r="E167" s="59"/>
      <c r="F167" s="59"/>
      <c r="G167" s="98" t="s">
        <v>114</v>
      </c>
      <c r="H167" s="59"/>
      <c r="I167" s="81">
        <v>0.0</v>
      </c>
      <c r="J167" s="81">
        <v>549.0</v>
      </c>
      <c r="K167" s="99">
        <v>135.0</v>
      </c>
      <c r="L167" s="96">
        <f t="shared" si="31"/>
        <v>0.2459016393</v>
      </c>
      <c r="M167" s="100">
        <f>I167/J167</f>
        <v>0</v>
      </c>
      <c r="N167" s="96">
        <f t="shared" si="18"/>
        <v>-1</v>
      </c>
      <c r="O167" s="97"/>
      <c r="P167" s="79" t="s">
        <v>112</v>
      </c>
      <c r="Q167" s="79"/>
      <c r="R167" s="188" t="s">
        <v>111</v>
      </c>
      <c r="S167" s="87"/>
    </row>
    <row r="168" ht="41.25" customHeight="1" outlineLevel="1">
      <c r="A168" s="87"/>
      <c r="B168" s="112" t="s">
        <v>281</v>
      </c>
      <c r="C168" s="89" t="s">
        <v>282</v>
      </c>
      <c r="D168" s="87" t="s">
        <v>176</v>
      </c>
      <c r="E168" s="90" t="s">
        <v>283</v>
      </c>
      <c r="F168" s="105"/>
      <c r="G168" s="91" t="s">
        <v>110</v>
      </c>
      <c r="H168" s="92">
        <v>250.0</v>
      </c>
      <c r="I168" s="93">
        <v>589.0</v>
      </c>
      <c r="J168" s="93">
        <v>599.0</v>
      </c>
      <c r="K168" s="95">
        <v>205.0</v>
      </c>
      <c r="L168" s="96">
        <f t="shared" si="31"/>
        <v>0.3422370618</v>
      </c>
      <c r="M168" s="96">
        <f t="shared" ref="M168:M169" si="33">J168/I168</f>
        <v>1.016977929</v>
      </c>
      <c r="N168" s="96">
        <f t="shared" si="18"/>
        <v>1.873170732</v>
      </c>
      <c r="O168" s="97">
        <v>649.0</v>
      </c>
      <c r="P168" s="87" t="s">
        <v>111</v>
      </c>
      <c r="Q168" s="87"/>
      <c r="R168" s="106" t="s">
        <v>111</v>
      </c>
      <c r="S168" s="106"/>
    </row>
    <row r="169" ht="41.25" customHeight="1" outlineLevel="1">
      <c r="G169" s="91" t="s">
        <v>113</v>
      </c>
      <c r="I169" s="81">
        <v>599.0</v>
      </c>
      <c r="J169" s="81">
        <v>659.0</v>
      </c>
      <c r="K169" s="99">
        <v>217.0</v>
      </c>
      <c r="L169" s="96">
        <f t="shared" si="31"/>
        <v>0.3292867982</v>
      </c>
      <c r="M169" s="96">
        <f t="shared" si="33"/>
        <v>1.100166945</v>
      </c>
      <c r="N169" s="100">
        <f t="shared" si="18"/>
        <v>1.760368664</v>
      </c>
      <c r="O169" s="101">
        <v>699.0</v>
      </c>
      <c r="P169" s="79" t="s">
        <v>111</v>
      </c>
      <c r="Q169" s="79" t="s">
        <v>111</v>
      </c>
      <c r="R169" s="107" t="s">
        <v>111</v>
      </c>
      <c r="S169" s="106"/>
    </row>
    <row r="170" ht="41.25" customHeight="1" outlineLevel="1">
      <c r="A170" s="59"/>
      <c r="B170" s="59"/>
      <c r="C170" s="59"/>
      <c r="D170" s="59"/>
      <c r="E170" s="59"/>
      <c r="F170" s="59"/>
      <c r="G170" s="98" t="s">
        <v>114</v>
      </c>
      <c r="H170" s="59"/>
      <c r="I170" s="81">
        <v>0.0</v>
      </c>
      <c r="J170" s="81">
        <v>699.0</v>
      </c>
      <c r="K170" s="99">
        <v>217.0</v>
      </c>
      <c r="L170" s="96">
        <f t="shared" si="31"/>
        <v>0.3104434907</v>
      </c>
      <c r="M170" s="100">
        <f>I170/J170</f>
        <v>0</v>
      </c>
      <c r="N170" s="96">
        <f t="shared" si="18"/>
        <v>-1</v>
      </c>
      <c r="O170" s="97"/>
      <c r="P170" s="79" t="s">
        <v>112</v>
      </c>
      <c r="Q170" s="79"/>
      <c r="R170" s="79" t="s">
        <v>111</v>
      </c>
      <c r="S170" s="87"/>
    </row>
    <row r="171" ht="41.25" customHeight="1" outlineLevel="1">
      <c r="A171" s="87"/>
      <c r="B171" s="119"/>
      <c r="C171" s="181" t="s">
        <v>284</v>
      </c>
      <c r="D171" s="87" t="s">
        <v>257</v>
      </c>
      <c r="E171" s="105" t="s">
        <v>285</v>
      </c>
      <c r="F171" s="105" t="s">
        <v>286</v>
      </c>
      <c r="G171" s="91" t="s">
        <v>110</v>
      </c>
      <c r="H171" s="92">
        <v>250.0</v>
      </c>
      <c r="I171" s="93">
        <v>479.0</v>
      </c>
      <c r="J171" s="93">
        <v>489.0</v>
      </c>
      <c r="K171" s="95">
        <v>115.0</v>
      </c>
      <c r="L171" s="96">
        <f t="shared" si="31"/>
        <v>0.2351738241</v>
      </c>
      <c r="M171" s="96">
        <f t="shared" ref="M171:M172" si="34">J171/I171</f>
        <v>1.020876827</v>
      </c>
      <c r="N171" s="96">
        <f t="shared" si="18"/>
        <v>3.165217391</v>
      </c>
      <c r="O171" s="97">
        <v>539.0</v>
      </c>
      <c r="P171" s="87" t="s">
        <v>111</v>
      </c>
      <c r="Q171" s="87"/>
      <c r="R171" s="87" t="s">
        <v>111</v>
      </c>
      <c r="S171" s="87"/>
    </row>
    <row r="172" ht="41.25" customHeight="1" outlineLevel="1">
      <c r="G172" s="91" t="s">
        <v>113</v>
      </c>
      <c r="I172" s="81">
        <v>489.0</v>
      </c>
      <c r="J172" s="81">
        <v>539.0</v>
      </c>
      <c r="K172" s="99">
        <v>121.0</v>
      </c>
      <c r="L172" s="96">
        <f t="shared" si="31"/>
        <v>0.2244897959</v>
      </c>
      <c r="M172" s="96">
        <f t="shared" si="34"/>
        <v>1.102249489</v>
      </c>
      <c r="N172" s="100">
        <f t="shared" si="18"/>
        <v>3.041322314</v>
      </c>
      <c r="O172" s="101">
        <v>589.0</v>
      </c>
      <c r="P172" s="79" t="s">
        <v>111</v>
      </c>
      <c r="Q172" s="79" t="s">
        <v>111</v>
      </c>
      <c r="R172" s="79" t="s">
        <v>111</v>
      </c>
      <c r="S172" s="87"/>
    </row>
    <row r="173" ht="41.25" customHeight="1" outlineLevel="1">
      <c r="A173" s="59"/>
      <c r="B173" s="59"/>
      <c r="C173" s="59"/>
      <c r="D173" s="59"/>
      <c r="E173" s="59"/>
      <c r="F173" s="59"/>
      <c r="G173" s="98" t="s">
        <v>114</v>
      </c>
      <c r="H173" s="59"/>
      <c r="I173" s="81">
        <v>0.0</v>
      </c>
      <c r="J173" s="81">
        <v>599.0</v>
      </c>
      <c r="K173" s="99">
        <v>121.0</v>
      </c>
      <c r="L173" s="96">
        <f t="shared" si="31"/>
        <v>0.2020033389</v>
      </c>
      <c r="M173" s="100">
        <f>I173/J173</f>
        <v>0</v>
      </c>
      <c r="N173" s="96">
        <f t="shared" si="18"/>
        <v>-1</v>
      </c>
      <c r="O173" s="97"/>
      <c r="P173" s="79" t="s">
        <v>112</v>
      </c>
      <c r="Q173" s="79"/>
      <c r="R173" s="79" t="s">
        <v>111</v>
      </c>
      <c r="S173" s="87"/>
    </row>
    <row r="174" ht="41.25" customHeight="1" outlineLevel="1">
      <c r="A174" s="87"/>
      <c r="B174" s="112" t="s">
        <v>287</v>
      </c>
      <c r="C174" s="89" t="s">
        <v>288</v>
      </c>
      <c r="D174" s="87" t="s">
        <v>289</v>
      </c>
      <c r="E174" s="90" t="s">
        <v>290</v>
      </c>
      <c r="F174" s="105"/>
      <c r="G174" s="91" t="s">
        <v>110</v>
      </c>
      <c r="H174" s="92">
        <v>150.0</v>
      </c>
      <c r="I174" s="93">
        <v>169.0</v>
      </c>
      <c r="J174" s="94">
        <v>189.0</v>
      </c>
      <c r="K174" s="95">
        <v>38.0</v>
      </c>
      <c r="L174" s="96">
        <f t="shared" si="31"/>
        <v>0.2010582011</v>
      </c>
      <c r="M174" s="96">
        <f t="shared" ref="M174:M175" si="35">J174/I174</f>
        <v>1.118343195</v>
      </c>
      <c r="N174" s="96">
        <f t="shared" si="18"/>
        <v>3.447368421</v>
      </c>
      <c r="O174" s="97">
        <v>219.0</v>
      </c>
      <c r="P174" s="87" t="s">
        <v>111</v>
      </c>
      <c r="Q174" s="87"/>
      <c r="R174" s="106" t="s">
        <v>111</v>
      </c>
      <c r="S174" s="106"/>
    </row>
    <row r="175" ht="41.25" customHeight="1" outlineLevel="1">
      <c r="G175" s="91" t="s">
        <v>113</v>
      </c>
      <c r="I175" s="81">
        <v>179.0</v>
      </c>
      <c r="J175" s="110">
        <v>199.0</v>
      </c>
      <c r="K175" s="99">
        <v>49.0</v>
      </c>
      <c r="L175" s="96">
        <f t="shared" si="31"/>
        <v>0.2462311558</v>
      </c>
      <c r="M175" s="96">
        <f t="shared" si="35"/>
        <v>1.111731844</v>
      </c>
      <c r="N175" s="100">
        <f t="shared" si="18"/>
        <v>2.653061224</v>
      </c>
      <c r="O175" s="101">
        <v>239.0</v>
      </c>
      <c r="P175" s="79" t="s">
        <v>111</v>
      </c>
      <c r="Q175" s="79" t="s">
        <v>111</v>
      </c>
      <c r="R175" s="107" t="s">
        <v>111</v>
      </c>
      <c r="S175" s="106"/>
    </row>
    <row r="176" ht="41.25" customHeight="1" outlineLevel="1">
      <c r="A176" s="59"/>
      <c r="B176" s="59"/>
      <c r="C176" s="59"/>
      <c r="D176" s="59"/>
      <c r="E176" s="59"/>
      <c r="F176" s="59"/>
      <c r="G176" s="98" t="s">
        <v>114</v>
      </c>
      <c r="H176" s="59"/>
      <c r="I176" s="81">
        <v>0.0</v>
      </c>
      <c r="J176" s="81">
        <v>249.0</v>
      </c>
      <c r="K176" s="99">
        <v>49.0</v>
      </c>
      <c r="L176" s="96">
        <f t="shared" si="31"/>
        <v>0.1967871486</v>
      </c>
      <c r="M176" s="100">
        <f>I176/J176</f>
        <v>0</v>
      </c>
      <c r="N176" s="96">
        <f t="shared" si="18"/>
        <v>-1</v>
      </c>
      <c r="O176" s="97"/>
      <c r="P176" s="79" t="s">
        <v>112</v>
      </c>
      <c r="Q176" s="79"/>
      <c r="R176" s="79" t="s">
        <v>111</v>
      </c>
      <c r="S176" s="87"/>
    </row>
    <row r="177" ht="41.25" customHeight="1" outlineLevel="1">
      <c r="A177" s="87"/>
      <c r="B177" s="112" t="s">
        <v>291</v>
      </c>
      <c r="C177" s="89" t="s">
        <v>292</v>
      </c>
      <c r="D177" s="87" t="s">
        <v>107</v>
      </c>
      <c r="E177" s="90" t="s">
        <v>293</v>
      </c>
      <c r="F177" s="105" t="s">
        <v>294</v>
      </c>
      <c r="G177" s="91" t="s">
        <v>110</v>
      </c>
      <c r="H177" s="92">
        <v>250.0</v>
      </c>
      <c r="I177" s="93">
        <v>489.0</v>
      </c>
      <c r="J177" s="93">
        <v>549.0</v>
      </c>
      <c r="K177" s="95">
        <v>131.0</v>
      </c>
      <c r="L177" s="96">
        <f t="shared" si="31"/>
        <v>0.2386156648</v>
      </c>
      <c r="M177" s="96">
        <f t="shared" ref="M177:M178" si="36">J177/I177</f>
        <v>1.122699387</v>
      </c>
      <c r="N177" s="96">
        <f t="shared" si="18"/>
        <v>2.732824427</v>
      </c>
      <c r="O177" s="97">
        <v>599.0</v>
      </c>
      <c r="P177" s="87" t="s">
        <v>111</v>
      </c>
      <c r="Q177" s="87"/>
      <c r="R177" s="106" t="s">
        <v>111</v>
      </c>
      <c r="S177" s="106"/>
    </row>
    <row r="178" ht="41.25" customHeight="1" outlineLevel="1">
      <c r="G178" s="91" t="s">
        <v>113</v>
      </c>
      <c r="I178" s="81">
        <v>499.0</v>
      </c>
      <c r="J178" s="81">
        <v>589.0</v>
      </c>
      <c r="K178" s="99">
        <v>188.0</v>
      </c>
      <c r="L178" s="96">
        <f t="shared" si="31"/>
        <v>0.3191850594</v>
      </c>
      <c r="M178" s="96">
        <f t="shared" si="36"/>
        <v>1.180360721</v>
      </c>
      <c r="N178" s="100">
        <f t="shared" si="18"/>
        <v>1.654255319</v>
      </c>
      <c r="O178" s="101">
        <v>639.0</v>
      </c>
      <c r="P178" s="79" t="s">
        <v>111</v>
      </c>
      <c r="Q178" s="79" t="s">
        <v>111</v>
      </c>
      <c r="R178" s="107" t="s">
        <v>111</v>
      </c>
      <c r="S178" s="106"/>
    </row>
    <row r="179" ht="41.25" customHeight="1" outlineLevel="1">
      <c r="A179" s="59"/>
      <c r="B179" s="59"/>
      <c r="C179" s="59"/>
      <c r="D179" s="59"/>
      <c r="E179" s="59"/>
      <c r="F179" s="59"/>
      <c r="G179" s="98" t="s">
        <v>114</v>
      </c>
      <c r="H179" s="59"/>
      <c r="I179" s="81">
        <v>0.0</v>
      </c>
      <c r="J179" s="81">
        <v>649.0</v>
      </c>
      <c r="K179" s="99">
        <v>188.0</v>
      </c>
      <c r="L179" s="96">
        <f t="shared" si="31"/>
        <v>0.2896764253</v>
      </c>
      <c r="M179" s="100">
        <f>I179/J179</f>
        <v>0</v>
      </c>
      <c r="N179" s="96">
        <f t="shared" si="18"/>
        <v>-1</v>
      </c>
      <c r="O179" s="97"/>
      <c r="P179" s="79" t="s">
        <v>112</v>
      </c>
      <c r="Q179" s="79"/>
      <c r="R179" s="79" t="s">
        <v>111</v>
      </c>
      <c r="S179" s="87"/>
    </row>
    <row r="180" ht="41.25" customHeight="1" outlineLevel="1">
      <c r="A180" s="87"/>
      <c r="B180" s="112" t="s">
        <v>295</v>
      </c>
      <c r="C180" s="89" t="s">
        <v>296</v>
      </c>
      <c r="D180" s="87" t="s">
        <v>107</v>
      </c>
      <c r="E180" s="90" t="s">
        <v>297</v>
      </c>
      <c r="F180" s="105" t="s">
        <v>298</v>
      </c>
      <c r="G180" s="91" t="s">
        <v>110</v>
      </c>
      <c r="H180" s="92">
        <v>250.0</v>
      </c>
      <c r="I180" s="93">
        <v>519.0</v>
      </c>
      <c r="J180" s="93">
        <v>589.0</v>
      </c>
      <c r="K180" s="95">
        <v>145.0</v>
      </c>
      <c r="L180" s="96">
        <f t="shared" si="31"/>
        <v>0.246179966</v>
      </c>
      <c r="M180" s="96">
        <f t="shared" ref="M180:M181" si="37">J180/I180</f>
        <v>1.134874759</v>
      </c>
      <c r="N180" s="96">
        <f t="shared" si="18"/>
        <v>2.579310345</v>
      </c>
      <c r="O180" s="97">
        <v>639.0</v>
      </c>
      <c r="P180" s="87" t="s">
        <v>111</v>
      </c>
      <c r="Q180" s="87"/>
      <c r="R180" s="106" t="s">
        <v>111</v>
      </c>
      <c r="S180" s="106"/>
    </row>
    <row r="181" ht="41.25" customHeight="1" outlineLevel="1">
      <c r="G181" s="91" t="s">
        <v>113</v>
      </c>
      <c r="I181" s="81">
        <v>529.0</v>
      </c>
      <c r="J181" s="81">
        <v>629.0</v>
      </c>
      <c r="K181" s="99">
        <v>215.0</v>
      </c>
      <c r="L181" s="96">
        <f t="shared" si="31"/>
        <v>0.3418124006</v>
      </c>
      <c r="M181" s="96">
        <f t="shared" si="37"/>
        <v>1.189035917</v>
      </c>
      <c r="N181" s="100">
        <f t="shared" si="18"/>
        <v>1.460465116</v>
      </c>
      <c r="O181" s="101">
        <v>679.0</v>
      </c>
      <c r="P181" s="79" t="s">
        <v>111</v>
      </c>
      <c r="Q181" s="79" t="s">
        <v>111</v>
      </c>
      <c r="R181" s="107" t="s">
        <v>111</v>
      </c>
      <c r="S181" s="106"/>
    </row>
    <row r="182" ht="41.25" customHeight="1" outlineLevel="1">
      <c r="A182" s="59"/>
      <c r="B182" s="59"/>
      <c r="C182" s="59"/>
      <c r="D182" s="59"/>
      <c r="E182" s="59"/>
      <c r="F182" s="59"/>
      <c r="G182" s="98" t="s">
        <v>114</v>
      </c>
      <c r="H182" s="59"/>
      <c r="I182" s="81">
        <v>0.0</v>
      </c>
      <c r="J182" s="81">
        <v>749.0</v>
      </c>
      <c r="K182" s="99">
        <v>215.0</v>
      </c>
      <c r="L182" s="96">
        <f t="shared" si="31"/>
        <v>0.2870493992</v>
      </c>
      <c r="M182" s="100">
        <f>I182/J182</f>
        <v>0</v>
      </c>
      <c r="N182" s="96">
        <f t="shared" si="18"/>
        <v>-1</v>
      </c>
      <c r="O182" s="97"/>
      <c r="P182" s="79" t="s">
        <v>112</v>
      </c>
      <c r="Q182" s="79"/>
      <c r="R182" s="79" t="s">
        <v>111</v>
      </c>
      <c r="S182" s="87"/>
    </row>
    <row r="183" ht="41.25" customHeight="1" outlineLevel="1">
      <c r="A183" s="87"/>
      <c r="B183" s="119"/>
      <c r="C183" s="89" t="s">
        <v>299</v>
      </c>
      <c r="D183" s="87" t="s">
        <v>183</v>
      </c>
      <c r="E183" s="90" t="s">
        <v>300</v>
      </c>
      <c r="F183" s="105"/>
      <c r="G183" s="91" t="s">
        <v>110</v>
      </c>
      <c r="H183" s="92">
        <v>300.0</v>
      </c>
      <c r="I183" s="93">
        <v>899.0</v>
      </c>
      <c r="J183" s="93">
        <v>999.0</v>
      </c>
      <c r="K183" s="95">
        <v>369.0</v>
      </c>
      <c r="L183" s="96">
        <f t="shared" si="31"/>
        <v>0.3693693694</v>
      </c>
      <c r="M183" s="96">
        <f t="shared" ref="M183:M184" si="38">J183/I183</f>
        <v>1.111234705</v>
      </c>
      <c r="N183" s="96">
        <f t="shared" si="18"/>
        <v>1.436314363</v>
      </c>
      <c r="O183" s="97">
        <v>1099.0</v>
      </c>
      <c r="P183" s="87" t="s">
        <v>111</v>
      </c>
      <c r="Q183" s="87"/>
      <c r="R183" s="87" t="s">
        <v>111</v>
      </c>
      <c r="S183" s="87"/>
    </row>
    <row r="184" ht="41.25" customHeight="1" outlineLevel="1">
      <c r="G184" s="91" t="s">
        <v>113</v>
      </c>
      <c r="I184" s="81">
        <v>899.0</v>
      </c>
      <c r="J184" s="93">
        <v>999.0</v>
      </c>
      <c r="K184" s="99">
        <v>395.0</v>
      </c>
      <c r="L184" s="96">
        <f t="shared" si="31"/>
        <v>0.3953953954</v>
      </c>
      <c r="M184" s="96">
        <f t="shared" si="38"/>
        <v>1.111234705</v>
      </c>
      <c r="N184" s="100">
        <f t="shared" si="18"/>
        <v>1.275949367</v>
      </c>
      <c r="O184" s="101">
        <v>1099.0</v>
      </c>
      <c r="P184" s="79" t="s">
        <v>111</v>
      </c>
      <c r="Q184" s="79" t="s">
        <v>111</v>
      </c>
      <c r="R184" s="79" t="s">
        <v>111</v>
      </c>
      <c r="S184" s="87"/>
    </row>
    <row r="185" ht="41.25" customHeight="1" outlineLevel="1">
      <c r="A185" s="59"/>
      <c r="B185" s="59"/>
      <c r="C185" s="59"/>
      <c r="D185" s="59"/>
      <c r="E185" s="59"/>
      <c r="F185" s="59"/>
      <c r="G185" s="98" t="s">
        <v>114</v>
      </c>
      <c r="H185" s="59"/>
      <c r="I185" s="81">
        <v>0.0</v>
      </c>
      <c r="J185" s="81">
        <v>1299.0</v>
      </c>
      <c r="K185" s="99">
        <v>395.0</v>
      </c>
      <c r="L185" s="96">
        <f t="shared" si="31"/>
        <v>0.3040800616</v>
      </c>
      <c r="M185" s="100">
        <f>I185/J185</f>
        <v>0</v>
      </c>
      <c r="N185" s="96">
        <f t="shared" si="18"/>
        <v>-1</v>
      </c>
      <c r="O185" s="97"/>
      <c r="P185" s="79" t="s">
        <v>112</v>
      </c>
      <c r="Q185" s="79"/>
      <c r="R185" s="79" t="s">
        <v>111</v>
      </c>
      <c r="S185" s="87"/>
    </row>
    <row r="186" ht="41.25" customHeight="1" outlineLevel="1">
      <c r="A186" s="87"/>
      <c r="B186" s="189"/>
      <c r="C186" s="89" t="s">
        <v>301</v>
      </c>
      <c r="D186" s="87" t="s">
        <v>302</v>
      </c>
      <c r="E186" s="90" t="s">
        <v>303</v>
      </c>
      <c r="F186" s="105"/>
      <c r="G186" s="91" t="s">
        <v>110</v>
      </c>
      <c r="H186" s="92">
        <v>170.0</v>
      </c>
      <c r="I186" s="93">
        <v>289.0</v>
      </c>
      <c r="J186" s="94">
        <v>299.0</v>
      </c>
      <c r="K186" s="95">
        <v>86.0</v>
      </c>
      <c r="L186" s="96">
        <f t="shared" si="31"/>
        <v>0.2876254181</v>
      </c>
      <c r="M186" s="96">
        <f t="shared" ref="M186:M187" si="39">J186/I186</f>
        <v>1.034602076</v>
      </c>
      <c r="N186" s="96">
        <f t="shared" si="18"/>
        <v>2.360465116</v>
      </c>
      <c r="O186" s="97">
        <v>329.0</v>
      </c>
      <c r="P186" s="87" t="s">
        <v>111</v>
      </c>
      <c r="Q186" s="87"/>
      <c r="R186" s="87" t="s">
        <v>111</v>
      </c>
      <c r="S186" s="87"/>
    </row>
    <row r="187" ht="41.25" customHeight="1" outlineLevel="1">
      <c r="G187" s="91" t="s">
        <v>113</v>
      </c>
      <c r="I187" s="81">
        <v>299.0</v>
      </c>
      <c r="J187" s="110">
        <v>319.0</v>
      </c>
      <c r="K187" s="99">
        <v>85.0</v>
      </c>
      <c r="L187" s="96">
        <f t="shared" si="31"/>
        <v>0.2664576803</v>
      </c>
      <c r="M187" s="96">
        <f t="shared" si="39"/>
        <v>1.066889632</v>
      </c>
      <c r="N187" s="100">
        <f t="shared" si="18"/>
        <v>2.517647059</v>
      </c>
      <c r="O187" s="101">
        <v>339.0</v>
      </c>
      <c r="P187" s="79" t="s">
        <v>111</v>
      </c>
      <c r="Q187" s="79" t="s">
        <v>111</v>
      </c>
      <c r="R187" s="79" t="s">
        <v>111</v>
      </c>
      <c r="S187" s="87"/>
    </row>
    <row r="188" ht="41.25" customHeight="1" outlineLevel="1">
      <c r="A188" s="59"/>
      <c r="B188" s="59"/>
      <c r="C188" s="59"/>
      <c r="D188" s="59"/>
      <c r="E188" s="59"/>
      <c r="F188" s="59"/>
      <c r="G188" s="98" t="s">
        <v>114</v>
      </c>
      <c r="H188" s="59"/>
      <c r="I188" s="81">
        <v>0.0</v>
      </c>
      <c r="J188" s="81">
        <v>359.0</v>
      </c>
      <c r="K188" s="99">
        <v>85.0</v>
      </c>
      <c r="L188" s="96">
        <f t="shared" si="31"/>
        <v>0.2367688022</v>
      </c>
      <c r="M188" s="100">
        <f t="shared" ref="M188:M193" si="40">I188/J188</f>
        <v>0</v>
      </c>
      <c r="N188" s="96">
        <f t="shared" si="18"/>
        <v>-1</v>
      </c>
      <c r="O188" s="97"/>
      <c r="P188" s="79" t="s">
        <v>112</v>
      </c>
      <c r="Q188" s="79"/>
      <c r="R188" s="79" t="s">
        <v>111</v>
      </c>
      <c r="S188" s="87"/>
    </row>
    <row r="189" ht="41.25" customHeight="1">
      <c r="A189" s="106"/>
      <c r="B189" s="106" t="str">
        <f>"Бургеры "&amp;COUNTA(E197:E206)&amp;" шт"</f>
        <v>Бургеры 4 шт</v>
      </c>
      <c r="C189" s="106"/>
      <c r="D189" s="106"/>
      <c r="E189" s="190" t="s">
        <v>304</v>
      </c>
      <c r="F189" s="190"/>
      <c r="G189" s="106" t="s">
        <v>114</v>
      </c>
      <c r="H189" s="191">
        <v>300.0</v>
      </c>
      <c r="I189" s="184"/>
      <c r="J189" s="81">
        <v>1299.0</v>
      </c>
      <c r="K189" s="184">
        <v>329.0</v>
      </c>
      <c r="L189" s="96">
        <f t="shared" si="31"/>
        <v>0.2532717475</v>
      </c>
      <c r="M189" s="186">
        <f t="shared" si="40"/>
        <v>0</v>
      </c>
      <c r="N189" s="192">
        <f t="shared" si="18"/>
        <v>-1</v>
      </c>
      <c r="O189" s="193"/>
      <c r="P189" s="184"/>
      <c r="Q189" s="184"/>
      <c r="R189" s="106"/>
      <c r="S189" s="106"/>
    </row>
    <row r="190" ht="41.25" customHeight="1">
      <c r="A190" s="106"/>
      <c r="B190" s="106"/>
      <c r="C190" s="106"/>
      <c r="D190" s="106"/>
      <c r="E190" s="190" t="s">
        <v>305</v>
      </c>
      <c r="F190" s="190"/>
      <c r="G190" s="106" t="s">
        <v>114</v>
      </c>
      <c r="H190" s="191">
        <v>280.0</v>
      </c>
      <c r="I190" s="184"/>
      <c r="J190" s="81">
        <v>1249.0</v>
      </c>
      <c r="K190" s="184">
        <v>339.0</v>
      </c>
      <c r="L190" s="96">
        <f t="shared" si="31"/>
        <v>0.2714171337</v>
      </c>
      <c r="M190" s="186">
        <f t="shared" si="40"/>
        <v>0</v>
      </c>
      <c r="N190" s="192">
        <f t="shared" si="18"/>
        <v>-1</v>
      </c>
      <c r="O190" s="193"/>
      <c r="P190" s="184"/>
      <c r="Q190" s="184"/>
      <c r="R190" s="106"/>
      <c r="S190" s="106"/>
    </row>
    <row r="191" ht="41.25" customHeight="1">
      <c r="A191" s="106"/>
      <c r="B191" s="106"/>
      <c r="C191" s="106"/>
      <c r="D191" s="106"/>
      <c r="E191" s="190" t="s">
        <v>306</v>
      </c>
      <c r="F191" s="190"/>
      <c r="G191" s="106" t="s">
        <v>114</v>
      </c>
      <c r="H191" s="191">
        <v>350.0</v>
      </c>
      <c r="I191" s="184"/>
      <c r="J191" s="81">
        <v>1599.0</v>
      </c>
      <c r="K191" s="184">
        <v>455.0</v>
      </c>
      <c r="L191" s="96">
        <f t="shared" si="31"/>
        <v>0.2845528455</v>
      </c>
      <c r="M191" s="186">
        <f t="shared" si="40"/>
        <v>0</v>
      </c>
      <c r="N191" s="192">
        <f t="shared" si="18"/>
        <v>-1</v>
      </c>
      <c r="O191" s="193"/>
      <c r="P191" s="184"/>
      <c r="Q191" s="184"/>
      <c r="R191" s="106"/>
      <c r="S191" s="106"/>
    </row>
    <row r="192" ht="41.25" customHeight="1">
      <c r="A192" s="106"/>
      <c r="B192" s="106"/>
      <c r="C192" s="106"/>
      <c r="D192" s="106"/>
      <c r="E192" s="190" t="s">
        <v>307</v>
      </c>
      <c r="F192" s="190"/>
      <c r="G192" s="106" t="s">
        <v>114</v>
      </c>
      <c r="H192" s="191">
        <v>270.0</v>
      </c>
      <c r="I192" s="184"/>
      <c r="J192" s="81">
        <v>649.0</v>
      </c>
      <c r="K192" s="184">
        <v>103.0</v>
      </c>
      <c r="L192" s="96">
        <f t="shared" si="31"/>
        <v>0.1587057011</v>
      </c>
      <c r="M192" s="186">
        <f t="shared" si="40"/>
        <v>0</v>
      </c>
      <c r="N192" s="192">
        <f t="shared" si="18"/>
        <v>-1</v>
      </c>
      <c r="O192" s="193"/>
      <c r="P192" s="184"/>
      <c r="Q192" s="184"/>
      <c r="R192" s="106"/>
      <c r="S192" s="106"/>
    </row>
    <row r="193" ht="41.25" customHeight="1">
      <c r="A193" s="106"/>
      <c r="B193" s="106"/>
      <c r="C193" s="106"/>
      <c r="D193" s="106"/>
      <c r="E193" s="190" t="s">
        <v>308</v>
      </c>
      <c r="F193" s="190"/>
      <c r="G193" s="106" t="s">
        <v>114</v>
      </c>
      <c r="H193" s="191">
        <v>200.0</v>
      </c>
      <c r="I193" s="184"/>
      <c r="J193" s="81">
        <v>1199.0</v>
      </c>
      <c r="K193" s="184">
        <v>315.0</v>
      </c>
      <c r="L193" s="96">
        <f t="shared" si="31"/>
        <v>0.2627189324</v>
      </c>
      <c r="M193" s="186">
        <f t="shared" si="40"/>
        <v>0</v>
      </c>
      <c r="N193" s="192">
        <f t="shared" si="18"/>
        <v>-1</v>
      </c>
      <c r="O193" s="193"/>
      <c r="P193" s="184"/>
      <c r="Q193" s="184"/>
      <c r="R193" s="106"/>
      <c r="S193" s="106"/>
    </row>
    <row r="194" ht="41.25" customHeight="1" outlineLevel="1">
      <c r="A194" s="87"/>
      <c r="B194" s="104" t="s">
        <v>309</v>
      </c>
      <c r="C194" s="89"/>
      <c r="D194" s="87" t="s">
        <v>107</v>
      </c>
      <c r="E194" s="90" t="s">
        <v>310</v>
      </c>
      <c r="F194" s="90" t="s">
        <v>311</v>
      </c>
      <c r="G194" s="91" t="s">
        <v>110</v>
      </c>
      <c r="H194" s="92">
        <v>350.0</v>
      </c>
      <c r="I194" s="93"/>
      <c r="J194" s="94">
        <v>599.0</v>
      </c>
      <c r="K194" s="95">
        <v>146.0</v>
      </c>
      <c r="L194" s="96">
        <f t="shared" si="31"/>
        <v>0.2437395659</v>
      </c>
      <c r="M194" s="96"/>
      <c r="N194" s="96">
        <f t="shared" si="18"/>
        <v>-1</v>
      </c>
      <c r="O194" s="97">
        <v>649.0</v>
      </c>
      <c r="P194" s="79" t="s">
        <v>111</v>
      </c>
      <c r="Q194" s="87"/>
      <c r="R194" s="102" t="s">
        <v>111</v>
      </c>
      <c r="S194" s="102"/>
    </row>
    <row r="195" ht="41.25" customHeight="1" outlineLevel="1">
      <c r="G195" s="91" t="s">
        <v>113</v>
      </c>
      <c r="I195" s="81"/>
      <c r="J195" s="110">
        <v>649.0</v>
      </c>
      <c r="K195" s="99">
        <v>171.0</v>
      </c>
      <c r="L195" s="96">
        <f t="shared" si="31"/>
        <v>0.2634822804</v>
      </c>
      <c r="M195" s="100"/>
      <c r="N195" s="100">
        <f t="shared" si="18"/>
        <v>-1</v>
      </c>
      <c r="O195" s="101">
        <v>699.0</v>
      </c>
      <c r="P195" s="79" t="s">
        <v>111</v>
      </c>
      <c r="Q195" s="79" t="s">
        <v>111</v>
      </c>
      <c r="R195" s="103" t="s">
        <v>111</v>
      </c>
      <c r="S195" s="102"/>
    </row>
    <row r="196" ht="41.25" customHeight="1" outlineLevel="1">
      <c r="A196" s="59"/>
      <c r="B196" s="59"/>
      <c r="C196" s="59"/>
      <c r="D196" s="59"/>
      <c r="E196" s="59"/>
      <c r="F196" s="59"/>
      <c r="G196" s="98" t="s">
        <v>114</v>
      </c>
      <c r="H196" s="59"/>
      <c r="I196" s="81">
        <v>0.0</v>
      </c>
      <c r="J196" s="81">
        <v>699.0</v>
      </c>
      <c r="K196" s="99">
        <v>171.0</v>
      </c>
      <c r="L196" s="96">
        <f t="shared" si="31"/>
        <v>0.2446351931</v>
      </c>
      <c r="M196" s="100">
        <f>I196/J196</f>
        <v>0</v>
      </c>
      <c r="N196" s="100">
        <f t="shared" si="18"/>
        <v>-1</v>
      </c>
      <c r="O196" s="101"/>
      <c r="P196" s="79" t="s">
        <v>112</v>
      </c>
      <c r="Q196" s="79"/>
      <c r="R196" s="103" t="s">
        <v>111</v>
      </c>
      <c r="S196" s="102"/>
    </row>
    <row r="197" ht="41.25" customHeight="1" outlineLevel="1">
      <c r="A197" s="87"/>
      <c r="B197" s="104" t="s">
        <v>312</v>
      </c>
      <c r="C197" s="89" t="s">
        <v>313</v>
      </c>
      <c r="D197" s="87" t="s">
        <v>107</v>
      </c>
      <c r="E197" s="90" t="s">
        <v>314</v>
      </c>
      <c r="F197" s="90" t="s">
        <v>315</v>
      </c>
      <c r="G197" s="91" t="s">
        <v>110</v>
      </c>
      <c r="H197" s="92">
        <v>350.0</v>
      </c>
      <c r="I197" s="93">
        <v>479.0</v>
      </c>
      <c r="J197" s="94">
        <v>569.0</v>
      </c>
      <c r="K197" s="95">
        <v>131.0</v>
      </c>
      <c r="L197" s="96">
        <f t="shared" si="31"/>
        <v>0.230228471</v>
      </c>
      <c r="M197" s="96">
        <f t="shared" ref="M197:M198" si="41">J197/I197</f>
        <v>1.187891441</v>
      </c>
      <c r="N197" s="96">
        <f t="shared" si="18"/>
        <v>2.65648855</v>
      </c>
      <c r="O197" s="97">
        <v>599.0</v>
      </c>
      <c r="P197" s="79" t="s">
        <v>111</v>
      </c>
      <c r="Q197" s="87"/>
      <c r="R197" s="106" t="s">
        <v>111</v>
      </c>
      <c r="S197" s="106"/>
    </row>
    <row r="198" ht="41.25" customHeight="1" outlineLevel="1">
      <c r="G198" s="91" t="s">
        <v>113</v>
      </c>
      <c r="I198" s="81">
        <v>489.0</v>
      </c>
      <c r="J198" s="110">
        <v>599.0</v>
      </c>
      <c r="K198" s="99">
        <v>169.0</v>
      </c>
      <c r="L198" s="96">
        <f t="shared" si="31"/>
        <v>0.2821368948</v>
      </c>
      <c r="M198" s="96">
        <f t="shared" si="41"/>
        <v>1.224948875</v>
      </c>
      <c r="N198" s="100">
        <f t="shared" si="18"/>
        <v>1.893491124</v>
      </c>
      <c r="O198" s="101">
        <v>649.0</v>
      </c>
      <c r="P198" s="79" t="s">
        <v>111</v>
      </c>
      <c r="Q198" s="79" t="s">
        <v>111</v>
      </c>
      <c r="R198" s="107" t="s">
        <v>111</v>
      </c>
      <c r="S198" s="106"/>
    </row>
    <row r="199" ht="41.25" customHeight="1" outlineLevel="1">
      <c r="A199" s="59"/>
      <c r="B199" s="59"/>
      <c r="C199" s="59"/>
      <c r="D199" s="59"/>
      <c r="E199" s="59"/>
      <c r="F199" s="59"/>
      <c r="G199" s="98" t="s">
        <v>114</v>
      </c>
      <c r="H199" s="59"/>
      <c r="I199" s="81">
        <v>0.0</v>
      </c>
      <c r="J199" s="81">
        <v>659.0</v>
      </c>
      <c r="K199" s="99">
        <v>169.0</v>
      </c>
      <c r="L199" s="96">
        <f t="shared" si="31"/>
        <v>0.2564491654</v>
      </c>
      <c r="M199" s="100">
        <f>I199/J199</f>
        <v>0</v>
      </c>
      <c r="N199" s="96">
        <f t="shared" si="18"/>
        <v>-1</v>
      </c>
      <c r="O199" s="97"/>
      <c r="P199" s="79" t="s">
        <v>112</v>
      </c>
      <c r="Q199" s="79"/>
      <c r="R199" s="79" t="s">
        <v>111</v>
      </c>
      <c r="S199" s="87"/>
    </row>
    <row r="200" ht="41.25" customHeight="1" outlineLevel="1">
      <c r="A200" s="87"/>
      <c r="B200" s="104" t="s">
        <v>312</v>
      </c>
      <c r="C200" s="89" t="s">
        <v>316</v>
      </c>
      <c r="D200" s="87" t="s">
        <v>317</v>
      </c>
      <c r="E200" s="90" t="s">
        <v>318</v>
      </c>
      <c r="F200" s="90" t="s">
        <v>319</v>
      </c>
      <c r="G200" s="91" t="s">
        <v>110</v>
      </c>
      <c r="H200" s="92">
        <v>350.0</v>
      </c>
      <c r="I200" s="93">
        <v>549.0</v>
      </c>
      <c r="J200" s="94">
        <v>599.0</v>
      </c>
      <c r="K200" s="95">
        <v>151.0</v>
      </c>
      <c r="L200" s="96">
        <f t="shared" si="31"/>
        <v>0.2520868114</v>
      </c>
      <c r="M200" s="96">
        <f t="shared" ref="M200:M201" si="42">J200/I200</f>
        <v>1.091074681</v>
      </c>
      <c r="N200" s="96">
        <f t="shared" si="18"/>
        <v>2.635761589</v>
      </c>
      <c r="O200" s="97">
        <v>649.0</v>
      </c>
      <c r="P200" s="79" t="s">
        <v>111</v>
      </c>
      <c r="Q200" s="87"/>
      <c r="R200" s="106" t="s">
        <v>111</v>
      </c>
      <c r="S200" s="106"/>
    </row>
    <row r="201" ht="41.25" customHeight="1" outlineLevel="1">
      <c r="G201" s="91" t="s">
        <v>113</v>
      </c>
      <c r="I201" s="81">
        <v>569.0</v>
      </c>
      <c r="J201" s="110">
        <v>649.0</v>
      </c>
      <c r="K201" s="99">
        <v>172.0</v>
      </c>
      <c r="L201" s="96">
        <f t="shared" si="31"/>
        <v>0.2650231125</v>
      </c>
      <c r="M201" s="96">
        <f t="shared" si="42"/>
        <v>1.14059754</v>
      </c>
      <c r="N201" s="100">
        <f t="shared" si="18"/>
        <v>2.308139535</v>
      </c>
      <c r="O201" s="101">
        <v>699.0</v>
      </c>
      <c r="P201" s="79" t="s">
        <v>111</v>
      </c>
      <c r="Q201" s="79" t="s">
        <v>111</v>
      </c>
      <c r="R201" s="107" t="s">
        <v>111</v>
      </c>
      <c r="S201" s="106"/>
    </row>
    <row r="202" ht="41.25" customHeight="1" outlineLevel="1">
      <c r="A202" s="59"/>
      <c r="B202" s="59"/>
      <c r="C202" s="59"/>
      <c r="D202" s="59"/>
      <c r="E202" s="59"/>
      <c r="F202" s="59"/>
      <c r="G202" s="98" t="s">
        <v>114</v>
      </c>
      <c r="H202" s="59"/>
      <c r="I202" s="81">
        <v>0.0</v>
      </c>
      <c r="J202" s="81">
        <v>699.0</v>
      </c>
      <c r="K202" s="99">
        <v>172.0</v>
      </c>
      <c r="L202" s="96">
        <f t="shared" si="31"/>
        <v>0.2460658083</v>
      </c>
      <c r="M202" s="100">
        <f>I202/J202</f>
        <v>0</v>
      </c>
      <c r="N202" s="96">
        <f t="shared" si="18"/>
        <v>-1</v>
      </c>
      <c r="O202" s="97"/>
      <c r="P202" s="79" t="s">
        <v>112</v>
      </c>
      <c r="Q202" s="79"/>
      <c r="R202" s="79" t="s">
        <v>111</v>
      </c>
      <c r="S202" s="87"/>
    </row>
    <row r="203" ht="41.25" customHeight="1" outlineLevel="1">
      <c r="A203" s="87"/>
      <c r="B203" s="104" t="s">
        <v>320</v>
      </c>
      <c r="C203" s="89" t="s">
        <v>321</v>
      </c>
      <c r="D203" s="87" t="s">
        <v>107</v>
      </c>
      <c r="E203" s="90" t="s">
        <v>322</v>
      </c>
      <c r="F203" s="90" t="s">
        <v>323</v>
      </c>
      <c r="G203" s="91" t="s">
        <v>110</v>
      </c>
      <c r="H203" s="92">
        <v>350.0</v>
      </c>
      <c r="I203" s="93">
        <v>549.0</v>
      </c>
      <c r="J203" s="94">
        <v>599.0</v>
      </c>
      <c r="K203" s="95">
        <v>205.0</v>
      </c>
      <c r="L203" s="96">
        <f t="shared" si="31"/>
        <v>0.3422370618</v>
      </c>
      <c r="M203" s="96">
        <f t="shared" ref="M203:M204" si="43">J203/I203</f>
        <v>1.091074681</v>
      </c>
      <c r="N203" s="96">
        <f t="shared" si="18"/>
        <v>1.67804878</v>
      </c>
      <c r="O203" s="97">
        <v>649.0</v>
      </c>
      <c r="P203" s="79" t="s">
        <v>111</v>
      </c>
      <c r="Q203" s="87"/>
      <c r="R203" s="106" t="s">
        <v>111</v>
      </c>
      <c r="S203" s="106"/>
    </row>
    <row r="204" ht="41.25" customHeight="1" outlineLevel="1">
      <c r="G204" s="91" t="s">
        <v>113</v>
      </c>
      <c r="I204" s="81">
        <v>569.0</v>
      </c>
      <c r="J204" s="110">
        <v>649.0</v>
      </c>
      <c r="K204" s="99">
        <v>219.0</v>
      </c>
      <c r="L204" s="96">
        <f t="shared" si="31"/>
        <v>0.3374422188</v>
      </c>
      <c r="M204" s="96">
        <f t="shared" si="43"/>
        <v>1.14059754</v>
      </c>
      <c r="N204" s="100">
        <f t="shared" si="18"/>
        <v>1.598173516</v>
      </c>
      <c r="O204" s="101">
        <v>699.0</v>
      </c>
      <c r="P204" s="79" t="s">
        <v>111</v>
      </c>
      <c r="Q204" s="79" t="s">
        <v>111</v>
      </c>
      <c r="R204" s="107" t="s">
        <v>111</v>
      </c>
      <c r="S204" s="106"/>
    </row>
    <row r="205" ht="41.25" customHeight="1" outlineLevel="1">
      <c r="A205" s="59"/>
      <c r="B205" s="59"/>
      <c r="C205" s="59"/>
      <c r="D205" s="59"/>
      <c r="E205" s="59"/>
      <c r="F205" s="59"/>
      <c r="G205" s="91" t="s">
        <v>114</v>
      </c>
      <c r="H205" s="59"/>
      <c r="I205" s="81">
        <v>0.0</v>
      </c>
      <c r="J205" s="81">
        <v>749.0</v>
      </c>
      <c r="K205" s="99">
        <v>219.0</v>
      </c>
      <c r="L205" s="96">
        <f t="shared" si="31"/>
        <v>0.2923898531</v>
      </c>
      <c r="M205" s="100">
        <f>I205/J205</f>
        <v>0</v>
      </c>
      <c r="N205" s="96">
        <f t="shared" si="18"/>
        <v>-1</v>
      </c>
      <c r="O205" s="97"/>
      <c r="P205" s="79" t="s">
        <v>112</v>
      </c>
      <c r="Q205" s="79"/>
      <c r="R205" s="79" t="s">
        <v>111</v>
      </c>
      <c r="S205" s="87"/>
    </row>
    <row r="206" ht="41.25" customHeight="1" outlineLevel="1">
      <c r="A206" s="87"/>
      <c r="B206" s="104" t="s">
        <v>312</v>
      </c>
      <c r="C206" s="89" t="s">
        <v>324</v>
      </c>
      <c r="D206" s="87" t="s">
        <v>107</v>
      </c>
      <c r="E206" s="194" t="s">
        <v>325</v>
      </c>
      <c r="F206" s="105" t="s">
        <v>326</v>
      </c>
      <c r="G206" s="91" t="s">
        <v>110</v>
      </c>
      <c r="H206" s="92">
        <v>350.0</v>
      </c>
      <c r="I206" s="93">
        <v>579.0</v>
      </c>
      <c r="J206" s="94">
        <v>699.0</v>
      </c>
      <c r="K206" s="95">
        <v>212.0</v>
      </c>
      <c r="L206" s="96">
        <f t="shared" si="31"/>
        <v>0.3032904149</v>
      </c>
      <c r="M206" s="96">
        <f t="shared" ref="M206:M207" si="44">J206/I206</f>
        <v>1.207253886</v>
      </c>
      <c r="N206" s="96">
        <f t="shared" si="18"/>
        <v>1.731132075</v>
      </c>
      <c r="O206" s="97">
        <v>729.0</v>
      </c>
      <c r="P206" s="79" t="s">
        <v>111</v>
      </c>
      <c r="Q206" s="87"/>
      <c r="R206" s="106" t="s">
        <v>111</v>
      </c>
      <c r="S206" s="106"/>
    </row>
    <row r="207" ht="41.25" customHeight="1" outlineLevel="1">
      <c r="G207" s="91" t="s">
        <v>113</v>
      </c>
      <c r="I207" s="81">
        <v>599.0</v>
      </c>
      <c r="J207" s="110">
        <v>749.0</v>
      </c>
      <c r="K207" s="99">
        <v>265.0</v>
      </c>
      <c r="L207" s="96">
        <f t="shared" si="31"/>
        <v>0.3538050734</v>
      </c>
      <c r="M207" s="96">
        <f t="shared" si="44"/>
        <v>1.250417362</v>
      </c>
      <c r="N207" s="100">
        <f t="shared" si="18"/>
        <v>1.260377358</v>
      </c>
      <c r="O207" s="101">
        <v>749.0</v>
      </c>
      <c r="P207" s="79" t="s">
        <v>111</v>
      </c>
      <c r="Q207" s="79" t="s">
        <v>111</v>
      </c>
      <c r="R207" s="107" t="s">
        <v>111</v>
      </c>
      <c r="S207" s="106"/>
    </row>
    <row r="208" ht="41.25" customHeight="1" outlineLevel="1">
      <c r="A208" s="59"/>
      <c r="B208" s="59"/>
      <c r="C208" s="59"/>
      <c r="D208" s="59"/>
      <c r="E208" s="59"/>
      <c r="F208" s="59"/>
      <c r="G208" s="98" t="s">
        <v>114</v>
      </c>
      <c r="H208" s="59"/>
      <c r="I208" s="81">
        <v>0.0</v>
      </c>
      <c r="J208" s="81">
        <v>799.0</v>
      </c>
      <c r="K208" s="99">
        <v>265.0</v>
      </c>
      <c r="L208" s="96">
        <f t="shared" si="31"/>
        <v>0.3316645807</v>
      </c>
      <c r="M208" s="100">
        <f>I208/J208</f>
        <v>0</v>
      </c>
      <c r="N208" s="96">
        <f t="shared" si="18"/>
        <v>-1</v>
      </c>
      <c r="O208" s="97"/>
      <c r="P208" s="79" t="s">
        <v>112</v>
      </c>
      <c r="Q208" s="79"/>
      <c r="R208" s="79" t="s">
        <v>111</v>
      </c>
      <c r="S208" s="87"/>
    </row>
    <row r="209" ht="41.25" customHeight="1">
      <c r="A209" s="89"/>
      <c r="B209" s="89" t="str">
        <f>"Пицца "&amp;COUNTA(E210:E228)&amp;" шт"</f>
        <v>Пицца 7 шт</v>
      </c>
      <c r="C209" s="89"/>
      <c r="D209" s="87"/>
      <c r="E209" s="90"/>
      <c r="F209" s="90"/>
      <c r="G209" s="87"/>
      <c r="H209" s="156"/>
      <c r="I209" s="93"/>
      <c r="J209" s="93"/>
      <c r="K209" s="157"/>
      <c r="L209" s="158">
        <f>AVERAGE(L210:L228)</f>
        <v>0.2200236895</v>
      </c>
      <c r="M209" s="158"/>
      <c r="N209" s="89"/>
      <c r="O209" s="159"/>
      <c r="P209" s="93"/>
      <c r="Q209" s="93"/>
      <c r="R209" s="86"/>
      <c r="S209" s="86"/>
    </row>
    <row r="210" ht="41.25" customHeight="1" outlineLevel="1">
      <c r="A210" s="87"/>
      <c r="B210" s="119"/>
      <c r="C210" s="181" t="s">
        <v>327</v>
      </c>
      <c r="D210" s="87" t="s">
        <v>328</v>
      </c>
      <c r="E210" s="195" t="s">
        <v>329</v>
      </c>
      <c r="F210" s="105" t="s">
        <v>330</v>
      </c>
      <c r="G210" s="91" t="s">
        <v>110</v>
      </c>
      <c r="H210" s="92">
        <v>450.0</v>
      </c>
      <c r="I210" s="93">
        <v>589.0</v>
      </c>
      <c r="J210" s="94">
        <v>749.0</v>
      </c>
      <c r="K210" s="95">
        <v>195.0</v>
      </c>
      <c r="L210" s="96">
        <f t="shared" ref="L210:L230" si="45">K210/J210</f>
        <v>0.2603471295</v>
      </c>
      <c r="M210" s="96">
        <f t="shared" ref="M210:M211" si="46">J210/I210</f>
        <v>1.271646859</v>
      </c>
      <c r="N210" s="96">
        <f t="shared" ref="N210:N230" si="47">I210/K210-1</f>
        <v>2.020512821</v>
      </c>
      <c r="O210" s="97">
        <v>799.0</v>
      </c>
      <c r="P210" s="79" t="s">
        <v>111</v>
      </c>
      <c r="Q210" s="87"/>
      <c r="R210" s="87" t="s">
        <v>111</v>
      </c>
      <c r="S210" s="87"/>
    </row>
    <row r="211" ht="41.25" customHeight="1" outlineLevel="1">
      <c r="G211" s="91" t="s">
        <v>113</v>
      </c>
      <c r="I211" s="81">
        <v>599.0</v>
      </c>
      <c r="J211" s="110">
        <v>799.0</v>
      </c>
      <c r="K211" s="99">
        <v>202.0</v>
      </c>
      <c r="L211" s="96">
        <f t="shared" si="45"/>
        <v>0.25281602</v>
      </c>
      <c r="M211" s="96">
        <f t="shared" si="46"/>
        <v>1.333889816</v>
      </c>
      <c r="N211" s="100">
        <f t="shared" si="47"/>
        <v>1.965346535</v>
      </c>
      <c r="O211" s="101">
        <v>849.0</v>
      </c>
      <c r="P211" s="79" t="s">
        <v>111</v>
      </c>
      <c r="Q211" s="79" t="s">
        <v>111</v>
      </c>
      <c r="R211" s="79" t="s">
        <v>111</v>
      </c>
      <c r="S211" s="87"/>
    </row>
    <row r="212" ht="41.25" customHeight="1" outlineLevel="1">
      <c r="A212" s="59"/>
      <c r="B212" s="59"/>
      <c r="C212" s="59"/>
      <c r="D212" s="59"/>
      <c r="E212" s="59"/>
      <c r="F212" s="59"/>
      <c r="G212" s="98" t="s">
        <v>114</v>
      </c>
      <c r="H212" s="59"/>
      <c r="I212" s="81">
        <v>0.0</v>
      </c>
      <c r="J212" s="81">
        <v>899.0</v>
      </c>
      <c r="K212" s="99">
        <v>202.0</v>
      </c>
      <c r="L212" s="96">
        <f t="shared" si="45"/>
        <v>0.2246941046</v>
      </c>
      <c r="M212" s="100">
        <f>I212/J212</f>
        <v>0</v>
      </c>
      <c r="N212" s="96">
        <f t="shared" si="47"/>
        <v>-1</v>
      </c>
      <c r="O212" s="97"/>
      <c r="P212" s="79" t="s">
        <v>112</v>
      </c>
      <c r="Q212" s="79"/>
      <c r="R212" s="79" t="s">
        <v>111</v>
      </c>
      <c r="S212" s="87"/>
    </row>
    <row r="213" ht="41.25" customHeight="1" outlineLevel="1">
      <c r="A213" s="87"/>
      <c r="B213" s="196"/>
      <c r="C213" s="89" t="s">
        <v>331</v>
      </c>
      <c r="D213" s="87" t="s">
        <v>121</v>
      </c>
      <c r="E213" s="90" t="s">
        <v>332</v>
      </c>
      <c r="F213" s="105" t="s">
        <v>333</v>
      </c>
      <c r="G213" s="91" t="s">
        <v>110</v>
      </c>
      <c r="H213" s="92">
        <v>430.0</v>
      </c>
      <c r="I213" s="93">
        <v>479.0</v>
      </c>
      <c r="J213" s="94">
        <v>599.0</v>
      </c>
      <c r="K213" s="95">
        <v>119.0</v>
      </c>
      <c r="L213" s="96">
        <f t="shared" si="45"/>
        <v>0.1986644407</v>
      </c>
      <c r="M213" s="96">
        <f t="shared" ref="M213:M214" si="48">J213/I213</f>
        <v>1.250521921</v>
      </c>
      <c r="N213" s="96">
        <f t="shared" si="47"/>
        <v>3.025210084</v>
      </c>
      <c r="O213" s="97">
        <v>649.0</v>
      </c>
      <c r="P213" s="79" t="s">
        <v>111</v>
      </c>
      <c r="Q213" s="87"/>
      <c r="R213" s="87" t="s">
        <v>111</v>
      </c>
      <c r="S213" s="87"/>
    </row>
    <row r="214" ht="41.25" customHeight="1" outlineLevel="1">
      <c r="G214" s="91" t="s">
        <v>113</v>
      </c>
      <c r="I214" s="81">
        <v>499.0</v>
      </c>
      <c r="J214" s="110">
        <v>649.0</v>
      </c>
      <c r="K214" s="99">
        <v>129.0</v>
      </c>
      <c r="L214" s="96">
        <f t="shared" si="45"/>
        <v>0.1987673344</v>
      </c>
      <c r="M214" s="96">
        <f t="shared" si="48"/>
        <v>1.300601202</v>
      </c>
      <c r="N214" s="100">
        <f t="shared" si="47"/>
        <v>2.868217054</v>
      </c>
      <c r="O214" s="101">
        <v>699.0</v>
      </c>
      <c r="P214" s="79" t="s">
        <v>111</v>
      </c>
      <c r="Q214" s="79" t="s">
        <v>111</v>
      </c>
      <c r="R214" s="79" t="s">
        <v>111</v>
      </c>
      <c r="S214" s="87"/>
    </row>
    <row r="215" ht="41.25" customHeight="1" outlineLevel="1">
      <c r="A215" s="59"/>
      <c r="B215" s="59"/>
      <c r="C215" s="59"/>
      <c r="D215" s="59"/>
      <c r="E215" s="59"/>
      <c r="F215" s="59"/>
      <c r="G215" s="98" t="s">
        <v>114</v>
      </c>
      <c r="H215" s="59"/>
      <c r="I215" s="81">
        <v>0.0</v>
      </c>
      <c r="J215" s="81">
        <v>699.0</v>
      </c>
      <c r="K215" s="99">
        <v>129.0</v>
      </c>
      <c r="L215" s="96">
        <f t="shared" si="45"/>
        <v>0.1845493562</v>
      </c>
      <c r="M215" s="100">
        <f>I215/J215</f>
        <v>0</v>
      </c>
      <c r="N215" s="96">
        <f t="shared" si="47"/>
        <v>-1</v>
      </c>
      <c r="O215" s="97"/>
      <c r="P215" s="79" t="s">
        <v>112</v>
      </c>
      <c r="Q215" s="79"/>
      <c r="R215" s="79" t="s">
        <v>111</v>
      </c>
      <c r="S215" s="87"/>
    </row>
    <row r="216" ht="41.25" customHeight="1" outlineLevel="1">
      <c r="A216" s="87"/>
      <c r="B216" s="88"/>
      <c r="C216" s="89" t="s">
        <v>334</v>
      </c>
      <c r="D216" s="87" t="s">
        <v>121</v>
      </c>
      <c r="E216" s="90" t="s">
        <v>335</v>
      </c>
      <c r="F216" s="105" t="s">
        <v>336</v>
      </c>
      <c r="G216" s="91" t="s">
        <v>110</v>
      </c>
      <c r="H216" s="92">
        <v>520.0</v>
      </c>
      <c r="I216" s="93">
        <v>589.0</v>
      </c>
      <c r="J216" s="94">
        <v>749.0</v>
      </c>
      <c r="K216" s="95">
        <v>155.0</v>
      </c>
      <c r="L216" s="96">
        <f t="shared" si="45"/>
        <v>0.2069425901</v>
      </c>
      <c r="M216" s="96">
        <f t="shared" ref="M216:M217" si="49">J216/I216</f>
        <v>1.271646859</v>
      </c>
      <c r="N216" s="96">
        <f t="shared" si="47"/>
        <v>2.8</v>
      </c>
      <c r="O216" s="97">
        <v>799.0</v>
      </c>
      <c r="P216" s="79" t="s">
        <v>111</v>
      </c>
      <c r="Q216" s="87"/>
      <c r="R216" s="87" t="s">
        <v>111</v>
      </c>
      <c r="S216" s="87"/>
    </row>
    <row r="217" ht="41.25" customHeight="1" outlineLevel="1">
      <c r="G217" s="91" t="s">
        <v>113</v>
      </c>
      <c r="I217" s="81">
        <v>599.0</v>
      </c>
      <c r="J217" s="110">
        <v>799.0</v>
      </c>
      <c r="K217" s="99">
        <v>168.0</v>
      </c>
      <c r="L217" s="96">
        <f t="shared" si="45"/>
        <v>0.2102628285</v>
      </c>
      <c r="M217" s="96">
        <f t="shared" si="49"/>
        <v>1.333889816</v>
      </c>
      <c r="N217" s="100">
        <f t="shared" si="47"/>
        <v>2.56547619</v>
      </c>
      <c r="O217" s="101">
        <v>849.0</v>
      </c>
      <c r="P217" s="79" t="s">
        <v>111</v>
      </c>
      <c r="Q217" s="79" t="s">
        <v>111</v>
      </c>
      <c r="R217" s="79" t="s">
        <v>111</v>
      </c>
      <c r="S217" s="87"/>
    </row>
    <row r="218" ht="41.25" customHeight="1" outlineLevel="1">
      <c r="A218" s="59"/>
      <c r="B218" s="59"/>
      <c r="C218" s="59"/>
      <c r="D218" s="59"/>
      <c r="E218" s="59"/>
      <c r="F218" s="59"/>
      <c r="G218" s="98" t="s">
        <v>114</v>
      </c>
      <c r="H218" s="59"/>
      <c r="I218" s="81">
        <v>0.0</v>
      </c>
      <c r="J218" s="81">
        <v>899.0</v>
      </c>
      <c r="K218" s="99">
        <v>168.0</v>
      </c>
      <c r="L218" s="96">
        <f t="shared" si="45"/>
        <v>0.1868743048</v>
      </c>
      <c r="M218" s="100">
        <f>I218/J218</f>
        <v>0</v>
      </c>
      <c r="N218" s="96">
        <f t="shared" si="47"/>
        <v>-1</v>
      </c>
      <c r="O218" s="97"/>
      <c r="P218" s="79" t="s">
        <v>112</v>
      </c>
      <c r="Q218" s="79"/>
      <c r="R218" s="79" t="s">
        <v>111</v>
      </c>
      <c r="S218" s="87"/>
    </row>
    <row r="219" ht="41.25" customHeight="1" outlineLevel="1">
      <c r="A219" s="87"/>
      <c r="B219" s="104" t="s">
        <v>337</v>
      </c>
      <c r="C219" s="89" t="s">
        <v>338</v>
      </c>
      <c r="D219" s="87" t="s">
        <v>121</v>
      </c>
      <c r="E219" s="90" t="s">
        <v>339</v>
      </c>
      <c r="F219" s="105" t="s">
        <v>340</v>
      </c>
      <c r="G219" s="91" t="s">
        <v>110</v>
      </c>
      <c r="H219" s="197">
        <v>520.0</v>
      </c>
      <c r="I219" s="93">
        <v>589.0</v>
      </c>
      <c r="J219" s="94">
        <v>749.0</v>
      </c>
      <c r="K219" s="95">
        <v>155.0</v>
      </c>
      <c r="L219" s="96">
        <f t="shared" si="45"/>
        <v>0.2069425901</v>
      </c>
      <c r="M219" s="96">
        <f t="shared" ref="M219:M220" si="50">J219/I219</f>
        <v>1.271646859</v>
      </c>
      <c r="N219" s="96">
        <f t="shared" si="47"/>
        <v>2.8</v>
      </c>
      <c r="O219" s="97">
        <v>799.0</v>
      </c>
      <c r="P219" s="79" t="s">
        <v>111</v>
      </c>
      <c r="Q219" s="87"/>
      <c r="R219" s="106" t="s">
        <v>111</v>
      </c>
      <c r="S219" s="106"/>
    </row>
    <row r="220" ht="41.25" customHeight="1" outlineLevel="1">
      <c r="G220" s="91" t="s">
        <v>113</v>
      </c>
      <c r="I220" s="81">
        <v>599.0</v>
      </c>
      <c r="J220" s="110">
        <v>799.0</v>
      </c>
      <c r="K220" s="99">
        <v>175.0</v>
      </c>
      <c r="L220" s="96">
        <f t="shared" si="45"/>
        <v>0.2190237797</v>
      </c>
      <c r="M220" s="96">
        <f t="shared" si="50"/>
        <v>1.333889816</v>
      </c>
      <c r="N220" s="100">
        <f t="shared" si="47"/>
        <v>2.422857143</v>
      </c>
      <c r="O220" s="101">
        <v>849.0</v>
      </c>
      <c r="P220" s="79" t="s">
        <v>111</v>
      </c>
      <c r="Q220" s="79" t="s">
        <v>111</v>
      </c>
      <c r="R220" s="107" t="s">
        <v>111</v>
      </c>
      <c r="S220" s="106"/>
    </row>
    <row r="221" ht="41.25" customHeight="1" outlineLevel="1">
      <c r="A221" s="59"/>
      <c r="B221" s="59"/>
      <c r="C221" s="59"/>
      <c r="D221" s="59"/>
      <c r="E221" s="59"/>
      <c r="F221" s="59"/>
      <c r="G221" s="98" t="s">
        <v>114</v>
      </c>
      <c r="H221" s="59"/>
      <c r="I221" s="81">
        <v>0.0</v>
      </c>
      <c r="J221" s="81">
        <v>899.0</v>
      </c>
      <c r="K221" s="99">
        <v>175.0</v>
      </c>
      <c r="L221" s="96">
        <f t="shared" si="45"/>
        <v>0.1946607341</v>
      </c>
      <c r="M221" s="100">
        <f>I221/J221</f>
        <v>0</v>
      </c>
      <c r="N221" s="96">
        <f t="shared" si="47"/>
        <v>-1</v>
      </c>
      <c r="O221" s="97"/>
      <c r="P221" s="79" t="s">
        <v>112</v>
      </c>
      <c r="Q221" s="79"/>
      <c r="R221" s="79" t="s">
        <v>111</v>
      </c>
      <c r="S221" s="87"/>
    </row>
    <row r="222" ht="41.25" customHeight="1" outlineLevel="1">
      <c r="A222" s="87"/>
      <c r="B222" s="119"/>
      <c r="C222" s="89" t="s">
        <v>341</v>
      </c>
      <c r="D222" s="87" t="s">
        <v>121</v>
      </c>
      <c r="E222" s="90" t="s">
        <v>342</v>
      </c>
      <c r="F222" s="105" t="s">
        <v>343</v>
      </c>
      <c r="G222" s="91" t="s">
        <v>110</v>
      </c>
      <c r="H222" s="92">
        <v>560.0</v>
      </c>
      <c r="I222" s="93">
        <v>589.0</v>
      </c>
      <c r="J222" s="94">
        <v>749.0</v>
      </c>
      <c r="K222" s="95">
        <v>185.0</v>
      </c>
      <c r="L222" s="96">
        <f t="shared" si="45"/>
        <v>0.2469959947</v>
      </c>
      <c r="M222" s="96">
        <f t="shared" ref="M222:M223" si="51">J222/I222</f>
        <v>1.271646859</v>
      </c>
      <c r="N222" s="96">
        <f t="shared" si="47"/>
        <v>2.183783784</v>
      </c>
      <c r="O222" s="97">
        <v>799.0</v>
      </c>
      <c r="P222" s="79" t="s">
        <v>111</v>
      </c>
      <c r="Q222" s="87"/>
      <c r="R222" s="87" t="s">
        <v>111</v>
      </c>
      <c r="S222" s="87"/>
    </row>
    <row r="223" ht="41.25" customHeight="1" outlineLevel="1">
      <c r="G223" s="91" t="s">
        <v>113</v>
      </c>
      <c r="I223" s="81">
        <v>599.0</v>
      </c>
      <c r="J223" s="110">
        <v>799.0</v>
      </c>
      <c r="K223" s="99">
        <v>198.0</v>
      </c>
      <c r="L223" s="96">
        <f t="shared" si="45"/>
        <v>0.2478097622</v>
      </c>
      <c r="M223" s="96">
        <f t="shared" si="51"/>
        <v>1.333889816</v>
      </c>
      <c r="N223" s="100">
        <f t="shared" si="47"/>
        <v>2.025252525</v>
      </c>
      <c r="O223" s="101">
        <v>849.0</v>
      </c>
      <c r="P223" s="79" t="s">
        <v>111</v>
      </c>
      <c r="Q223" s="79" t="s">
        <v>111</v>
      </c>
      <c r="R223" s="79" t="s">
        <v>111</v>
      </c>
      <c r="S223" s="87"/>
    </row>
    <row r="224" ht="41.25" customHeight="1" outlineLevel="1">
      <c r="A224" s="59"/>
      <c r="B224" s="59"/>
      <c r="C224" s="59"/>
      <c r="D224" s="59"/>
      <c r="E224" s="59"/>
      <c r="F224" s="59"/>
      <c r="G224" s="98" t="s">
        <v>114</v>
      </c>
      <c r="H224" s="59"/>
      <c r="I224" s="81">
        <v>0.0</v>
      </c>
      <c r="J224" s="81">
        <v>899.0</v>
      </c>
      <c r="K224" s="99">
        <v>198.0</v>
      </c>
      <c r="L224" s="96">
        <f t="shared" si="45"/>
        <v>0.2202447164</v>
      </c>
      <c r="M224" s="100">
        <f>I224/J224</f>
        <v>0</v>
      </c>
      <c r="N224" s="96">
        <f t="shared" si="47"/>
        <v>-1</v>
      </c>
      <c r="O224" s="97"/>
      <c r="P224" s="79" t="s">
        <v>112</v>
      </c>
      <c r="Q224" s="79"/>
      <c r="R224" s="79" t="s">
        <v>111</v>
      </c>
      <c r="S224" s="87"/>
    </row>
    <row r="225" ht="41.25" customHeight="1" outlineLevel="1">
      <c r="A225" s="87"/>
      <c r="B225" s="88"/>
      <c r="C225" s="89"/>
      <c r="D225" s="87" t="s">
        <v>121</v>
      </c>
      <c r="E225" s="90" t="s">
        <v>344</v>
      </c>
      <c r="F225" s="105" t="s">
        <v>345</v>
      </c>
      <c r="G225" s="91" t="s">
        <v>110</v>
      </c>
      <c r="H225" s="92">
        <v>520.0</v>
      </c>
      <c r="I225" s="93">
        <v>589.0</v>
      </c>
      <c r="J225" s="94">
        <v>749.0</v>
      </c>
      <c r="K225" s="95">
        <v>177.0</v>
      </c>
      <c r="L225" s="96">
        <f t="shared" si="45"/>
        <v>0.2363150868</v>
      </c>
      <c r="M225" s="96">
        <f t="shared" ref="M225:M226" si="52">J225/I225</f>
        <v>1.271646859</v>
      </c>
      <c r="N225" s="96">
        <f t="shared" si="47"/>
        <v>2.327683616</v>
      </c>
      <c r="O225" s="97">
        <v>799.0</v>
      </c>
      <c r="P225" s="79" t="s">
        <v>111</v>
      </c>
      <c r="Q225" s="87"/>
      <c r="R225" s="87" t="s">
        <v>111</v>
      </c>
      <c r="S225" s="87"/>
    </row>
    <row r="226" ht="41.25" customHeight="1" outlineLevel="1">
      <c r="G226" s="91" t="s">
        <v>113</v>
      </c>
      <c r="I226" s="81">
        <v>599.0</v>
      </c>
      <c r="J226" s="110">
        <v>799.0</v>
      </c>
      <c r="K226" s="99">
        <v>193.0</v>
      </c>
      <c r="L226" s="96">
        <f t="shared" si="45"/>
        <v>0.2415519399</v>
      </c>
      <c r="M226" s="96">
        <f t="shared" si="52"/>
        <v>1.333889816</v>
      </c>
      <c r="N226" s="100">
        <f t="shared" si="47"/>
        <v>2.103626943</v>
      </c>
      <c r="O226" s="101">
        <v>849.0</v>
      </c>
      <c r="P226" s="79" t="s">
        <v>111</v>
      </c>
      <c r="Q226" s="79" t="s">
        <v>111</v>
      </c>
      <c r="R226" s="79" t="s">
        <v>111</v>
      </c>
      <c r="S226" s="87"/>
    </row>
    <row r="227" ht="41.25" customHeight="1" outlineLevel="1">
      <c r="A227" s="59"/>
      <c r="B227" s="59"/>
      <c r="C227" s="59"/>
      <c r="D227" s="59"/>
      <c r="E227" s="59"/>
      <c r="F227" s="59"/>
      <c r="G227" s="98" t="s">
        <v>114</v>
      </c>
      <c r="H227" s="59"/>
      <c r="I227" s="81">
        <v>0.0</v>
      </c>
      <c r="J227" s="81">
        <v>899.0</v>
      </c>
      <c r="K227" s="99">
        <v>193.0</v>
      </c>
      <c r="L227" s="96">
        <f t="shared" si="45"/>
        <v>0.2146829811</v>
      </c>
      <c r="M227" s="100">
        <f>I227/J227</f>
        <v>0</v>
      </c>
      <c r="N227" s="96">
        <f t="shared" si="47"/>
        <v>-1</v>
      </c>
      <c r="O227" s="97"/>
      <c r="P227" s="79" t="s">
        <v>112</v>
      </c>
      <c r="Q227" s="79"/>
      <c r="R227" s="79" t="s">
        <v>111</v>
      </c>
      <c r="S227" s="87"/>
    </row>
    <row r="228" ht="41.25" customHeight="1" outlineLevel="1">
      <c r="A228" s="87"/>
      <c r="B228" s="112" t="s">
        <v>346</v>
      </c>
      <c r="C228" s="89" t="s">
        <v>347</v>
      </c>
      <c r="D228" s="87" t="s">
        <v>121</v>
      </c>
      <c r="E228" s="90" t="s">
        <v>348</v>
      </c>
      <c r="F228" s="105" t="s">
        <v>349</v>
      </c>
      <c r="G228" s="91" t="s">
        <v>110</v>
      </c>
      <c r="H228" s="92">
        <v>520.0</v>
      </c>
      <c r="I228" s="93">
        <v>589.0</v>
      </c>
      <c r="J228" s="94">
        <v>749.0</v>
      </c>
      <c r="K228" s="95">
        <v>171.0</v>
      </c>
      <c r="L228" s="96">
        <f t="shared" si="45"/>
        <v>0.2283044059</v>
      </c>
      <c r="M228" s="96">
        <f t="shared" ref="M228:M229" si="53">J228/I228</f>
        <v>1.271646859</v>
      </c>
      <c r="N228" s="96">
        <f t="shared" si="47"/>
        <v>2.444444444</v>
      </c>
      <c r="O228" s="97">
        <v>799.0</v>
      </c>
      <c r="P228" s="79" t="s">
        <v>111</v>
      </c>
      <c r="Q228" s="87"/>
      <c r="R228" s="106" t="s">
        <v>111</v>
      </c>
      <c r="S228" s="106"/>
    </row>
    <row r="229" ht="41.25" customHeight="1" outlineLevel="1">
      <c r="G229" s="91" t="s">
        <v>113</v>
      </c>
      <c r="I229" s="81">
        <v>599.0</v>
      </c>
      <c r="J229" s="110">
        <v>799.0</v>
      </c>
      <c r="K229" s="99">
        <v>186.0</v>
      </c>
      <c r="L229" s="96">
        <f t="shared" si="45"/>
        <v>0.2327909887</v>
      </c>
      <c r="M229" s="96">
        <f t="shared" si="53"/>
        <v>1.333889816</v>
      </c>
      <c r="N229" s="100">
        <f t="shared" si="47"/>
        <v>2.220430108</v>
      </c>
      <c r="O229" s="101">
        <v>849.0</v>
      </c>
      <c r="P229" s="79" t="s">
        <v>111</v>
      </c>
      <c r="Q229" s="79" t="s">
        <v>111</v>
      </c>
      <c r="R229" s="107" t="s">
        <v>111</v>
      </c>
      <c r="S229" s="106"/>
    </row>
    <row r="230" ht="41.25" customHeight="1" outlineLevel="1">
      <c r="A230" s="59"/>
      <c r="B230" s="59"/>
      <c r="C230" s="59"/>
      <c r="D230" s="59"/>
      <c r="E230" s="59"/>
      <c r="F230" s="59"/>
      <c r="G230" s="98" t="s">
        <v>114</v>
      </c>
      <c r="H230" s="59"/>
      <c r="I230" s="81">
        <v>0.0</v>
      </c>
      <c r="J230" s="81">
        <v>899.0</v>
      </c>
      <c r="K230" s="99">
        <v>186.0</v>
      </c>
      <c r="L230" s="96">
        <f t="shared" si="45"/>
        <v>0.2068965517</v>
      </c>
      <c r="M230" s="100">
        <f>I230/J230</f>
        <v>0</v>
      </c>
      <c r="N230" s="96">
        <f t="shared" si="47"/>
        <v>-1</v>
      </c>
      <c r="O230" s="97"/>
      <c r="P230" s="79" t="s">
        <v>112</v>
      </c>
      <c r="Q230" s="79"/>
      <c r="R230" s="188" t="s">
        <v>111</v>
      </c>
      <c r="S230" s="87"/>
    </row>
    <row r="231" ht="41.25" customHeight="1">
      <c r="A231" s="89"/>
      <c r="B231" s="89" t="str">
        <f>"Десерты "&amp;COUNTA(E241:E258)&amp;" шт"</f>
        <v>Десерты 7 шт</v>
      </c>
      <c r="C231" s="89"/>
      <c r="D231" s="87"/>
      <c r="E231" s="90"/>
      <c r="F231" s="90"/>
      <c r="G231" s="87"/>
      <c r="H231" s="156"/>
      <c r="I231" s="93"/>
      <c r="J231" s="93"/>
      <c r="K231" s="157"/>
      <c r="L231" s="158">
        <f>AVERAGE(L233:L259)</f>
        <v>0.3460781009</v>
      </c>
      <c r="M231" s="158"/>
      <c r="N231" s="96"/>
      <c r="O231" s="97"/>
      <c r="P231" s="93"/>
      <c r="Q231" s="93"/>
      <c r="R231" s="86"/>
      <c r="S231" s="86"/>
    </row>
    <row r="232" ht="41.25" customHeight="1" outlineLevel="1">
      <c r="A232" s="106"/>
      <c r="B232" s="106"/>
      <c r="C232" s="106"/>
      <c r="D232" s="106"/>
      <c r="E232" s="190" t="s">
        <v>350</v>
      </c>
      <c r="F232" s="190"/>
      <c r="G232" s="106" t="s">
        <v>114</v>
      </c>
      <c r="H232" s="191">
        <v>160.0</v>
      </c>
      <c r="I232" s="184"/>
      <c r="J232" s="81">
        <v>459.0</v>
      </c>
      <c r="K232" s="185">
        <v>92.0</v>
      </c>
      <c r="L232" s="192">
        <f t="shared" ref="L232:L260" si="54">K232/J232</f>
        <v>0.2004357298</v>
      </c>
      <c r="M232" s="192"/>
      <c r="N232" s="192">
        <f t="shared" ref="N232:N242" si="55">I232/K232-1</f>
        <v>-1</v>
      </c>
      <c r="O232" s="187"/>
      <c r="P232" s="106"/>
      <c r="Q232" s="106"/>
      <c r="R232" s="106"/>
      <c r="S232" s="106"/>
    </row>
    <row r="233" ht="41.25" customHeight="1" outlineLevel="1">
      <c r="A233" s="87"/>
      <c r="B233" s="87" t="s">
        <v>351</v>
      </c>
      <c r="C233" s="89" t="s">
        <v>352</v>
      </c>
      <c r="D233" s="87"/>
      <c r="E233" s="90" t="s">
        <v>353</v>
      </c>
      <c r="F233" s="90" t="s">
        <v>354</v>
      </c>
      <c r="G233" s="91" t="s">
        <v>110</v>
      </c>
      <c r="H233" s="92">
        <v>80.0</v>
      </c>
      <c r="I233" s="93"/>
      <c r="J233" s="93">
        <v>299.0</v>
      </c>
      <c r="K233" s="95">
        <v>120.0</v>
      </c>
      <c r="L233" s="96">
        <f t="shared" si="54"/>
        <v>0.4013377926</v>
      </c>
      <c r="M233" s="96"/>
      <c r="N233" s="96">
        <f t="shared" si="55"/>
        <v>-1</v>
      </c>
      <c r="O233" s="97" t="s">
        <v>89</v>
      </c>
      <c r="P233" s="87" t="s">
        <v>112</v>
      </c>
      <c r="Q233" s="87"/>
      <c r="R233" s="102" t="s">
        <v>112</v>
      </c>
      <c r="S233" s="102"/>
    </row>
    <row r="234" ht="41.25" customHeight="1" outlineLevel="1">
      <c r="A234" s="59"/>
      <c r="B234" s="59"/>
      <c r="C234" s="59"/>
      <c r="D234" s="59"/>
      <c r="E234" s="59"/>
      <c r="F234" s="59"/>
      <c r="H234" s="59"/>
      <c r="I234" s="81"/>
      <c r="J234" s="81">
        <v>299.0</v>
      </c>
      <c r="K234" s="99">
        <v>120.0</v>
      </c>
      <c r="L234" s="100">
        <f t="shared" si="54"/>
        <v>0.4013377926</v>
      </c>
      <c r="M234" s="100"/>
      <c r="N234" s="100">
        <f t="shared" si="55"/>
        <v>-1</v>
      </c>
      <c r="O234" s="101"/>
      <c r="P234" s="59"/>
      <c r="Q234" s="79"/>
      <c r="R234" s="103"/>
      <c r="S234" s="102"/>
    </row>
    <row r="235" ht="41.25" customHeight="1" outlineLevel="1">
      <c r="A235" s="87"/>
      <c r="B235" s="87" t="s">
        <v>355</v>
      </c>
      <c r="C235" s="89" t="s">
        <v>356</v>
      </c>
      <c r="D235" s="87"/>
      <c r="E235" s="90" t="s">
        <v>357</v>
      </c>
      <c r="F235" s="90"/>
      <c r="G235" s="91" t="s">
        <v>110</v>
      </c>
      <c r="H235" s="92">
        <v>75.0</v>
      </c>
      <c r="I235" s="93"/>
      <c r="J235" s="94">
        <v>299.0</v>
      </c>
      <c r="K235" s="95">
        <v>90.0</v>
      </c>
      <c r="L235" s="96">
        <f t="shared" si="54"/>
        <v>0.3010033445</v>
      </c>
      <c r="M235" s="96"/>
      <c r="N235" s="96">
        <f t="shared" si="55"/>
        <v>-1</v>
      </c>
      <c r="O235" s="97" t="s">
        <v>89</v>
      </c>
      <c r="P235" s="87" t="s">
        <v>112</v>
      </c>
      <c r="Q235" s="87"/>
      <c r="R235" s="102" t="s">
        <v>112</v>
      </c>
      <c r="S235" s="102"/>
    </row>
    <row r="236" ht="41.25" customHeight="1" outlineLevel="1">
      <c r="A236" s="59"/>
      <c r="B236" s="59"/>
      <c r="C236" s="59"/>
      <c r="D236" s="59"/>
      <c r="E236" s="59"/>
      <c r="F236" s="59"/>
      <c r="G236" s="59"/>
      <c r="H236" s="59"/>
      <c r="I236" s="81"/>
      <c r="J236" s="110">
        <v>299.0</v>
      </c>
      <c r="K236" s="99">
        <v>90.0</v>
      </c>
      <c r="L236" s="100">
        <f t="shared" si="54"/>
        <v>0.3010033445</v>
      </c>
      <c r="M236" s="100"/>
      <c r="N236" s="100">
        <f t="shared" si="55"/>
        <v>-1</v>
      </c>
      <c r="O236" s="101"/>
      <c r="P236" s="59"/>
      <c r="Q236" s="79"/>
      <c r="R236" s="103"/>
      <c r="S236" s="102"/>
    </row>
    <row r="237" ht="41.25" customHeight="1" outlineLevel="1">
      <c r="A237" s="87"/>
      <c r="B237" s="87" t="s">
        <v>358</v>
      </c>
      <c r="C237" s="89" t="s">
        <v>359</v>
      </c>
      <c r="D237" s="87"/>
      <c r="E237" s="90" t="s">
        <v>360</v>
      </c>
      <c r="F237" s="90" t="s">
        <v>361</v>
      </c>
      <c r="G237" s="91" t="s">
        <v>110</v>
      </c>
      <c r="H237" s="92">
        <v>140.0</v>
      </c>
      <c r="I237" s="93"/>
      <c r="J237" s="93">
        <v>329.0</v>
      </c>
      <c r="K237" s="95">
        <v>149.0</v>
      </c>
      <c r="L237" s="96">
        <f t="shared" si="54"/>
        <v>0.452887538</v>
      </c>
      <c r="M237" s="96"/>
      <c r="N237" s="96">
        <f t="shared" si="55"/>
        <v>-1</v>
      </c>
      <c r="O237" s="97">
        <v>379.0</v>
      </c>
      <c r="P237" s="87" t="s">
        <v>111</v>
      </c>
      <c r="Q237" s="87"/>
      <c r="R237" s="102" t="s">
        <v>111</v>
      </c>
      <c r="S237" s="102"/>
    </row>
    <row r="238" ht="41.25" customHeight="1" outlineLevel="1">
      <c r="A238" s="59"/>
      <c r="B238" s="59"/>
      <c r="C238" s="59"/>
      <c r="D238" s="59"/>
      <c r="E238" s="59"/>
      <c r="F238" s="59"/>
      <c r="G238" s="59"/>
      <c r="H238" s="59"/>
      <c r="I238" s="81"/>
      <c r="J238" s="81">
        <v>329.0</v>
      </c>
      <c r="K238" s="99">
        <v>149.0</v>
      </c>
      <c r="L238" s="100">
        <f t="shared" si="54"/>
        <v>0.452887538</v>
      </c>
      <c r="M238" s="100"/>
      <c r="N238" s="100">
        <f t="shared" si="55"/>
        <v>-1</v>
      </c>
      <c r="O238" s="101">
        <v>379.0</v>
      </c>
      <c r="P238" s="79" t="s">
        <v>111</v>
      </c>
      <c r="Q238" s="79"/>
      <c r="R238" s="103"/>
      <c r="S238" s="102"/>
    </row>
    <row r="239" ht="41.25" customHeight="1" outlineLevel="1">
      <c r="A239" s="87"/>
      <c r="B239" s="87" t="s">
        <v>362</v>
      </c>
      <c r="C239" s="89" t="s">
        <v>363</v>
      </c>
      <c r="D239" s="87"/>
      <c r="E239" s="90" t="s">
        <v>364</v>
      </c>
      <c r="F239" s="90" t="s">
        <v>365</v>
      </c>
      <c r="G239" s="91" t="s">
        <v>110</v>
      </c>
      <c r="H239" s="92">
        <v>80.0</v>
      </c>
      <c r="I239" s="93"/>
      <c r="J239" s="93">
        <v>289.0</v>
      </c>
      <c r="K239" s="95">
        <v>120.0</v>
      </c>
      <c r="L239" s="96">
        <f t="shared" si="54"/>
        <v>0.4152249135</v>
      </c>
      <c r="M239" s="96"/>
      <c r="N239" s="96">
        <f t="shared" si="55"/>
        <v>-1</v>
      </c>
      <c r="O239" s="97">
        <v>339.0</v>
      </c>
      <c r="P239" s="87" t="s">
        <v>112</v>
      </c>
      <c r="Q239" s="87"/>
      <c r="R239" s="102" t="s">
        <v>111</v>
      </c>
      <c r="S239" s="102"/>
    </row>
    <row r="240" ht="41.25" customHeight="1" outlineLevel="1">
      <c r="A240" s="59"/>
      <c r="B240" s="59"/>
      <c r="C240" s="59"/>
      <c r="D240" s="59"/>
      <c r="E240" s="59"/>
      <c r="F240" s="59"/>
      <c r="G240" s="59"/>
      <c r="H240" s="59"/>
      <c r="I240" s="81"/>
      <c r="J240" s="81">
        <v>289.0</v>
      </c>
      <c r="K240" s="99">
        <v>120.0</v>
      </c>
      <c r="L240" s="100">
        <f t="shared" si="54"/>
        <v>0.4152249135</v>
      </c>
      <c r="M240" s="100"/>
      <c r="N240" s="100">
        <f t="shared" si="55"/>
        <v>-1</v>
      </c>
      <c r="O240" s="101"/>
      <c r="P240" s="59"/>
      <c r="Q240" s="79"/>
      <c r="R240" s="103"/>
      <c r="S240" s="102"/>
    </row>
    <row r="241" ht="41.25" customHeight="1" outlineLevel="1">
      <c r="A241" s="87"/>
      <c r="B241" s="87"/>
      <c r="C241" s="89" t="s">
        <v>366</v>
      </c>
      <c r="D241" s="87" t="s">
        <v>367</v>
      </c>
      <c r="E241" s="90" t="s">
        <v>368</v>
      </c>
      <c r="F241" s="90" t="s">
        <v>369</v>
      </c>
      <c r="G241" s="91" t="s">
        <v>110</v>
      </c>
      <c r="H241" s="92">
        <v>150.0</v>
      </c>
      <c r="I241" s="93"/>
      <c r="J241" s="94">
        <v>349.0</v>
      </c>
      <c r="K241" s="95">
        <v>110.0</v>
      </c>
      <c r="L241" s="96">
        <f t="shared" si="54"/>
        <v>0.3151862464</v>
      </c>
      <c r="M241" s="96"/>
      <c r="N241" s="96">
        <f t="shared" si="55"/>
        <v>-1</v>
      </c>
      <c r="O241" s="97">
        <v>389.0</v>
      </c>
      <c r="P241" s="87" t="s">
        <v>111</v>
      </c>
      <c r="Q241" s="87"/>
      <c r="R241" s="102" t="s">
        <v>111</v>
      </c>
      <c r="S241" s="102"/>
    </row>
    <row r="242" ht="41.25" customHeight="1" outlineLevel="1">
      <c r="G242" s="91" t="s">
        <v>113</v>
      </c>
      <c r="I242" s="81"/>
      <c r="J242" s="110">
        <v>349.0</v>
      </c>
      <c r="K242" s="99">
        <v>110.0</v>
      </c>
      <c r="L242" s="96">
        <f t="shared" si="54"/>
        <v>0.3151862464</v>
      </c>
      <c r="M242" s="100"/>
      <c r="N242" s="100">
        <f t="shared" si="55"/>
        <v>-1</v>
      </c>
      <c r="O242" s="101">
        <v>399.0</v>
      </c>
      <c r="P242" s="79" t="s">
        <v>111</v>
      </c>
      <c r="Q242" s="79" t="s">
        <v>111</v>
      </c>
      <c r="R242" s="103"/>
      <c r="S242" s="102"/>
    </row>
    <row r="243" ht="41.25" customHeight="1" outlineLevel="1">
      <c r="A243" s="59"/>
      <c r="B243" s="59"/>
      <c r="C243" s="59"/>
      <c r="D243" s="59"/>
      <c r="E243" s="59"/>
      <c r="G243" s="98" t="s">
        <v>114</v>
      </c>
      <c r="H243" s="59"/>
      <c r="I243" s="93"/>
      <c r="J243" s="81">
        <v>399.0</v>
      </c>
      <c r="K243" s="95">
        <v>110.0</v>
      </c>
      <c r="L243" s="96">
        <f t="shared" si="54"/>
        <v>0.2756892231</v>
      </c>
      <c r="M243" s="96"/>
      <c r="N243" s="96"/>
      <c r="O243" s="97"/>
      <c r="P243" s="87"/>
      <c r="Q243" s="87"/>
      <c r="R243" s="102"/>
      <c r="S243" s="102"/>
    </row>
    <row r="244" ht="41.25" customHeight="1" outlineLevel="1">
      <c r="A244" s="87"/>
      <c r="B244" s="87"/>
      <c r="C244" s="89" t="s">
        <v>370</v>
      </c>
      <c r="D244" s="87" t="s">
        <v>163</v>
      </c>
      <c r="E244" s="90" t="s">
        <v>371</v>
      </c>
      <c r="G244" s="91" t="s">
        <v>110</v>
      </c>
      <c r="H244" s="92">
        <v>150.0</v>
      </c>
      <c r="I244" s="93"/>
      <c r="J244" s="94">
        <v>349.0</v>
      </c>
      <c r="K244" s="99">
        <v>110.0</v>
      </c>
      <c r="L244" s="96">
        <f t="shared" si="54"/>
        <v>0.3151862464</v>
      </c>
      <c r="M244" s="96"/>
      <c r="N244" s="96">
        <f t="shared" ref="N244:N245" si="56">I244/K244-1</f>
        <v>-1</v>
      </c>
      <c r="O244" s="97">
        <v>389.0</v>
      </c>
      <c r="P244" s="87" t="s">
        <v>111</v>
      </c>
      <c r="Q244" s="87"/>
      <c r="R244" s="102" t="s">
        <v>111</v>
      </c>
      <c r="S244" s="102"/>
    </row>
    <row r="245" ht="41.25" customHeight="1" outlineLevel="1">
      <c r="G245" s="91" t="s">
        <v>113</v>
      </c>
      <c r="I245" s="81"/>
      <c r="J245" s="110">
        <v>349.0</v>
      </c>
      <c r="K245" s="95">
        <v>110.0</v>
      </c>
      <c r="L245" s="96">
        <f t="shared" si="54"/>
        <v>0.3151862464</v>
      </c>
      <c r="M245" s="100"/>
      <c r="N245" s="100">
        <f t="shared" si="56"/>
        <v>-1</v>
      </c>
      <c r="O245" s="101">
        <v>399.0</v>
      </c>
      <c r="P245" s="79" t="s">
        <v>111</v>
      </c>
      <c r="Q245" s="79" t="s">
        <v>111</v>
      </c>
      <c r="R245" s="103"/>
      <c r="S245" s="102"/>
    </row>
    <row r="246" ht="41.25" customHeight="1" outlineLevel="1">
      <c r="A246" s="59"/>
      <c r="B246" s="59"/>
      <c r="C246" s="59"/>
      <c r="D246" s="59"/>
      <c r="E246" s="59"/>
      <c r="F246" s="59"/>
      <c r="G246" s="98" t="s">
        <v>114</v>
      </c>
      <c r="H246" s="59"/>
      <c r="I246" s="93"/>
      <c r="J246" s="81">
        <v>399.0</v>
      </c>
      <c r="K246" s="99">
        <v>110.0</v>
      </c>
      <c r="L246" s="96">
        <f t="shared" si="54"/>
        <v>0.2756892231</v>
      </c>
      <c r="M246" s="96"/>
      <c r="N246" s="96"/>
      <c r="O246" s="97"/>
      <c r="P246" s="87"/>
      <c r="Q246" s="87"/>
      <c r="R246" s="102"/>
      <c r="S246" s="102"/>
    </row>
    <row r="247" ht="41.25" customHeight="1" outlineLevel="1">
      <c r="A247" s="87"/>
      <c r="B247" s="198"/>
      <c r="C247" s="89"/>
      <c r="D247" s="87" t="s">
        <v>372</v>
      </c>
      <c r="E247" s="90" t="s">
        <v>373</v>
      </c>
      <c r="F247" s="90" t="s">
        <v>374</v>
      </c>
      <c r="G247" s="91" t="s">
        <v>110</v>
      </c>
      <c r="H247" s="92">
        <v>300.0</v>
      </c>
      <c r="I247" s="93">
        <v>389.0</v>
      </c>
      <c r="J247" s="93">
        <v>399.0</v>
      </c>
      <c r="K247" s="95">
        <v>141.0</v>
      </c>
      <c r="L247" s="96">
        <f t="shared" si="54"/>
        <v>0.3533834586</v>
      </c>
      <c r="M247" s="96">
        <f t="shared" ref="M247:M248" si="57">J247/I247</f>
        <v>1.025706941</v>
      </c>
      <c r="N247" s="96">
        <f t="shared" ref="N247:N260" si="58">I247/K247-1</f>
        <v>1.758865248</v>
      </c>
      <c r="O247" s="97" t="s">
        <v>89</v>
      </c>
      <c r="P247" s="87" t="s">
        <v>112</v>
      </c>
      <c r="Q247" s="87"/>
      <c r="R247" s="87" t="s">
        <v>112</v>
      </c>
      <c r="S247" s="87"/>
    </row>
    <row r="248" ht="41.25" customHeight="1" outlineLevel="1">
      <c r="G248" s="91" t="s">
        <v>113</v>
      </c>
      <c r="I248" s="81">
        <v>399.0</v>
      </c>
      <c r="J248" s="81">
        <v>399.0</v>
      </c>
      <c r="K248" s="99">
        <v>149.0</v>
      </c>
      <c r="L248" s="96">
        <f t="shared" si="54"/>
        <v>0.373433584</v>
      </c>
      <c r="M248" s="96">
        <f t="shared" si="57"/>
        <v>1</v>
      </c>
      <c r="N248" s="100">
        <f t="shared" si="58"/>
        <v>1.677852349</v>
      </c>
      <c r="O248" s="101"/>
      <c r="P248" s="79" t="s">
        <v>112</v>
      </c>
      <c r="Q248" s="79"/>
      <c r="R248" s="79" t="s">
        <v>112</v>
      </c>
      <c r="S248" s="87"/>
    </row>
    <row r="249" ht="41.25" customHeight="1" outlineLevel="1">
      <c r="G249" s="98" t="s">
        <v>114</v>
      </c>
      <c r="I249" s="81">
        <v>0.0</v>
      </c>
      <c r="J249" s="81">
        <v>499.0</v>
      </c>
      <c r="K249" s="99">
        <v>149.0</v>
      </c>
      <c r="L249" s="96">
        <f t="shared" si="54"/>
        <v>0.2985971944</v>
      </c>
      <c r="M249" s="100">
        <f>I249/J249</f>
        <v>0</v>
      </c>
      <c r="N249" s="96">
        <f t="shared" si="58"/>
        <v>-1</v>
      </c>
      <c r="O249" s="97"/>
      <c r="P249" s="79" t="s">
        <v>112</v>
      </c>
      <c r="Q249" s="79"/>
      <c r="R249" s="79" t="s">
        <v>112</v>
      </c>
      <c r="S249" s="87"/>
    </row>
    <row r="250" ht="41.25" customHeight="1" outlineLevel="1">
      <c r="A250" s="87"/>
      <c r="B250" s="198"/>
      <c r="C250" s="89"/>
      <c r="D250" s="87" t="s">
        <v>163</v>
      </c>
      <c r="E250" s="90" t="s">
        <v>375</v>
      </c>
      <c r="F250" s="90" t="s">
        <v>376</v>
      </c>
      <c r="G250" s="91" t="s">
        <v>110</v>
      </c>
      <c r="H250" s="92">
        <v>135.0</v>
      </c>
      <c r="I250" s="93">
        <v>379.0</v>
      </c>
      <c r="J250" s="93">
        <v>389.0</v>
      </c>
      <c r="K250" s="95">
        <v>192.0</v>
      </c>
      <c r="L250" s="96">
        <f t="shared" si="54"/>
        <v>0.4935732648</v>
      </c>
      <c r="M250" s="96">
        <f t="shared" ref="M250:M251" si="59">J250/I250</f>
        <v>1.026385224</v>
      </c>
      <c r="N250" s="96">
        <f t="shared" si="58"/>
        <v>0.9739583333</v>
      </c>
      <c r="O250" s="97">
        <v>429.0</v>
      </c>
      <c r="P250" s="87" t="s">
        <v>111</v>
      </c>
      <c r="Q250" s="87"/>
      <c r="R250" s="106" t="s">
        <v>111</v>
      </c>
      <c r="S250" s="106"/>
    </row>
    <row r="251" ht="41.25" customHeight="1" outlineLevel="1">
      <c r="G251" s="91" t="s">
        <v>113</v>
      </c>
      <c r="I251" s="81">
        <v>389.0</v>
      </c>
      <c r="J251" s="81">
        <v>399.0</v>
      </c>
      <c r="K251" s="99">
        <v>102.0</v>
      </c>
      <c r="L251" s="96">
        <f t="shared" si="54"/>
        <v>0.2556390977</v>
      </c>
      <c r="M251" s="100">
        <f t="shared" si="59"/>
        <v>1.025706941</v>
      </c>
      <c r="N251" s="100">
        <f t="shared" si="58"/>
        <v>2.81372549</v>
      </c>
      <c r="O251" s="101">
        <v>449.0</v>
      </c>
      <c r="P251" s="79" t="s">
        <v>111</v>
      </c>
      <c r="Q251" s="79" t="s">
        <v>111</v>
      </c>
      <c r="R251" s="107" t="s">
        <v>111</v>
      </c>
      <c r="S251" s="106"/>
    </row>
    <row r="252" ht="41.25" customHeight="1" outlineLevel="1">
      <c r="A252" s="59"/>
      <c r="B252" s="59"/>
      <c r="C252" s="59"/>
      <c r="D252" s="59"/>
      <c r="E252" s="59"/>
      <c r="F252" s="59"/>
      <c r="G252" s="98" t="s">
        <v>114</v>
      </c>
      <c r="H252" s="59"/>
      <c r="I252" s="81">
        <v>0.0</v>
      </c>
      <c r="J252" s="81">
        <v>499.0</v>
      </c>
      <c r="K252" s="99">
        <v>102.0</v>
      </c>
      <c r="L252" s="96">
        <f t="shared" si="54"/>
        <v>0.2044088176</v>
      </c>
      <c r="M252" s="100">
        <f>I252/J252</f>
        <v>0</v>
      </c>
      <c r="N252" s="96">
        <f t="shared" si="58"/>
        <v>-1</v>
      </c>
      <c r="O252" s="97"/>
      <c r="P252" s="79" t="s">
        <v>112</v>
      </c>
      <c r="Q252" s="79"/>
      <c r="R252" s="79" t="s">
        <v>111</v>
      </c>
      <c r="S252" s="87"/>
    </row>
    <row r="253" ht="41.25" customHeight="1" outlineLevel="1">
      <c r="A253" s="87"/>
      <c r="B253" s="198"/>
      <c r="C253" s="89"/>
      <c r="D253" s="87"/>
      <c r="E253" s="90" t="s">
        <v>377</v>
      </c>
      <c r="F253" s="68"/>
      <c r="G253" s="91" t="s">
        <v>110</v>
      </c>
      <c r="H253" s="92">
        <v>150.0</v>
      </c>
      <c r="I253" s="93">
        <v>299.0</v>
      </c>
      <c r="J253" s="93">
        <v>329.0</v>
      </c>
      <c r="K253" s="95">
        <v>109.0</v>
      </c>
      <c r="L253" s="96">
        <f t="shared" si="54"/>
        <v>0.3313069909</v>
      </c>
      <c r="M253" s="96">
        <f t="shared" ref="M253:M254" si="60">J253/I253</f>
        <v>1.100334448</v>
      </c>
      <c r="N253" s="96">
        <f t="shared" si="58"/>
        <v>1.743119266</v>
      </c>
      <c r="O253" s="97">
        <v>369.0</v>
      </c>
      <c r="P253" s="87" t="s">
        <v>111</v>
      </c>
      <c r="Q253" s="87"/>
      <c r="R253" s="87" t="s">
        <v>111</v>
      </c>
      <c r="S253" s="87"/>
    </row>
    <row r="254" ht="41.25" customHeight="1" outlineLevel="1">
      <c r="G254" s="91" t="s">
        <v>113</v>
      </c>
      <c r="I254" s="81">
        <v>329.0</v>
      </c>
      <c r="J254" s="81">
        <v>349.0</v>
      </c>
      <c r="K254" s="99">
        <v>125.0</v>
      </c>
      <c r="L254" s="96">
        <f t="shared" si="54"/>
        <v>0.3581661891</v>
      </c>
      <c r="M254" s="100">
        <f t="shared" si="60"/>
        <v>1.060790274</v>
      </c>
      <c r="N254" s="100">
        <f t="shared" si="58"/>
        <v>1.632</v>
      </c>
      <c r="O254" s="101">
        <v>399.0</v>
      </c>
      <c r="P254" s="79" t="s">
        <v>111</v>
      </c>
      <c r="Q254" s="79" t="s">
        <v>111</v>
      </c>
      <c r="R254" s="79" t="s">
        <v>111</v>
      </c>
      <c r="S254" s="87"/>
    </row>
    <row r="255" ht="41.25" customHeight="1" outlineLevel="1">
      <c r="A255" s="59"/>
      <c r="B255" s="59"/>
      <c r="C255" s="59"/>
      <c r="D255" s="59"/>
      <c r="E255" s="59"/>
      <c r="F255" s="59"/>
      <c r="G255" s="98" t="s">
        <v>114</v>
      </c>
      <c r="H255" s="59"/>
      <c r="I255" s="81">
        <v>0.0</v>
      </c>
      <c r="J255" s="81">
        <v>449.0</v>
      </c>
      <c r="K255" s="99">
        <v>125.0</v>
      </c>
      <c r="L255" s="96">
        <f t="shared" si="54"/>
        <v>0.2783964365</v>
      </c>
      <c r="M255" s="100">
        <f>I255/J255</f>
        <v>0</v>
      </c>
      <c r="N255" s="96">
        <f t="shared" si="58"/>
        <v>-1</v>
      </c>
      <c r="O255" s="97"/>
      <c r="P255" s="79" t="s">
        <v>112</v>
      </c>
      <c r="Q255" s="79"/>
      <c r="R255" s="79" t="s">
        <v>111</v>
      </c>
      <c r="S255" s="87"/>
    </row>
    <row r="256" ht="41.25" customHeight="1" outlineLevel="1">
      <c r="A256" s="87"/>
      <c r="B256" s="198"/>
      <c r="C256" s="199"/>
      <c r="D256" s="87"/>
      <c r="E256" s="200" t="s">
        <v>378</v>
      </c>
      <c r="F256" s="90" t="s">
        <v>379</v>
      </c>
      <c r="G256" s="91" t="s">
        <v>110</v>
      </c>
      <c r="H256" s="92">
        <v>135.0</v>
      </c>
      <c r="I256" s="93">
        <v>399.0</v>
      </c>
      <c r="J256" s="93">
        <v>399.0</v>
      </c>
      <c r="K256" s="95">
        <v>219.0</v>
      </c>
      <c r="L256" s="96">
        <f t="shared" si="54"/>
        <v>0.5488721805</v>
      </c>
      <c r="M256" s="96">
        <f t="shared" ref="M256:M259" si="61">J256/I256</f>
        <v>1</v>
      </c>
      <c r="N256" s="96">
        <f t="shared" si="58"/>
        <v>0.8219178082</v>
      </c>
      <c r="O256" s="97">
        <v>429.0</v>
      </c>
      <c r="P256" s="87" t="s">
        <v>111</v>
      </c>
      <c r="Q256" s="87"/>
      <c r="R256" s="87" t="s">
        <v>111</v>
      </c>
      <c r="S256" s="87"/>
    </row>
    <row r="257" ht="41.25" customHeight="1" outlineLevel="1">
      <c r="A257" s="59"/>
      <c r="B257" s="59"/>
      <c r="C257" s="59"/>
      <c r="D257" s="59"/>
      <c r="E257" s="59"/>
      <c r="F257" s="59"/>
      <c r="G257" s="59"/>
      <c r="H257" s="59"/>
      <c r="I257" s="81">
        <v>349.0</v>
      </c>
      <c r="J257" s="81">
        <v>399.0</v>
      </c>
      <c r="K257" s="99">
        <v>139.0</v>
      </c>
      <c r="L257" s="100">
        <f t="shared" si="54"/>
        <v>0.3483709273</v>
      </c>
      <c r="M257" s="100">
        <f t="shared" si="61"/>
        <v>1.143266476</v>
      </c>
      <c r="N257" s="100">
        <f t="shared" si="58"/>
        <v>1.510791367</v>
      </c>
      <c r="O257" s="101"/>
      <c r="P257" s="59"/>
      <c r="Q257" s="79"/>
      <c r="R257" s="79" t="s">
        <v>111</v>
      </c>
      <c r="S257" s="87"/>
    </row>
    <row r="258" ht="41.25" customHeight="1" outlineLevel="1">
      <c r="A258" s="87"/>
      <c r="B258" s="119"/>
      <c r="C258" s="89"/>
      <c r="D258" s="87"/>
      <c r="E258" s="90" t="s">
        <v>380</v>
      </c>
      <c r="F258" s="105"/>
      <c r="G258" s="91" t="s">
        <v>110</v>
      </c>
      <c r="H258" s="92">
        <v>60.0</v>
      </c>
      <c r="I258" s="93">
        <v>89.0</v>
      </c>
      <c r="J258" s="93">
        <v>89.0</v>
      </c>
      <c r="K258" s="95">
        <v>28.0</v>
      </c>
      <c r="L258" s="96">
        <f t="shared" si="54"/>
        <v>0.3146067416</v>
      </c>
      <c r="M258" s="96">
        <f t="shared" si="61"/>
        <v>1</v>
      </c>
      <c r="N258" s="96">
        <f t="shared" si="58"/>
        <v>2.178571429</v>
      </c>
      <c r="O258" s="97" t="s">
        <v>89</v>
      </c>
      <c r="P258" s="87" t="s">
        <v>112</v>
      </c>
      <c r="Q258" s="87"/>
      <c r="R258" s="87" t="s">
        <v>112</v>
      </c>
      <c r="S258" s="87"/>
    </row>
    <row r="259" ht="41.25" customHeight="1" outlineLevel="1">
      <c r="G259" s="91" t="s">
        <v>113</v>
      </c>
      <c r="I259" s="81">
        <v>89.0</v>
      </c>
      <c r="J259" s="81">
        <v>99.0</v>
      </c>
      <c r="K259" s="99">
        <v>23.0</v>
      </c>
      <c r="L259" s="96">
        <f t="shared" si="54"/>
        <v>0.2323232323</v>
      </c>
      <c r="M259" s="100">
        <f t="shared" si="61"/>
        <v>1.112359551</v>
      </c>
      <c r="N259" s="100">
        <f t="shared" si="58"/>
        <v>2.869565217</v>
      </c>
      <c r="O259" s="101"/>
      <c r="P259" s="79" t="s">
        <v>112</v>
      </c>
      <c r="Q259" s="79"/>
      <c r="R259" s="79" t="s">
        <v>112</v>
      </c>
      <c r="S259" s="87"/>
    </row>
    <row r="260" ht="41.25" customHeight="1" outlineLevel="1">
      <c r="A260" s="59"/>
      <c r="B260" s="59"/>
      <c r="C260" s="59"/>
      <c r="D260" s="59"/>
      <c r="E260" s="59"/>
      <c r="F260" s="59"/>
      <c r="G260" s="98" t="s">
        <v>114</v>
      </c>
      <c r="H260" s="59"/>
      <c r="I260" s="81">
        <v>0.0</v>
      </c>
      <c r="J260" s="81">
        <v>119.0</v>
      </c>
      <c r="K260" s="95">
        <v>28.0</v>
      </c>
      <c r="L260" s="96">
        <f t="shared" si="54"/>
        <v>0.2352941176</v>
      </c>
      <c r="M260" s="100">
        <f>I260/J260</f>
        <v>0</v>
      </c>
      <c r="N260" s="96">
        <f t="shared" si="58"/>
        <v>-1</v>
      </c>
      <c r="O260" s="97"/>
      <c r="P260" s="79" t="s">
        <v>112</v>
      </c>
      <c r="Q260" s="79"/>
      <c r="R260" s="79" t="s">
        <v>112</v>
      </c>
      <c r="S260" s="87"/>
    </row>
    <row r="261" ht="41.25" customHeight="1">
      <c r="A261" s="87"/>
      <c r="B261" s="89" t="str">
        <f>"Соусы, допы и хлеб "&amp;COUNTA(E262:E325)&amp;" шт"</f>
        <v>Соусы, допы и хлеб 22 шт</v>
      </c>
      <c r="C261" s="89"/>
      <c r="D261" s="87"/>
      <c r="E261" s="90"/>
      <c r="F261" s="105"/>
      <c r="G261" s="87"/>
      <c r="H261" s="92"/>
      <c r="I261" s="93"/>
      <c r="J261" s="93"/>
      <c r="K261" s="93"/>
      <c r="L261" s="158" t="str">
        <f>AVERAGE(L262:L325)</f>
        <v>#DIV/0!</v>
      </c>
      <c r="M261" s="158"/>
      <c r="N261" s="96"/>
      <c r="O261" s="97"/>
      <c r="P261" s="93"/>
      <c r="Q261" s="93"/>
      <c r="R261" s="86"/>
      <c r="S261" s="86"/>
    </row>
    <row r="262" ht="41.25" customHeight="1" outlineLevel="1">
      <c r="A262" s="87">
        <v>1.0</v>
      </c>
      <c r="B262" s="88"/>
      <c r="C262" s="89"/>
      <c r="D262" s="87"/>
      <c r="E262" s="90" t="s">
        <v>381</v>
      </c>
      <c r="F262" s="105"/>
      <c r="G262" s="91" t="s">
        <v>110</v>
      </c>
      <c r="H262" s="92">
        <v>50.0</v>
      </c>
      <c r="I262" s="93">
        <v>59.0</v>
      </c>
      <c r="J262" s="93">
        <v>59.0</v>
      </c>
      <c r="K262" s="95">
        <v>12.0</v>
      </c>
      <c r="L262" s="96">
        <f t="shared" ref="L262:L314" si="62">K262/J262</f>
        <v>0.2033898305</v>
      </c>
      <c r="M262" s="96">
        <f t="shared" ref="M262:M263" si="63">J262/I262</f>
        <v>1</v>
      </c>
      <c r="N262" s="96">
        <f t="shared" ref="N262:N327" si="64">I262/K262-1</f>
        <v>3.916666667</v>
      </c>
      <c r="O262" s="97"/>
      <c r="P262" s="87" t="s">
        <v>111</v>
      </c>
      <c r="Q262" s="87"/>
      <c r="R262" s="87" t="s">
        <v>111</v>
      </c>
      <c r="S262" s="87"/>
    </row>
    <row r="263" ht="41.25" customHeight="1" outlineLevel="1">
      <c r="G263" s="91" t="s">
        <v>113</v>
      </c>
      <c r="I263" s="81">
        <v>59.0</v>
      </c>
      <c r="J263" s="81">
        <v>59.0</v>
      </c>
      <c r="K263" s="99">
        <v>14.0</v>
      </c>
      <c r="L263" s="96">
        <f t="shared" si="62"/>
        <v>0.2372881356</v>
      </c>
      <c r="M263" s="96">
        <f t="shared" si="63"/>
        <v>1</v>
      </c>
      <c r="N263" s="100">
        <f t="shared" si="64"/>
        <v>3.214285714</v>
      </c>
      <c r="O263" s="101"/>
      <c r="P263" s="79" t="s">
        <v>111</v>
      </c>
      <c r="Q263" s="79"/>
      <c r="R263" s="79" t="s">
        <v>111</v>
      </c>
      <c r="S263" s="87"/>
    </row>
    <row r="264" ht="41.25" customHeight="1" outlineLevel="1">
      <c r="A264" s="59"/>
      <c r="B264" s="59"/>
      <c r="C264" s="59"/>
      <c r="D264" s="59"/>
      <c r="E264" s="59"/>
      <c r="F264" s="59"/>
      <c r="G264" s="98" t="s">
        <v>114</v>
      </c>
      <c r="H264" s="59"/>
      <c r="I264" s="81">
        <v>0.0</v>
      </c>
      <c r="J264" s="81">
        <v>79.0</v>
      </c>
      <c r="K264" s="99">
        <v>0.0</v>
      </c>
      <c r="L264" s="96">
        <f t="shared" si="62"/>
        <v>0</v>
      </c>
      <c r="M264" s="100">
        <f t="shared" ref="M264:M267" si="65">I264/J264</f>
        <v>0</v>
      </c>
      <c r="N264" s="96" t="str">
        <f t="shared" si="64"/>
        <v>#DIV/0!</v>
      </c>
      <c r="O264" s="97"/>
      <c r="P264" s="79" t="s">
        <v>112</v>
      </c>
      <c r="Q264" s="79"/>
      <c r="R264" s="79" t="s">
        <v>111</v>
      </c>
      <c r="S264" s="87"/>
    </row>
    <row r="265" ht="41.25" customHeight="1" outlineLevel="1">
      <c r="A265" s="87">
        <v>2.0</v>
      </c>
      <c r="B265" s="88"/>
      <c r="C265" s="89"/>
      <c r="D265" s="87"/>
      <c r="E265" s="90" t="s">
        <v>382</v>
      </c>
      <c r="F265" s="105"/>
      <c r="G265" s="91" t="s">
        <v>110</v>
      </c>
      <c r="H265" s="92">
        <v>30.0</v>
      </c>
      <c r="I265" s="93">
        <v>69.0</v>
      </c>
      <c r="J265" s="93">
        <v>69.0</v>
      </c>
      <c r="K265" s="95">
        <v>17.0</v>
      </c>
      <c r="L265" s="96">
        <f t="shared" si="62"/>
        <v>0.2463768116</v>
      </c>
      <c r="M265" s="96">
        <f t="shared" si="65"/>
        <v>1</v>
      </c>
      <c r="N265" s="96">
        <f t="shared" si="64"/>
        <v>3.058823529</v>
      </c>
      <c r="O265" s="97"/>
      <c r="P265" s="87" t="s">
        <v>111</v>
      </c>
      <c r="Q265" s="87"/>
      <c r="R265" s="87" t="s">
        <v>111</v>
      </c>
      <c r="S265" s="87"/>
    </row>
    <row r="266" ht="41.25" customHeight="1" outlineLevel="1">
      <c r="G266" s="91" t="s">
        <v>113</v>
      </c>
      <c r="I266" s="81">
        <v>69.0</v>
      </c>
      <c r="J266" s="81">
        <v>69.0</v>
      </c>
      <c r="K266" s="99">
        <v>18.0</v>
      </c>
      <c r="L266" s="96">
        <f t="shared" si="62"/>
        <v>0.2608695652</v>
      </c>
      <c r="M266" s="100">
        <f t="shared" si="65"/>
        <v>1</v>
      </c>
      <c r="N266" s="100">
        <f t="shared" si="64"/>
        <v>2.833333333</v>
      </c>
      <c r="O266" s="101"/>
      <c r="P266" s="87" t="s">
        <v>111</v>
      </c>
      <c r="Q266" s="79"/>
      <c r="R266" s="79" t="s">
        <v>111</v>
      </c>
      <c r="S266" s="87"/>
    </row>
    <row r="267" ht="41.25" customHeight="1" outlineLevel="1">
      <c r="A267" s="59"/>
      <c r="B267" s="59"/>
      <c r="C267" s="59"/>
      <c r="D267" s="59"/>
      <c r="E267" s="59"/>
      <c r="F267" s="59"/>
      <c r="G267" s="98" t="s">
        <v>114</v>
      </c>
      <c r="H267" s="59"/>
      <c r="I267" s="81">
        <v>0.0</v>
      </c>
      <c r="J267" s="81">
        <v>89.0</v>
      </c>
      <c r="K267" s="99">
        <v>0.0</v>
      </c>
      <c r="L267" s="96">
        <f t="shared" si="62"/>
        <v>0</v>
      </c>
      <c r="M267" s="100">
        <f t="shared" si="65"/>
        <v>0</v>
      </c>
      <c r="N267" s="96" t="str">
        <f t="shared" si="64"/>
        <v>#DIV/0!</v>
      </c>
      <c r="O267" s="97"/>
      <c r="P267" s="79" t="s">
        <v>112</v>
      </c>
      <c r="Q267" s="79"/>
      <c r="R267" s="79" t="s">
        <v>111</v>
      </c>
      <c r="S267" s="87"/>
    </row>
    <row r="268" ht="41.25" customHeight="1" outlineLevel="1">
      <c r="A268" s="87">
        <v>3.0</v>
      </c>
      <c r="B268" s="88"/>
      <c r="C268" s="89"/>
      <c r="D268" s="87"/>
      <c r="E268" s="90" t="s">
        <v>383</v>
      </c>
      <c r="F268" s="105" t="s">
        <v>220</v>
      </c>
      <c r="G268" s="91" t="s">
        <v>110</v>
      </c>
      <c r="H268" s="92">
        <v>30.0</v>
      </c>
      <c r="I268" s="93">
        <v>69.0</v>
      </c>
      <c r="J268" s="93">
        <v>79.0</v>
      </c>
      <c r="K268" s="95">
        <v>20.21</v>
      </c>
      <c r="L268" s="96">
        <f t="shared" si="62"/>
        <v>0.2558227848</v>
      </c>
      <c r="M268" s="96">
        <f t="shared" ref="M268:M269" si="66">J268/I268</f>
        <v>1.144927536</v>
      </c>
      <c r="N268" s="96">
        <f t="shared" si="64"/>
        <v>2.41415141</v>
      </c>
      <c r="O268" s="97"/>
      <c r="P268" s="87" t="s">
        <v>111</v>
      </c>
      <c r="Q268" s="87"/>
      <c r="R268" s="87" t="s">
        <v>111</v>
      </c>
      <c r="S268" s="87"/>
    </row>
    <row r="269" ht="41.25" customHeight="1" outlineLevel="1">
      <c r="G269" s="91" t="s">
        <v>113</v>
      </c>
      <c r="I269" s="81">
        <v>69.0</v>
      </c>
      <c r="J269" s="81">
        <v>79.0</v>
      </c>
      <c r="K269" s="99">
        <v>21.0</v>
      </c>
      <c r="L269" s="96">
        <f t="shared" si="62"/>
        <v>0.2658227848</v>
      </c>
      <c r="M269" s="96">
        <f t="shared" si="66"/>
        <v>1.144927536</v>
      </c>
      <c r="N269" s="100">
        <f t="shared" si="64"/>
        <v>2.285714286</v>
      </c>
      <c r="O269" s="101"/>
      <c r="P269" s="87" t="s">
        <v>111</v>
      </c>
      <c r="Q269" s="79"/>
      <c r="R269" s="79" t="s">
        <v>111</v>
      </c>
      <c r="S269" s="87"/>
    </row>
    <row r="270" ht="41.25" customHeight="1" outlineLevel="1">
      <c r="A270" s="59"/>
      <c r="B270" s="59"/>
      <c r="C270" s="59"/>
      <c r="D270" s="59"/>
      <c r="E270" s="59"/>
      <c r="F270" s="59"/>
      <c r="G270" s="98" t="s">
        <v>114</v>
      </c>
      <c r="H270" s="59"/>
      <c r="I270" s="81">
        <v>0.0</v>
      </c>
      <c r="J270" s="81">
        <v>89.0</v>
      </c>
      <c r="K270" s="99">
        <v>0.0</v>
      </c>
      <c r="L270" s="96">
        <f t="shared" si="62"/>
        <v>0</v>
      </c>
      <c r="M270" s="100">
        <f>I270/J270</f>
        <v>0</v>
      </c>
      <c r="N270" s="96" t="str">
        <f t="shared" si="64"/>
        <v>#DIV/0!</v>
      </c>
      <c r="O270" s="97"/>
      <c r="P270" s="79" t="s">
        <v>112</v>
      </c>
      <c r="Q270" s="79"/>
      <c r="R270" s="79" t="s">
        <v>111</v>
      </c>
      <c r="S270" s="87"/>
    </row>
    <row r="271" ht="41.25" customHeight="1" outlineLevel="1">
      <c r="A271" s="87">
        <v>5.0</v>
      </c>
      <c r="B271" s="88"/>
      <c r="C271" s="89"/>
      <c r="D271" s="87"/>
      <c r="E271" s="90" t="s">
        <v>384</v>
      </c>
      <c r="F271" s="105"/>
      <c r="G271" s="91" t="s">
        <v>110</v>
      </c>
      <c r="H271" s="92">
        <v>30.0</v>
      </c>
      <c r="I271" s="93">
        <v>59.0</v>
      </c>
      <c r="J271" s="93">
        <v>69.0</v>
      </c>
      <c r="K271" s="95">
        <v>12.66</v>
      </c>
      <c r="L271" s="96">
        <f t="shared" si="62"/>
        <v>0.1834782609</v>
      </c>
      <c r="M271" s="96">
        <f t="shared" ref="M271:M272" si="67">J271/I271</f>
        <v>1.169491525</v>
      </c>
      <c r="N271" s="96">
        <f t="shared" si="64"/>
        <v>3.660347551</v>
      </c>
      <c r="O271" s="97"/>
      <c r="P271" s="87" t="s">
        <v>111</v>
      </c>
      <c r="Q271" s="87"/>
      <c r="R271" s="87" t="s">
        <v>111</v>
      </c>
      <c r="S271" s="87"/>
    </row>
    <row r="272" ht="41.25" customHeight="1" outlineLevel="1">
      <c r="G272" s="91" t="s">
        <v>113</v>
      </c>
      <c r="I272" s="81">
        <v>69.0</v>
      </c>
      <c r="J272" s="81">
        <v>69.0</v>
      </c>
      <c r="K272" s="99">
        <v>13.0</v>
      </c>
      <c r="L272" s="96">
        <f t="shared" si="62"/>
        <v>0.1884057971</v>
      </c>
      <c r="M272" s="96">
        <f t="shared" si="67"/>
        <v>1</v>
      </c>
      <c r="N272" s="100">
        <f t="shared" si="64"/>
        <v>4.307692308</v>
      </c>
      <c r="O272" s="101"/>
      <c r="P272" s="87" t="s">
        <v>111</v>
      </c>
      <c r="Q272" s="79"/>
      <c r="R272" s="79" t="s">
        <v>111</v>
      </c>
      <c r="S272" s="87"/>
    </row>
    <row r="273" ht="41.25" customHeight="1" outlineLevel="1">
      <c r="A273" s="59"/>
      <c r="B273" s="59"/>
      <c r="C273" s="59"/>
      <c r="D273" s="59"/>
      <c r="E273" s="59"/>
      <c r="F273" s="59"/>
      <c r="G273" s="98" t="s">
        <v>114</v>
      </c>
      <c r="H273" s="59"/>
      <c r="I273" s="81">
        <v>0.0</v>
      </c>
      <c r="J273" s="81">
        <v>79.0</v>
      </c>
      <c r="K273" s="99">
        <v>0.0</v>
      </c>
      <c r="L273" s="96">
        <f t="shared" si="62"/>
        <v>0</v>
      </c>
      <c r="M273" s="100">
        <f>I273/J273</f>
        <v>0</v>
      </c>
      <c r="N273" s="96" t="str">
        <f t="shared" si="64"/>
        <v>#DIV/0!</v>
      </c>
      <c r="O273" s="97"/>
      <c r="P273" s="79" t="s">
        <v>112</v>
      </c>
      <c r="Q273" s="79"/>
      <c r="R273" s="79" t="s">
        <v>111</v>
      </c>
      <c r="S273" s="87"/>
    </row>
    <row r="274" ht="41.25" customHeight="1" outlineLevel="1">
      <c r="A274" s="87">
        <v>6.0</v>
      </c>
      <c r="B274" s="88"/>
      <c r="C274" s="89"/>
      <c r="D274" s="87"/>
      <c r="E274" s="90" t="s">
        <v>385</v>
      </c>
      <c r="F274" s="105"/>
      <c r="G274" s="91" t="s">
        <v>110</v>
      </c>
      <c r="H274" s="92">
        <v>30.0</v>
      </c>
      <c r="I274" s="93">
        <v>69.0</v>
      </c>
      <c r="J274" s="93">
        <v>69.0</v>
      </c>
      <c r="K274" s="95">
        <v>12.95</v>
      </c>
      <c r="L274" s="96">
        <f t="shared" si="62"/>
        <v>0.1876811594</v>
      </c>
      <c r="M274" s="96">
        <f t="shared" ref="M274:M275" si="68">J274/I274</f>
        <v>1</v>
      </c>
      <c r="N274" s="96">
        <f t="shared" si="64"/>
        <v>4.328185328</v>
      </c>
      <c r="O274" s="97"/>
      <c r="P274" s="87" t="s">
        <v>111</v>
      </c>
      <c r="Q274" s="87"/>
      <c r="R274" s="87" t="s">
        <v>111</v>
      </c>
      <c r="S274" s="87"/>
    </row>
    <row r="275" ht="41.25" customHeight="1" outlineLevel="1">
      <c r="G275" s="91" t="s">
        <v>113</v>
      </c>
      <c r="I275" s="81">
        <v>69.0</v>
      </c>
      <c r="J275" s="81">
        <v>69.0</v>
      </c>
      <c r="K275" s="99">
        <v>15.0</v>
      </c>
      <c r="L275" s="96">
        <f t="shared" si="62"/>
        <v>0.2173913043</v>
      </c>
      <c r="M275" s="96">
        <f t="shared" si="68"/>
        <v>1</v>
      </c>
      <c r="N275" s="100">
        <f t="shared" si="64"/>
        <v>3.6</v>
      </c>
      <c r="O275" s="101"/>
      <c r="P275" s="87" t="s">
        <v>111</v>
      </c>
      <c r="Q275" s="79"/>
      <c r="R275" s="79" t="s">
        <v>111</v>
      </c>
      <c r="S275" s="87"/>
    </row>
    <row r="276" ht="41.25" customHeight="1" outlineLevel="1">
      <c r="A276" s="59"/>
      <c r="B276" s="59"/>
      <c r="C276" s="59"/>
      <c r="D276" s="59"/>
      <c r="E276" s="59"/>
      <c r="F276" s="59"/>
      <c r="G276" s="98" t="s">
        <v>114</v>
      </c>
      <c r="H276" s="59"/>
      <c r="I276" s="81">
        <v>0.0</v>
      </c>
      <c r="J276" s="81">
        <v>79.0</v>
      </c>
      <c r="K276" s="99">
        <v>0.0</v>
      </c>
      <c r="L276" s="96">
        <f t="shared" si="62"/>
        <v>0</v>
      </c>
      <c r="M276" s="100">
        <f t="shared" ref="M276:M282" si="69">I276/J276</f>
        <v>0</v>
      </c>
      <c r="N276" s="96" t="str">
        <f t="shared" si="64"/>
        <v>#DIV/0!</v>
      </c>
      <c r="O276" s="97"/>
      <c r="P276" s="79" t="s">
        <v>112</v>
      </c>
      <c r="Q276" s="79"/>
      <c r="R276" s="79" t="s">
        <v>111</v>
      </c>
      <c r="S276" s="87"/>
    </row>
    <row r="277" ht="41.25" customHeight="1" outlineLevel="1">
      <c r="A277" s="87">
        <v>7.0</v>
      </c>
      <c r="B277" s="88"/>
      <c r="C277" s="89"/>
      <c r="D277" s="87"/>
      <c r="E277" s="90" t="s">
        <v>386</v>
      </c>
      <c r="F277" s="105"/>
      <c r="G277" s="91" t="s">
        <v>110</v>
      </c>
      <c r="H277" s="92">
        <v>15.0</v>
      </c>
      <c r="I277" s="93">
        <v>59.0</v>
      </c>
      <c r="J277" s="93">
        <v>59.0</v>
      </c>
      <c r="K277" s="95">
        <v>8.11</v>
      </c>
      <c r="L277" s="96">
        <f t="shared" si="62"/>
        <v>0.1374576271</v>
      </c>
      <c r="M277" s="96">
        <f t="shared" si="69"/>
        <v>1</v>
      </c>
      <c r="N277" s="96">
        <f t="shared" si="64"/>
        <v>6.274969174</v>
      </c>
      <c r="O277" s="97"/>
      <c r="P277" s="87" t="s">
        <v>111</v>
      </c>
      <c r="Q277" s="87"/>
      <c r="R277" s="87" t="s">
        <v>111</v>
      </c>
      <c r="S277" s="87"/>
    </row>
    <row r="278" ht="41.25" customHeight="1" outlineLevel="1">
      <c r="G278" s="91" t="s">
        <v>113</v>
      </c>
      <c r="I278" s="81">
        <v>59.0</v>
      </c>
      <c r="J278" s="81">
        <v>59.0</v>
      </c>
      <c r="K278" s="99">
        <v>8.0</v>
      </c>
      <c r="L278" s="96">
        <f t="shared" si="62"/>
        <v>0.1355932203</v>
      </c>
      <c r="M278" s="100">
        <f t="shared" si="69"/>
        <v>1</v>
      </c>
      <c r="N278" s="100">
        <f t="shared" si="64"/>
        <v>6.375</v>
      </c>
      <c r="O278" s="101"/>
      <c r="P278" s="87" t="s">
        <v>111</v>
      </c>
      <c r="Q278" s="79"/>
      <c r="R278" s="79" t="s">
        <v>111</v>
      </c>
      <c r="S278" s="87"/>
    </row>
    <row r="279" ht="41.25" customHeight="1" outlineLevel="1">
      <c r="A279" s="59"/>
      <c r="B279" s="59"/>
      <c r="C279" s="59"/>
      <c r="D279" s="59"/>
      <c r="E279" s="59"/>
      <c r="F279" s="59"/>
      <c r="G279" s="98" t="s">
        <v>114</v>
      </c>
      <c r="H279" s="59"/>
      <c r="I279" s="81">
        <v>0.0</v>
      </c>
      <c r="J279" s="81">
        <v>59.0</v>
      </c>
      <c r="K279" s="99">
        <v>0.0</v>
      </c>
      <c r="L279" s="96">
        <f t="shared" si="62"/>
        <v>0</v>
      </c>
      <c r="M279" s="100">
        <f t="shared" si="69"/>
        <v>0</v>
      </c>
      <c r="N279" s="96" t="str">
        <f t="shared" si="64"/>
        <v>#DIV/0!</v>
      </c>
      <c r="O279" s="97"/>
      <c r="P279" s="79" t="s">
        <v>112</v>
      </c>
      <c r="Q279" s="79"/>
      <c r="R279" s="79" t="s">
        <v>111</v>
      </c>
      <c r="S279" s="87"/>
    </row>
    <row r="280" ht="41.25" customHeight="1" outlineLevel="1">
      <c r="A280" s="87">
        <v>8.0</v>
      </c>
      <c r="B280" s="88"/>
      <c r="C280" s="89"/>
      <c r="D280" s="87"/>
      <c r="E280" s="90" t="s">
        <v>387</v>
      </c>
      <c r="F280" s="105"/>
      <c r="G280" s="91" t="s">
        <v>110</v>
      </c>
      <c r="H280" s="92">
        <v>30.0</v>
      </c>
      <c r="I280" s="93">
        <v>59.0</v>
      </c>
      <c r="J280" s="93">
        <v>59.0</v>
      </c>
      <c r="K280" s="95">
        <v>12.36</v>
      </c>
      <c r="L280" s="96">
        <f t="shared" si="62"/>
        <v>0.2094915254</v>
      </c>
      <c r="M280" s="96">
        <f t="shared" si="69"/>
        <v>1</v>
      </c>
      <c r="N280" s="96">
        <f t="shared" si="64"/>
        <v>3.773462783</v>
      </c>
      <c r="O280" s="97"/>
      <c r="P280" s="87" t="s">
        <v>111</v>
      </c>
      <c r="Q280" s="87"/>
      <c r="R280" s="87" t="s">
        <v>111</v>
      </c>
      <c r="S280" s="87"/>
    </row>
    <row r="281" ht="41.25" customHeight="1" outlineLevel="1">
      <c r="G281" s="91" t="s">
        <v>113</v>
      </c>
      <c r="I281" s="81">
        <v>59.0</v>
      </c>
      <c r="J281" s="81">
        <v>59.0</v>
      </c>
      <c r="K281" s="99">
        <v>19.0</v>
      </c>
      <c r="L281" s="96">
        <f t="shared" si="62"/>
        <v>0.3220338983</v>
      </c>
      <c r="M281" s="100">
        <f t="shared" si="69"/>
        <v>1</v>
      </c>
      <c r="N281" s="100">
        <f t="shared" si="64"/>
        <v>2.105263158</v>
      </c>
      <c r="O281" s="101"/>
      <c r="P281" s="87" t="s">
        <v>111</v>
      </c>
      <c r="Q281" s="79"/>
      <c r="R281" s="79" t="s">
        <v>111</v>
      </c>
      <c r="S281" s="87"/>
    </row>
    <row r="282" ht="41.25" customHeight="1" outlineLevel="1">
      <c r="A282" s="59"/>
      <c r="B282" s="59"/>
      <c r="C282" s="59"/>
      <c r="D282" s="59"/>
      <c r="E282" s="59"/>
      <c r="F282" s="59"/>
      <c r="G282" s="98" t="s">
        <v>114</v>
      </c>
      <c r="H282" s="59"/>
      <c r="I282" s="81">
        <v>0.0</v>
      </c>
      <c r="J282" s="81">
        <v>69.0</v>
      </c>
      <c r="K282" s="99">
        <v>0.0</v>
      </c>
      <c r="L282" s="96">
        <f t="shared" si="62"/>
        <v>0</v>
      </c>
      <c r="M282" s="100">
        <f t="shared" si="69"/>
        <v>0</v>
      </c>
      <c r="N282" s="96" t="str">
        <f t="shared" si="64"/>
        <v>#DIV/0!</v>
      </c>
      <c r="O282" s="97"/>
      <c r="P282" s="79" t="s">
        <v>112</v>
      </c>
      <c r="Q282" s="79"/>
      <c r="R282" s="79" t="s">
        <v>111</v>
      </c>
      <c r="S282" s="87"/>
    </row>
    <row r="283" ht="41.25" customHeight="1" outlineLevel="1">
      <c r="A283" s="87">
        <v>9.0</v>
      </c>
      <c r="B283" s="119"/>
      <c r="C283" s="89"/>
      <c r="D283" s="87"/>
      <c r="E283" s="90" t="s">
        <v>388</v>
      </c>
      <c r="F283" s="105"/>
      <c r="G283" s="91" t="s">
        <v>110</v>
      </c>
      <c r="H283" s="92">
        <v>30.0</v>
      </c>
      <c r="I283" s="93">
        <v>59.0</v>
      </c>
      <c r="J283" s="93">
        <v>69.0</v>
      </c>
      <c r="K283" s="95">
        <v>10.0</v>
      </c>
      <c r="L283" s="96">
        <f t="shared" si="62"/>
        <v>0.1449275362</v>
      </c>
      <c r="M283" s="96">
        <f t="shared" ref="M283:M284" si="70">J283/I283</f>
        <v>1.169491525</v>
      </c>
      <c r="N283" s="96">
        <f t="shared" si="64"/>
        <v>4.9</v>
      </c>
      <c r="O283" s="97"/>
      <c r="P283" s="87" t="s">
        <v>111</v>
      </c>
      <c r="Q283" s="87"/>
      <c r="R283" s="87" t="s">
        <v>111</v>
      </c>
      <c r="S283" s="87"/>
    </row>
    <row r="284" ht="41.25" customHeight="1" outlineLevel="1">
      <c r="G284" s="91" t="s">
        <v>113</v>
      </c>
      <c r="I284" s="81">
        <v>59.0</v>
      </c>
      <c r="J284" s="81">
        <v>69.0</v>
      </c>
      <c r="K284" s="99">
        <v>11.0</v>
      </c>
      <c r="L284" s="96">
        <f t="shared" si="62"/>
        <v>0.1594202899</v>
      </c>
      <c r="M284" s="96">
        <f t="shared" si="70"/>
        <v>1.169491525</v>
      </c>
      <c r="N284" s="100">
        <f t="shared" si="64"/>
        <v>4.363636364</v>
      </c>
      <c r="O284" s="101"/>
      <c r="P284" s="87" t="s">
        <v>111</v>
      </c>
      <c r="Q284" s="79" t="s">
        <v>111</v>
      </c>
      <c r="R284" s="79" t="s">
        <v>111</v>
      </c>
      <c r="S284" s="87"/>
    </row>
    <row r="285" ht="41.25" customHeight="1" outlineLevel="1">
      <c r="A285" s="59"/>
      <c r="B285" s="59"/>
      <c r="C285" s="59"/>
      <c r="D285" s="59"/>
      <c r="E285" s="59"/>
      <c r="F285" s="59"/>
      <c r="G285" s="98" t="s">
        <v>114</v>
      </c>
      <c r="H285" s="59"/>
      <c r="I285" s="81">
        <v>0.0</v>
      </c>
      <c r="J285" s="81">
        <v>89.0</v>
      </c>
      <c r="K285" s="99">
        <v>0.0</v>
      </c>
      <c r="L285" s="96">
        <f t="shared" si="62"/>
        <v>0</v>
      </c>
      <c r="M285" s="100">
        <f>I285/J285</f>
        <v>0</v>
      </c>
      <c r="N285" s="96" t="str">
        <f t="shared" si="64"/>
        <v>#DIV/0!</v>
      </c>
      <c r="O285" s="97"/>
      <c r="P285" s="79" t="s">
        <v>112</v>
      </c>
      <c r="Q285" s="79"/>
      <c r="R285" s="79" t="s">
        <v>111</v>
      </c>
      <c r="S285" s="87"/>
    </row>
    <row r="286" ht="41.25" customHeight="1" outlineLevel="1">
      <c r="A286" s="87">
        <v>10.0</v>
      </c>
      <c r="B286" s="119"/>
      <c r="C286" s="89"/>
      <c r="D286" s="87"/>
      <c r="E286" s="90" t="s">
        <v>389</v>
      </c>
      <c r="F286" s="105"/>
      <c r="G286" s="91" t="s">
        <v>110</v>
      </c>
      <c r="H286" s="92">
        <v>30.0</v>
      </c>
      <c r="I286" s="93">
        <v>59.0</v>
      </c>
      <c r="J286" s="93">
        <v>69.0</v>
      </c>
      <c r="K286" s="95">
        <v>10.0</v>
      </c>
      <c r="L286" s="96">
        <f t="shared" si="62"/>
        <v>0.1449275362</v>
      </c>
      <c r="M286" s="96">
        <f t="shared" ref="M286:M287" si="71">J286/I286</f>
        <v>1.169491525</v>
      </c>
      <c r="N286" s="96">
        <f t="shared" si="64"/>
        <v>4.9</v>
      </c>
      <c r="O286" s="97"/>
      <c r="P286" s="87" t="s">
        <v>111</v>
      </c>
      <c r="Q286" s="87"/>
      <c r="R286" s="87" t="s">
        <v>111</v>
      </c>
      <c r="S286" s="87"/>
    </row>
    <row r="287" ht="41.25" customHeight="1" outlineLevel="1">
      <c r="G287" s="91" t="s">
        <v>113</v>
      </c>
      <c r="I287" s="81">
        <v>59.0</v>
      </c>
      <c r="J287" s="81">
        <v>69.0</v>
      </c>
      <c r="K287" s="99">
        <v>12.0</v>
      </c>
      <c r="L287" s="96">
        <f t="shared" si="62"/>
        <v>0.1739130435</v>
      </c>
      <c r="M287" s="96">
        <f t="shared" si="71"/>
        <v>1.169491525</v>
      </c>
      <c r="N287" s="100">
        <f t="shared" si="64"/>
        <v>3.916666667</v>
      </c>
      <c r="O287" s="101"/>
      <c r="P287" s="87" t="s">
        <v>111</v>
      </c>
      <c r="Q287" s="79" t="s">
        <v>111</v>
      </c>
      <c r="R287" s="79" t="s">
        <v>111</v>
      </c>
      <c r="S287" s="87"/>
    </row>
    <row r="288" ht="41.25" customHeight="1" outlineLevel="1">
      <c r="A288" s="59"/>
      <c r="B288" s="59"/>
      <c r="C288" s="59"/>
      <c r="D288" s="59"/>
      <c r="E288" s="59"/>
      <c r="F288" s="59"/>
      <c r="G288" s="98" t="s">
        <v>114</v>
      </c>
      <c r="H288" s="59"/>
      <c r="I288" s="81">
        <v>0.0</v>
      </c>
      <c r="J288" s="81">
        <v>89.0</v>
      </c>
      <c r="K288" s="99">
        <v>0.0</v>
      </c>
      <c r="L288" s="96">
        <f t="shared" si="62"/>
        <v>0</v>
      </c>
      <c r="M288" s="100">
        <f>I288/J288</f>
        <v>0</v>
      </c>
      <c r="N288" s="96" t="str">
        <f t="shared" si="64"/>
        <v>#DIV/0!</v>
      </c>
      <c r="O288" s="97"/>
      <c r="P288" s="79" t="s">
        <v>112</v>
      </c>
      <c r="Q288" s="79"/>
      <c r="R288" s="79" t="s">
        <v>111</v>
      </c>
      <c r="S288" s="87"/>
    </row>
    <row r="289" ht="41.25" customHeight="1" outlineLevel="1">
      <c r="A289" s="87">
        <v>11.0</v>
      </c>
      <c r="B289" s="119"/>
      <c r="C289" s="89"/>
      <c r="D289" s="87"/>
      <c r="E289" s="90" t="s">
        <v>390</v>
      </c>
      <c r="F289" s="105"/>
      <c r="G289" s="91" t="s">
        <v>110</v>
      </c>
      <c r="H289" s="92">
        <v>30.0</v>
      </c>
      <c r="I289" s="93">
        <v>59.0</v>
      </c>
      <c r="J289" s="93">
        <v>69.0</v>
      </c>
      <c r="K289" s="95">
        <v>15.8</v>
      </c>
      <c r="L289" s="96">
        <f t="shared" si="62"/>
        <v>0.2289855072</v>
      </c>
      <c r="M289" s="96">
        <f t="shared" ref="M289:M290" si="72">J289/I289</f>
        <v>1.169491525</v>
      </c>
      <c r="N289" s="96">
        <f t="shared" si="64"/>
        <v>2.734177215</v>
      </c>
      <c r="O289" s="97"/>
      <c r="P289" s="87" t="s">
        <v>111</v>
      </c>
      <c r="Q289" s="87"/>
      <c r="R289" s="87" t="s">
        <v>111</v>
      </c>
      <c r="S289" s="87"/>
    </row>
    <row r="290" ht="41.25" customHeight="1" outlineLevel="1">
      <c r="G290" s="91" t="s">
        <v>110</v>
      </c>
      <c r="I290" s="81">
        <v>59.0</v>
      </c>
      <c r="J290" s="81">
        <v>69.0</v>
      </c>
      <c r="K290" s="99">
        <v>17.0</v>
      </c>
      <c r="L290" s="96">
        <f t="shared" si="62"/>
        <v>0.2463768116</v>
      </c>
      <c r="M290" s="96">
        <f t="shared" si="72"/>
        <v>1.169491525</v>
      </c>
      <c r="N290" s="100">
        <f t="shared" si="64"/>
        <v>2.470588235</v>
      </c>
      <c r="O290" s="101"/>
      <c r="P290" s="87" t="s">
        <v>111</v>
      </c>
      <c r="Q290" s="79" t="s">
        <v>111</v>
      </c>
      <c r="R290" s="79" t="s">
        <v>111</v>
      </c>
      <c r="S290" s="87"/>
    </row>
    <row r="291" ht="41.25" customHeight="1" outlineLevel="1">
      <c r="A291" s="59"/>
      <c r="B291" s="59"/>
      <c r="C291" s="59"/>
      <c r="D291" s="59"/>
      <c r="E291" s="59"/>
      <c r="F291" s="59"/>
      <c r="G291" s="98" t="s">
        <v>114</v>
      </c>
      <c r="H291" s="59"/>
      <c r="I291" s="81">
        <v>0.0</v>
      </c>
      <c r="J291" s="81">
        <v>89.0</v>
      </c>
      <c r="K291" s="99">
        <v>0.0</v>
      </c>
      <c r="L291" s="96">
        <f t="shared" si="62"/>
        <v>0</v>
      </c>
      <c r="M291" s="100">
        <f>I291/J291</f>
        <v>0</v>
      </c>
      <c r="N291" s="96" t="str">
        <f t="shared" si="64"/>
        <v>#DIV/0!</v>
      </c>
      <c r="O291" s="97"/>
      <c r="P291" s="79" t="s">
        <v>112</v>
      </c>
      <c r="Q291" s="79"/>
      <c r="R291" s="79" t="s">
        <v>111</v>
      </c>
      <c r="S291" s="87"/>
    </row>
    <row r="292" ht="41.25" customHeight="1" outlineLevel="1">
      <c r="A292" s="87">
        <v>12.0</v>
      </c>
      <c r="B292" s="119"/>
      <c r="C292" s="89"/>
      <c r="D292" s="87"/>
      <c r="E292" s="90" t="s">
        <v>391</v>
      </c>
      <c r="F292" s="105"/>
      <c r="G292" s="91" t="s">
        <v>110</v>
      </c>
      <c r="H292" s="92">
        <v>30.0</v>
      </c>
      <c r="I292" s="93">
        <v>59.0</v>
      </c>
      <c r="J292" s="93">
        <v>69.0</v>
      </c>
      <c r="K292" s="95">
        <v>9.07</v>
      </c>
      <c r="L292" s="96">
        <f t="shared" si="62"/>
        <v>0.1314492754</v>
      </c>
      <c r="M292" s="96">
        <f t="shared" ref="M292:M293" si="73">J292/I292</f>
        <v>1.169491525</v>
      </c>
      <c r="N292" s="96">
        <f t="shared" si="64"/>
        <v>5.504961411</v>
      </c>
      <c r="O292" s="97"/>
      <c r="P292" s="87" t="s">
        <v>111</v>
      </c>
      <c r="Q292" s="87"/>
      <c r="R292" s="87" t="s">
        <v>111</v>
      </c>
      <c r="S292" s="87"/>
    </row>
    <row r="293" ht="41.25" customHeight="1" outlineLevel="1">
      <c r="G293" s="91" t="s">
        <v>113</v>
      </c>
      <c r="I293" s="81">
        <v>59.0</v>
      </c>
      <c r="J293" s="81">
        <v>69.0</v>
      </c>
      <c r="K293" s="99">
        <v>9.0</v>
      </c>
      <c r="L293" s="96">
        <f t="shared" si="62"/>
        <v>0.1304347826</v>
      </c>
      <c r="M293" s="96">
        <f t="shared" si="73"/>
        <v>1.169491525</v>
      </c>
      <c r="N293" s="100">
        <f t="shared" si="64"/>
        <v>5.555555556</v>
      </c>
      <c r="O293" s="101"/>
      <c r="P293" s="87" t="s">
        <v>111</v>
      </c>
      <c r="Q293" s="79" t="s">
        <v>111</v>
      </c>
      <c r="R293" s="79" t="s">
        <v>111</v>
      </c>
      <c r="S293" s="87"/>
    </row>
    <row r="294" ht="41.25" customHeight="1" outlineLevel="1">
      <c r="A294" s="59"/>
      <c r="B294" s="59"/>
      <c r="C294" s="59"/>
      <c r="D294" s="59"/>
      <c r="E294" s="59"/>
      <c r="F294" s="59"/>
      <c r="G294" s="98" t="s">
        <v>114</v>
      </c>
      <c r="H294" s="59"/>
      <c r="I294" s="81">
        <v>0.0</v>
      </c>
      <c r="J294" s="81">
        <v>89.0</v>
      </c>
      <c r="K294" s="99">
        <v>0.0</v>
      </c>
      <c r="L294" s="96">
        <f t="shared" si="62"/>
        <v>0</v>
      </c>
      <c r="M294" s="100">
        <f>I294/J294</f>
        <v>0</v>
      </c>
      <c r="N294" s="96" t="str">
        <f t="shared" si="64"/>
        <v>#DIV/0!</v>
      </c>
      <c r="O294" s="97"/>
      <c r="P294" s="79" t="s">
        <v>112</v>
      </c>
      <c r="Q294" s="79"/>
      <c r="R294" s="79" t="s">
        <v>111</v>
      </c>
      <c r="S294" s="87"/>
    </row>
    <row r="295" ht="41.25" customHeight="1" outlineLevel="1">
      <c r="A295" s="87">
        <v>13.0</v>
      </c>
      <c r="B295" s="119"/>
      <c r="C295" s="89"/>
      <c r="D295" s="87"/>
      <c r="E295" s="90" t="s">
        <v>392</v>
      </c>
      <c r="F295" s="105"/>
      <c r="G295" s="91" t="s">
        <v>110</v>
      </c>
      <c r="H295" s="92">
        <v>30.0</v>
      </c>
      <c r="I295" s="93">
        <v>59.0</v>
      </c>
      <c r="J295" s="93">
        <v>69.0</v>
      </c>
      <c r="K295" s="95">
        <v>15.0</v>
      </c>
      <c r="L295" s="96">
        <f t="shared" si="62"/>
        <v>0.2173913043</v>
      </c>
      <c r="M295" s="96">
        <f t="shared" ref="M295:M296" si="74">J295/I295</f>
        <v>1.169491525</v>
      </c>
      <c r="N295" s="96">
        <f t="shared" si="64"/>
        <v>2.933333333</v>
      </c>
      <c r="O295" s="97"/>
      <c r="P295" s="87" t="s">
        <v>111</v>
      </c>
      <c r="Q295" s="87"/>
      <c r="R295" s="87" t="s">
        <v>111</v>
      </c>
      <c r="S295" s="87"/>
    </row>
    <row r="296" ht="41.25" customHeight="1" outlineLevel="1">
      <c r="G296" s="91" t="s">
        <v>113</v>
      </c>
      <c r="I296" s="81">
        <v>59.0</v>
      </c>
      <c r="J296" s="81">
        <v>69.0</v>
      </c>
      <c r="K296" s="99">
        <v>20.0</v>
      </c>
      <c r="L296" s="96">
        <f t="shared" si="62"/>
        <v>0.2898550725</v>
      </c>
      <c r="M296" s="96">
        <f t="shared" si="74"/>
        <v>1.169491525</v>
      </c>
      <c r="N296" s="100">
        <f t="shared" si="64"/>
        <v>1.95</v>
      </c>
      <c r="O296" s="101"/>
      <c r="P296" s="87" t="s">
        <v>111</v>
      </c>
      <c r="Q296" s="79" t="s">
        <v>111</v>
      </c>
      <c r="R296" s="79" t="s">
        <v>111</v>
      </c>
      <c r="S296" s="87"/>
    </row>
    <row r="297" ht="41.25" customHeight="1" outlineLevel="1">
      <c r="A297" s="59"/>
      <c r="B297" s="59"/>
      <c r="C297" s="59"/>
      <c r="D297" s="59"/>
      <c r="E297" s="59"/>
      <c r="F297" s="59"/>
      <c r="G297" s="98" t="s">
        <v>114</v>
      </c>
      <c r="H297" s="59"/>
      <c r="I297" s="81">
        <v>0.0</v>
      </c>
      <c r="J297" s="81">
        <v>89.0</v>
      </c>
      <c r="K297" s="99">
        <v>0.0</v>
      </c>
      <c r="L297" s="96">
        <f t="shared" si="62"/>
        <v>0</v>
      </c>
      <c r="M297" s="100">
        <f>I297/J297</f>
        <v>0</v>
      </c>
      <c r="N297" s="96" t="str">
        <f t="shared" si="64"/>
        <v>#DIV/0!</v>
      </c>
      <c r="O297" s="97"/>
      <c r="P297" s="79" t="s">
        <v>112</v>
      </c>
      <c r="Q297" s="79"/>
      <c r="R297" s="79" t="s">
        <v>111</v>
      </c>
      <c r="S297" s="87"/>
    </row>
    <row r="298" ht="41.25" customHeight="1" outlineLevel="1">
      <c r="A298" s="87">
        <v>14.0</v>
      </c>
      <c r="B298" s="119"/>
      <c r="C298" s="89"/>
      <c r="D298" s="87"/>
      <c r="E298" s="90" t="s">
        <v>393</v>
      </c>
      <c r="F298" s="105"/>
      <c r="G298" s="91" t="s">
        <v>110</v>
      </c>
      <c r="H298" s="92">
        <v>30.0</v>
      </c>
      <c r="I298" s="93">
        <v>59.0</v>
      </c>
      <c r="J298" s="93">
        <v>69.0</v>
      </c>
      <c r="K298" s="95">
        <v>6.0</v>
      </c>
      <c r="L298" s="96">
        <f t="shared" si="62"/>
        <v>0.08695652174</v>
      </c>
      <c r="M298" s="96">
        <f t="shared" ref="M298:M299" si="75">J298/I298</f>
        <v>1.169491525</v>
      </c>
      <c r="N298" s="96">
        <f t="shared" si="64"/>
        <v>8.833333333</v>
      </c>
      <c r="O298" s="97"/>
      <c r="P298" s="87" t="s">
        <v>111</v>
      </c>
      <c r="Q298" s="87"/>
      <c r="R298" s="87" t="s">
        <v>111</v>
      </c>
      <c r="S298" s="87"/>
    </row>
    <row r="299" ht="41.25" customHeight="1" outlineLevel="1">
      <c r="G299" s="91" t="s">
        <v>113</v>
      </c>
      <c r="I299" s="81">
        <v>59.0</v>
      </c>
      <c r="J299" s="81">
        <v>69.0</v>
      </c>
      <c r="K299" s="99">
        <v>6.0</v>
      </c>
      <c r="L299" s="96">
        <f t="shared" si="62"/>
        <v>0.08695652174</v>
      </c>
      <c r="M299" s="96">
        <f t="shared" si="75"/>
        <v>1.169491525</v>
      </c>
      <c r="N299" s="100">
        <f t="shared" si="64"/>
        <v>8.833333333</v>
      </c>
      <c r="O299" s="101"/>
      <c r="P299" s="87" t="s">
        <v>111</v>
      </c>
      <c r="Q299" s="79" t="s">
        <v>111</v>
      </c>
      <c r="R299" s="79" t="s">
        <v>111</v>
      </c>
      <c r="S299" s="87"/>
    </row>
    <row r="300" ht="41.25" customHeight="1" outlineLevel="1">
      <c r="A300" s="59"/>
      <c r="B300" s="59"/>
      <c r="C300" s="59"/>
      <c r="D300" s="59"/>
      <c r="E300" s="59"/>
      <c r="F300" s="59"/>
      <c r="G300" s="98" t="s">
        <v>114</v>
      </c>
      <c r="H300" s="59"/>
      <c r="I300" s="81">
        <v>0.0</v>
      </c>
      <c r="J300" s="81">
        <v>89.0</v>
      </c>
      <c r="K300" s="99">
        <v>0.0</v>
      </c>
      <c r="L300" s="96">
        <f t="shared" si="62"/>
        <v>0</v>
      </c>
      <c r="M300" s="100">
        <f>I300/J300</f>
        <v>0</v>
      </c>
      <c r="N300" s="96" t="str">
        <f t="shared" si="64"/>
        <v>#DIV/0!</v>
      </c>
      <c r="O300" s="97"/>
      <c r="P300" s="79" t="s">
        <v>112</v>
      </c>
      <c r="Q300" s="79"/>
      <c r="R300" s="79" t="s">
        <v>111</v>
      </c>
      <c r="S300" s="87"/>
    </row>
    <row r="301" ht="41.25" customHeight="1" outlineLevel="1">
      <c r="A301" s="87">
        <v>15.0</v>
      </c>
      <c r="B301" s="119"/>
      <c r="C301" s="89"/>
      <c r="D301" s="87"/>
      <c r="E301" s="90" t="s">
        <v>394</v>
      </c>
      <c r="F301" s="105"/>
      <c r="G301" s="91" t="s">
        <v>110</v>
      </c>
      <c r="H301" s="92">
        <v>30.0</v>
      </c>
      <c r="I301" s="93">
        <v>59.0</v>
      </c>
      <c r="J301" s="93">
        <v>69.0</v>
      </c>
      <c r="K301" s="95">
        <v>15.89</v>
      </c>
      <c r="L301" s="96">
        <f t="shared" si="62"/>
        <v>0.2302898551</v>
      </c>
      <c r="M301" s="96">
        <f t="shared" ref="M301:M302" si="76">J301/I301</f>
        <v>1.169491525</v>
      </c>
      <c r="N301" s="96">
        <f t="shared" si="64"/>
        <v>2.713027061</v>
      </c>
      <c r="O301" s="97"/>
      <c r="P301" s="87" t="s">
        <v>111</v>
      </c>
      <c r="Q301" s="87"/>
      <c r="R301" s="87" t="s">
        <v>111</v>
      </c>
      <c r="S301" s="87"/>
    </row>
    <row r="302" ht="41.25" customHeight="1" outlineLevel="1">
      <c r="G302" s="91" t="s">
        <v>113</v>
      </c>
      <c r="I302" s="81">
        <v>59.0</v>
      </c>
      <c r="J302" s="81">
        <v>69.0</v>
      </c>
      <c r="K302" s="99">
        <v>17.0</v>
      </c>
      <c r="L302" s="96">
        <f t="shared" si="62"/>
        <v>0.2463768116</v>
      </c>
      <c r="M302" s="96">
        <f t="shared" si="76"/>
        <v>1.169491525</v>
      </c>
      <c r="N302" s="100">
        <f t="shared" si="64"/>
        <v>2.470588235</v>
      </c>
      <c r="O302" s="101"/>
      <c r="P302" s="87" t="s">
        <v>111</v>
      </c>
      <c r="Q302" s="79" t="s">
        <v>111</v>
      </c>
      <c r="R302" s="79" t="s">
        <v>111</v>
      </c>
      <c r="S302" s="87"/>
    </row>
    <row r="303" ht="41.25" customHeight="1" outlineLevel="1">
      <c r="A303" s="59"/>
      <c r="B303" s="59"/>
      <c r="C303" s="59"/>
      <c r="D303" s="59"/>
      <c r="E303" s="59"/>
      <c r="F303" s="59"/>
      <c r="G303" s="98" t="s">
        <v>114</v>
      </c>
      <c r="H303" s="59"/>
      <c r="I303" s="81">
        <v>0.0</v>
      </c>
      <c r="J303" s="81">
        <v>89.0</v>
      </c>
      <c r="K303" s="99">
        <v>0.0</v>
      </c>
      <c r="L303" s="96">
        <f t="shared" si="62"/>
        <v>0</v>
      </c>
      <c r="M303" s="100">
        <f>I303/J303</f>
        <v>0</v>
      </c>
      <c r="N303" s="96" t="str">
        <f t="shared" si="64"/>
        <v>#DIV/0!</v>
      </c>
      <c r="O303" s="97"/>
      <c r="P303" s="79" t="s">
        <v>112</v>
      </c>
      <c r="Q303" s="79"/>
      <c r="R303" s="79" t="s">
        <v>111</v>
      </c>
      <c r="S303" s="87"/>
    </row>
    <row r="304" ht="41.25" customHeight="1" outlineLevel="1">
      <c r="A304" s="87">
        <v>16.0</v>
      </c>
      <c r="B304" s="119"/>
      <c r="C304" s="89"/>
      <c r="D304" s="87"/>
      <c r="E304" s="90" t="s">
        <v>395</v>
      </c>
      <c r="F304" s="105"/>
      <c r="G304" s="91" t="s">
        <v>110</v>
      </c>
      <c r="H304" s="92">
        <v>30.0</v>
      </c>
      <c r="I304" s="93">
        <v>59.0</v>
      </c>
      <c r="J304" s="93">
        <v>69.0</v>
      </c>
      <c r="K304" s="95">
        <v>10.0</v>
      </c>
      <c r="L304" s="96">
        <f t="shared" si="62"/>
        <v>0.1449275362</v>
      </c>
      <c r="M304" s="96">
        <f t="shared" ref="M304:M305" si="77">J304/I304</f>
        <v>1.169491525</v>
      </c>
      <c r="N304" s="96">
        <f t="shared" si="64"/>
        <v>4.9</v>
      </c>
      <c r="O304" s="97"/>
      <c r="P304" s="87" t="s">
        <v>111</v>
      </c>
      <c r="Q304" s="87"/>
      <c r="R304" s="87" t="s">
        <v>111</v>
      </c>
      <c r="S304" s="87"/>
    </row>
    <row r="305" ht="41.25" customHeight="1" outlineLevel="1">
      <c r="G305" s="91" t="s">
        <v>113</v>
      </c>
      <c r="I305" s="81">
        <v>59.0</v>
      </c>
      <c r="J305" s="81">
        <v>69.0</v>
      </c>
      <c r="K305" s="99">
        <v>11.0</v>
      </c>
      <c r="L305" s="96">
        <f t="shared" si="62"/>
        <v>0.1594202899</v>
      </c>
      <c r="M305" s="96">
        <f t="shared" si="77"/>
        <v>1.169491525</v>
      </c>
      <c r="N305" s="100">
        <f t="shared" si="64"/>
        <v>4.363636364</v>
      </c>
      <c r="O305" s="101"/>
      <c r="P305" s="87" t="s">
        <v>111</v>
      </c>
      <c r="Q305" s="79" t="s">
        <v>111</v>
      </c>
      <c r="R305" s="79" t="s">
        <v>111</v>
      </c>
      <c r="S305" s="87"/>
    </row>
    <row r="306" ht="41.25" customHeight="1" outlineLevel="1">
      <c r="A306" s="59"/>
      <c r="B306" s="59"/>
      <c r="C306" s="59"/>
      <c r="D306" s="59"/>
      <c r="E306" s="59"/>
      <c r="F306" s="59"/>
      <c r="G306" s="98" t="s">
        <v>114</v>
      </c>
      <c r="H306" s="59"/>
      <c r="I306" s="81">
        <v>0.0</v>
      </c>
      <c r="J306" s="81">
        <v>89.0</v>
      </c>
      <c r="K306" s="99"/>
      <c r="L306" s="96">
        <f t="shared" si="62"/>
        <v>0</v>
      </c>
      <c r="M306" s="100">
        <f>I306/J306</f>
        <v>0</v>
      </c>
      <c r="N306" s="96" t="str">
        <f t="shared" si="64"/>
        <v>#DIV/0!</v>
      </c>
      <c r="O306" s="97"/>
      <c r="P306" s="79" t="s">
        <v>112</v>
      </c>
      <c r="Q306" s="79"/>
      <c r="R306" s="79" t="s">
        <v>111</v>
      </c>
      <c r="S306" s="87"/>
    </row>
    <row r="307" ht="41.25" customHeight="1" outlineLevel="1">
      <c r="A307" s="87">
        <v>17.0</v>
      </c>
      <c r="B307" s="119"/>
      <c r="C307" s="89"/>
      <c r="D307" s="87"/>
      <c r="E307" s="90" t="s">
        <v>396</v>
      </c>
      <c r="F307" s="105"/>
      <c r="G307" s="91" t="s">
        <v>110</v>
      </c>
      <c r="H307" s="92">
        <v>30.0</v>
      </c>
      <c r="I307" s="93">
        <v>59.0</v>
      </c>
      <c r="J307" s="93">
        <v>69.0</v>
      </c>
      <c r="K307" s="95">
        <v>9.57</v>
      </c>
      <c r="L307" s="96">
        <f t="shared" si="62"/>
        <v>0.1386956522</v>
      </c>
      <c r="M307" s="96">
        <f t="shared" ref="M307:M308" si="78">J307/I307</f>
        <v>1.169491525</v>
      </c>
      <c r="N307" s="96">
        <f t="shared" si="64"/>
        <v>5.165099269</v>
      </c>
      <c r="O307" s="97"/>
      <c r="P307" s="87" t="s">
        <v>111</v>
      </c>
      <c r="Q307" s="87"/>
      <c r="R307" s="87" t="s">
        <v>111</v>
      </c>
      <c r="S307" s="87"/>
    </row>
    <row r="308" ht="41.25" customHeight="1" outlineLevel="1">
      <c r="G308" s="91" t="s">
        <v>113</v>
      </c>
      <c r="I308" s="81">
        <v>59.0</v>
      </c>
      <c r="J308" s="81">
        <v>69.0</v>
      </c>
      <c r="K308" s="99">
        <v>11.0</v>
      </c>
      <c r="L308" s="96">
        <f t="shared" si="62"/>
        <v>0.1594202899</v>
      </c>
      <c r="M308" s="96">
        <f t="shared" si="78"/>
        <v>1.169491525</v>
      </c>
      <c r="N308" s="100">
        <f t="shared" si="64"/>
        <v>4.363636364</v>
      </c>
      <c r="O308" s="101"/>
      <c r="P308" s="87" t="s">
        <v>111</v>
      </c>
      <c r="Q308" s="79" t="s">
        <v>111</v>
      </c>
      <c r="R308" s="79" t="s">
        <v>111</v>
      </c>
      <c r="S308" s="87"/>
    </row>
    <row r="309" ht="41.25" customHeight="1" outlineLevel="1">
      <c r="A309" s="59"/>
      <c r="B309" s="59"/>
      <c r="C309" s="59"/>
      <c r="D309" s="59"/>
      <c r="E309" s="59"/>
      <c r="F309" s="59"/>
      <c r="G309" s="98" t="s">
        <v>114</v>
      </c>
      <c r="H309" s="59"/>
      <c r="I309" s="81">
        <v>0.0</v>
      </c>
      <c r="J309" s="81">
        <v>89.0</v>
      </c>
      <c r="K309" s="99">
        <v>0.0</v>
      </c>
      <c r="L309" s="96">
        <f t="shared" si="62"/>
        <v>0</v>
      </c>
      <c r="M309" s="100">
        <f>I309/J309</f>
        <v>0</v>
      </c>
      <c r="N309" s="96" t="str">
        <f t="shared" si="64"/>
        <v>#DIV/0!</v>
      </c>
      <c r="O309" s="97"/>
      <c r="P309" s="79" t="s">
        <v>112</v>
      </c>
      <c r="Q309" s="79"/>
      <c r="R309" s="79" t="s">
        <v>111</v>
      </c>
      <c r="S309" s="87"/>
    </row>
    <row r="310" ht="41.25" customHeight="1" outlineLevel="1">
      <c r="A310" s="87">
        <v>18.0</v>
      </c>
      <c r="B310" s="119"/>
      <c r="C310" s="89"/>
      <c r="D310" s="87"/>
      <c r="E310" s="90" t="s">
        <v>397</v>
      </c>
      <c r="F310" s="105"/>
      <c r="G310" s="91" t="s">
        <v>110</v>
      </c>
      <c r="H310" s="92">
        <v>30.0</v>
      </c>
      <c r="I310" s="93">
        <v>59.0</v>
      </c>
      <c r="J310" s="93">
        <v>69.0</v>
      </c>
      <c r="K310" s="95">
        <v>7.99</v>
      </c>
      <c r="L310" s="96">
        <f t="shared" si="62"/>
        <v>0.1157971014</v>
      </c>
      <c r="M310" s="96">
        <f t="shared" ref="M310:M311" si="79">J310/I310</f>
        <v>1.169491525</v>
      </c>
      <c r="N310" s="96">
        <f t="shared" si="64"/>
        <v>6.384230288</v>
      </c>
      <c r="O310" s="97"/>
      <c r="P310" s="87" t="s">
        <v>111</v>
      </c>
      <c r="Q310" s="87"/>
      <c r="R310" s="87" t="s">
        <v>111</v>
      </c>
      <c r="S310" s="87"/>
    </row>
    <row r="311" ht="41.25" customHeight="1" outlineLevel="1">
      <c r="G311" s="91" t="s">
        <v>113</v>
      </c>
      <c r="I311" s="81">
        <v>59.0</v>
      </c>
      <c r="J311" s="81">
        <v>69.0</v>
      </c>
      <c r="K311" s="99">
        <v>9.0</v>
      </c>
      <c r="L311" s="96">
        <f t="shared" si="62"/>
        <v>0.1304347826</v>
      </c>
      <c r="M311" s="96">
        <f t="shared" si="79"/>
        <v>1.169491525</v>
      </c>
      <c r="N311" s="100">
        <f t="shared" si="64"/>
        <v>5.555555556</v>
      </c>
      <c r="O311" s="101"/>
      <c r="P311" s="87" t="s">
        <v>111</v>
      </c>
      <c r="Q311" s="79" t="s">
        <v>111</v>
      </c>
      <c r="R311" s="79" t="s">
        <v>111</v>
      </c>
      <c r="S311" s="87"/>
    </row>
    <row r="312" ht="41.25" customHeight="1" outlineLevel="1">
      <c r="A312" s="59"/>
      <c r="B312" s="59"/>
      <c r="C312" s="59"/>
      <c r="D312" s="59"/>
      <c r="E312" s="59"/>
      <c r="F312" s="59"/>
      <c r="G312" s="98" t="s">
        <v>114</v>
      </c>
      <c r="H312" s="59"/>
      <c r="I312" s="81">
        <v>0.0</v>
      </c>
      <c r="J312" s="81">
        <v>89.0</v>
      </c>
      <c r="K312" s="99">
        <v>0.0</v>
      </c>
      <c r="L312" s="96">
        <f t="shared" si="62"/>
        <v>0</v>
      </c>
      <c r="M312" s="100">
        <f>I312/J312</f>
        <v>0</v>
      </c>
      <c r="N312" s="96" t="str">
        <f t="shared" si="64"/>
        <v>#DIV/0!</v>
      </c>
      <c r="O312" s="97"/>
      <c r="P312" s="79" t="s">
        <v>112</v>
      </c>
      <c r="Q312" s="79"/>
      <c r="R312" s="79" t="s">
        <v>111</v>
      </c>
      <c r="S312" s="87"/>
    </row>
    <row r="313" ht="41.25" customHeight="1" outlineLevel="1">
      <c r="A313" s="87">
        <v>19.0</v>
      </c>
      <c r="B313" s="119"/>
      <c r="C313" s="89"/>
      <c r="D313" s="87"/>
      <c r="E313" s="90" t="s">
        <v>398</v>
      </c>
      <c r="F313" s="105"/>
      <c r="G313" s="91" t="s">
        <v>110</v>
      </c>
      <c r="H313" s="92">
        <v>30.0</v>
      </c>
      <c r="I313" s="93">
        <v>59.0</v>
      </c>
      <c r="J313" s="93">
        <v>69.0</v>
      </c>
      <c r="K313" s="95">
        <v>9.0</v>
      </c>
      <c r="L313" s="96">
        <f t="shared" si="62"/>
        <v>0.1304347826</v>
      </c>
      <c r="M313" s="96">
        <f t="shared" ref="M313:M314" si="80">J313/I313</f>
        <v>1.169491525</v>
      </c>
      <c r="N313" s="96">
        <f t="shared" si="64"/>
        <v>5.555555556</v>
      </c>
      <c r="O313" s="97"/>
      <c r="P313" s="87" t="s">
        <v>111</v>
      </c>
      <c r="Q313" s="87"/>
      <c r="R313" s="87" t="s">
        <v>111</v>
      </c>
      <c r="S313" s="87"/>
    </row>
    <row r="314" ht="41.25" customHeight="1" outlineLevel="1">
      <c r="G314" s="91" t="s">
        <v>113</v>
      </c>
      <c r="I314" s="81">
        <v>59.0</v>
      </c>
      <c r="J314" s="81">
        <v>69.0</v>
      </c>
      <c r="K314" s="99">
        <v>9.0</v>
      </c>
      <c r="L314" s="96">
        <f t="shared" si="62"/>
        <v>0.1304347826</v>
      </c>
      <c r="M314" s="96">
        <f t="shared" si="80"/>
        <v>1.169491525</v>
      </c>
      <c r="N314" s="100">
        <f t="shared" si="64"/>
        <v>5.555555556</v>
      </c>
      <c r="O314" s="101"/>
      <c r="P314" s="87" t="s">
        <v>111</v>
      </c>
      <c r="Q314" s="79" t="s">
        <v>111</v>
      </c>
      <c r="R314" s="79" t="s">
        <v>111</v>
      </c>
      <c r="S314" s="87"/>
    </row>
    <row r="315" ht="41.25" customHeight="1" outlineLevel="1">
      <c r="A315" s="59"/>
      <c r="B315" s="59"/>
      <c r="C315" s="59"/>
      <c r="D315" s="59"/>
      <c r="E315" s="59"/>
      <c r="F315" s="59"/>
      <c r="G315" s="98" t="s">
        <v>114</v>
      </c>
      <c r="H315" s="59"/>
      <c r="I315" s="81">
        <v>0.0</v>
      </c>
      <c r="J315" s="81">
        <v>89.0</v>
      </c>
      <c r="K315" s="99">
        <v>0.0</v>
      </c>
      <c r="L315" s="100" t="str">
        <f>K315/I315</f>
        <v>#DIV/0!</v>
      </c>
      <c r="M315" s="100">
        <f>I315/J315</f>
        <v>0</v>
      </c>
      <c r="N315" s="96" t="str">
        <f t="shared" si="64"/>
        <v>#DIV/0!</v>
      </c>
      <c r="O315" s="97"/>
      <c r="P315" s="79" t="s">
        <v>112</v>
      </c>
      <c r="Q315" s="79"/>
      <c r="R315" s="79" t="s">
        <v>111</v>
      </c>
      <c r="S315" s="87"/>
    </row>
    <row r="316" ht="41.25" customHeight="1" outlineLevel="1">
      <c r="A316" s="87">
        <v>20.0</v>
      </c>
      <c r="B316" s="119"/>
      <c r="C316" s="89"/>
      <c r="D316" s="87"/>
      <c r="E316" s="90" t="s">
        <v>399</v>
      </c>
      <c r="F316" s="105"/>
      <c r="G316" s="91" t="s">
        <v>110</v>
      </c>
      <c r="H316" s="92">
        <v>30.0</v>
      </c>
      <c r="I316" s="93">
        <v>59.0</v>
      </c>
      <c r="J316" s="93">
        <v>69.0</v>
      </c>
      <c r="K316" s="95">
        <v>14.72</v>
      </c>
      <c r="L316" s="96">
        <f t="shared" ref="L316:L317" si="81">K316/J316</f>
        <v>0.2133333333</v>
      </c>
      <c r="M316" s="96">
        <f t="shared" ref="M316:M317" si="82">J316/I316</f>
        <v>1.169491525</v>
      </c>
      <c r="N316" s="96">
        <f t="shared" si="64"/>
        <v>3.008152174</v>
      </c>
      <c r="O316" s="97"/>
      <c r="P316" s="87" t="s">
        <v>111</v>
      </c>
      <c r="Q316" s="87"/>
      <c r="R316" s="87" t="s">
        <v>111</v>
      </c>
      <c r="S316" s="87"/>
    </row>
    <row r="317" ht="41.25" customHeight="1" outlineLevel="1">
      <c r="G317" s="91" t="s">
        <v>113</v>
      </c>
      <c r="I317" s="81">
        <v>59.0</v>
      </c>
      <c r="J317" s="81">
        <v>69.0</v>
      </c>
      <c r="K317" s="99">
        <v>16.0</v>
      </c>
      <c r="L317" s="96">
        <f t="shared" si="81"/>
        <v>0.231884058</v>
      </c>
      <c r="M317" s="96">
        <f t="shared" si="82"/>
        <v>1.169491525</v>
      </c>
      <c r="N317" s="100">
        <f t="shared" si="64"/>
        <v>2.6875</v>
      </c>
      <c r="O317" s="101"/>
      <c r="P317" s="87" t="s">
        <v>111</v>
      </c>
      <c r="Q317" s="79" t="s">
        <v>111</v>
      </c>
      <c r="R317" s="79" t="s">
        <v>111</v>
      </c>
      <c r="S317" s="87"/>
    </row>
    <row r="318" ht="41.25" customHeight="1" outlineLevel="1">
      <c r="A318" s="59"/>
      <c r="B318" s="59"/>
      <c r="C318" s="59"/>
      <c r="D318" s="59"/>
      <c r="E318" s="59"/>
      <c r="F318" s="59"/>
      <c r="G318" s="98" t="s">
        <v>114</v>
      </c>
      <c r="H318" s="59"/>
      <c r="I318" s="81">
        <v>0.0</v>
      </c>
      <c r="J318" s="81">
        <v>89.0</v>
      </c>
      <c r="K318" s="99">
        <v>0.0</v>
      </c>
      <c r="L318" s="100" t="str">
        <f>K318/I318</f>
        <v>#DIV/0!</v>
      </c>
      <c r="M318" s="100">
        <f>I318/J318</f>
        <v>0</v>
      </c>
      <c r="N318" s="96" t="str">
        <f t="shared" si="64"/>
        <v>#DIV/0!</v>
      </c>
      <c r="O318" s="97"/>
      <c r="P318" s="79" t="s">
        <v>112</v>
      </c>
      <c r="Q318" s="79"/>
      <c r="R318" s="79" t="s">
        <v>111</v>
      </c>
      <c r="S318" s="87"/>
    </row>
    <row r="319" ht="41.25" customHeight="1" outlineLevel="1">
      <c r="A319" s="87">
        <v>21.0</v>
      </c>
      <c r="B319" s="119"/>
      <c r="C319" s="89"/>
      <c r="D319" s="87"/>
      <c r="E319" s="90" t="s">
        <v>400</v>
      </c>
      <c r="F319" s="105" t="s">
        <v>401</v>
      </c>
      <c r="G319" s="91" t="s">
        <v>110</v>
      </c>
      <c r="H319" s="92">
        <v>120.0</v>
      </c>
      <c r="I319" s="93">
        <v>99.0</v>
      </c>
      <c r="J319" s="93">
        <v>129.0</v>
      </c>
      <c r="K319" s="95">
        <v>29.0</v>
      </c>
      <c r="L319" s="96">
        <f t="shared" ref="L319:L320" si="83">K319/J319</f>
        <v>0.2248062016</v>
      </c>
      <c r="M319" s="96">
        <f t="shared" ref="M319:M320" si="84">J319/I319</f>
        <v>1.303030303</v>
      </c>
      <c r="N319" s="96">
        <f t="shared" si="64"/>
        <v>2.413793103</v>
      </c>
      <c r="O319" s="97"/>
      <c r="P319" s="87" t="s">
        <v>111</v>
      </c>
      <c r="Q319" s="87"/>
      <c r="R319" s="87" t="s">
        <v>112</v>
      </c>
      <c r="S319" s="87"/>
    </row>
    <row r="320" ht="41.25" customHeight="1" outlineLevel="1">
      <c r="G320" s="91" t="s">
        <v>113</v>
      </c>
      <c r="I320" s="81">
        <v>99.0</v>
      </c>
      <c r="J320" s="81">
        <v>129.0</v>
      </c>
      <c r="K320" s="99">
        <v>27.0</v>
      </c>
      <c r="L320" s="96">
        <f t="shared" si="83"/>
        <v>0.2093023256</v>
      </c>
      <c r="M320" s="96">
        <f t="shared" si="84"/>
        <v>1.303030303</v>
      </c>
      <c r="N320" s="100">
        <f t="shared" si="64"/>
        <v>2.666666667</v>
      </c>
      <c r="O320" s="101"/>
      <c r="P320" s="87" t="s">
        <v>111</v>
      </c>
      <c r="Q320" s="79"/>
      <c r="R320" s="79" t="s">
        <v>112</v>
      </c>
      <c r="S320" s="87"/>
    </row>
    <row r="321" ht="41.25" customHeight="1" outlineLevel="1">
      <c r="A321" s="59"/>
      <c r="B321" s="59"/>
      <c r="C321" s="59"/>
      <c r="D321" s="59"/>
      <c r="E321" s="59"/>
      <c r="F321" s="59"/>
      <c r="G321" s="98" t="s">
        <v>114</v>
      </c>
      <c r="H321" s="59"/>
      <c r="I321" s="81">
        <v>0.0</v>
      </c>
      <c r="J321" s="81">
        <v>159.0</v>
      </c>
      <c r="K321" s="99">
        <v>0.0</v>
      </c>
      <c r="L321" s="100" t="str">
        <f>K321/I321</f>
        <v>#DIV/0!</v>
      </c>
      <c r="M321" s="100">
        <f>I321/J321</f>
        <v>0</v>
      </c>
      <c r="N321" s="96" t="str">
        <f t="shared" si="64"/>
        <v>#DIV/0!</v>
      </c>
      <c r="O321" s="97"/>
      <c r="P321" s="79" t="s">
        <v>112</v>
      </c>
      <c r="Q321" s="79"/>
      <c r="R321" s="79" t="s">
        <v>112</v>
      </c>
      <c r="S321" s="87"/>
    </row>
    <row r="322" ht="41.25" customHeight="1" outlineLevel="1">
      <c r="A322" s="87">
        <v>22.0</v>
      </c>
      <c r="B322" s="119"/>
      <c r="C322" s="89"/>
      <c r="D322" s="87"/>
      <c r="E322" s="90" t="s">
        <v>402</v>
      </c>
      <c r="F322" s="105"/>
      <c r="G322" s="91" t="s">
        <v>110</v>
      </c>
      <c r="H322" s="92">
        <v>80.0</v>
      </c>
      <c r="I322" s="93">
        <v>29.0</v>
      </c>
      <c r="J322" s="93">
        <v>49.0</v>
      </c>
      <c r="K322" s="95">
        <v>4.88</v>
      </c>
      <c r="L322" s="96">
        <f t="shared" ref="L322:L323" si="85">K322/J322</f>
        <v>0.09959183673</v>
      </c>
      <c r="M322" s="96">
        <f t="shared" ref="M322:M323" si="86">J322/I322</f>
        <v>1.689655172</v>
      </c>
      <c r="N322" s="96">
        <f t="shared" si="64"/>
        <v>4.942622951</v>
      </c>
      <c r="O322" s="97"/>
      <c r="P322" s="87" t="s">
        <v>111</v>
      </c>
      <c r="Q322" s="87"/>
      <c r="R322" s="87" t="s">
        <v>111</v>
      </c>
      <c r="S322" s="87"/>
    </row>
    <row r="323" ht="41.25" customHeight="1" outlineLevel="1">
      <c r="G323" s="91" t="s">
        <v>113</v>
      </c>
      <c r="I323" s="81">
        <v>59.0</v>
      </c>
      <c r="J323" s="81">
        <v>49.0</v>
      </c>
      <c r="K323" s="99">
        <v>5.0</v>
      </c>
      <c r="L323" s="96">
        <f t="shared" si="85"/>
        <v>0.1020408163</v>
      </c>
      <c r="M323" s="96">
        <f t="shared" si="86"/>
        <v>0.8305084746</v>
      </c>
      <c r="N323" s="100">
        <f t="shared" si="64"/>
        <v>10.8</v>
      </c>
      <c r="O323" s="101"/>
      <c r="P323" s="87" t="s">
        <v>111</v>
      </c>
      <c r="Q323" s="79"/>
      <c r="R323" s="79" t="s">
        <v>111</v>
      </c>
      <c r="S323" s="87"/>
    </row>
    <row r="324" ht="41.25" customHeight="1" outlineLevel="1">
      <c r="A324" s="59"/>
      <c r="B324" s="59"/>
      <c r="C324" s="59"/>
      <c r="D324" s="59"/>
      <c r="E324" s="59"/>
      <c r="F324" s="59"/>
      <c r="G324" s="98" t="s">
        <v>114</v>
      </c>
      <c r="H324" s="59"/>
      <c r="I324" s="81">
        <v>0.0</v>
      </c>
      <c r="J324" s="81">
        <v>69.0</v>
      </c>
      <c r="K324" s="99">
        <v>0.0</v>
      </c>
      <c r="L324" s="100" t="str">
        <f>K324/I324</f>
        <v>#DIV/0!</v>
      </c>
      <c r="M324" s="100">
        <f>I324/J324</f>
        <v>0</v>
      </c>
      <c r="N324" s="96" t="str">
        <f t="shared" si="64"/>
        <v>#DIV/0!</v>
      </c>
      <c r="O324" s="97"/>
      <c r="P324" s="79" t="s">
        <v>112</v>
      </c>
      <c r="Q324" s="79"/>
      <c r="R324" s="79" t="s">
        <v>111</v>
      </c>
      <c r="S324" s="87"/>
    </row>
    <row r="325" ht="41.25" customHeight="1" outlineLevel="1">
      <c r="A325" s="87">
        <v>23.0</v>
      </c>
      <c r="B325" s="119"/>
      <c r="C325" s="89"/>
      <c r="D325" s="87"/>
      <c r="E325" s="90" t="s">
        <v>403</v>
      </c>
      <c r="F325" s="105" t="s">
        <v>404</v>
      </c>
      <c r="G325" s="91" t="s">
        <v>110</v>
      </c>
      <c r="H325" s="92">
        <v>140.0</v>
      </c>
      <c r="I325" s="93">
        <v>149.0</v>
      </c>
      <c r="J325" s="93">
        <v>159.0</v>
      </c>
      <c r="K325" s="95">
        <v>41.0</v>
      </c>
      <c r="L325" s="96">
        <f t="shared" ref="L325:L326" si="87">K325/J325</f>
        <v>0.2578616352</v>
      </c>
      <c r="M325" s="96">
        <f t="shared" ref="M325:M326" si="88">J325/I325</f>
        <v>1.067114094</v>
      </c>
      <c r="N325" s="96">
        <f t="shared" si="64"/>
        <v>2.634146341</v>
      </c>
      <c r="O325" s="97"/>
      <c r="P325" s="87" t="s">
        <v>111</v>
      </c>
      <c r="Q325" s="87"/>
      <c r="R325" s="87" t="s">
        <v>111</v>
      </c>
      <c r="S325" s="87"/>
    </row>
    <row r="326" ht="41.25" customHeight="1" outlineLevel="1">
      <c r="G326" s="91" t="s">
        <v>113</v>
      </c>
      <c r="I326" s="81">
        <v>149.0</v>
      </c>
      <c r="J326" s="81">
        <v>159.0</v>
      </c>
      <c r="K326" s="99">
        <v>37.0</v>
      </c>
      <c r="L326" s="96">
        <f t="shared" si="87"/>
        <v>0.2327044025</v>
      </c>
      <c r="M326" s="96">
        <f t="shared" si="88"/>
        <v>1.067114094</v>
      </c>
      <c r="N326" s="100">
        <f t="shared" si="64"/>
        <v>3.027027027</v>
      </c>
      <c r="O326" s="101"/>
      <c r="P326" s="87" t="s">
        <v>111</v>
      </c>
      <c r="Q326" s="79"/>
      <c r="R326" s="79" t="s">
        <v>111</v>
      </c>
      <c r="S326" s="87"/>
    </row>
    <row r="327" ht="41.25" customHeight="1" outlineLevel="1">
      <c r="A327" s="59"/>
      <c r="B327" s="59"/>
      <c r="C327" s="59"/>
      <c r="D327" s="59"/>
      <c r="E327" s="59"/>
      <c r="F327" s="59"/>
      <c r="G327" s="98" t="s">
        <v>114</v>
      </c>
      <c r="H327" s="59"/>
      <c r="I327" s="81">
        <v>0.0</v>
      </c>
      <c r="J327" s="81">
        <v>199.0</v>
      </c>
      <c r="K327" s="99">
        <v>0.0</v>
      </c>
      <c r="L327" s="100" t="str">
        <f>K327/I327</f>
        <v>#DIV/0!</v>
      </c>
      <c r="M327" s="100">
        <f>I327/J327</f>
        <v>0</v>
      </c>
      <c r="N327" s="96" t="str">
        <f t="shared" si="64"/>
        <v>#DIV/0!</v>
      </c>
      <c r="O327" s="97"/>
      <c r="P327" s="79" t="s">
        <v>112</v>
      </c>
      <c r="Q327" s="79"/>
      <c r="R327" s="79" t="s">
        <v>111</v>
      </c>
      <c r="S327" s="87"/>
    </row>
    <row r="328" ht="41.25" customHeight="1" collapsed="1">
      <c r="A328" s="87"/>
      <c r="B328" s="89" t="str">
        <f>"Детское меню "&amp;COUNTA(E329:E356)&amp;" шт"</f>
        <v>Детское меню 10 шт</v>
      </c>
      <c r="C328" s="89"/>
      <c r="D328" s="87"/>
      <c r="E328" s="90"/>
      <c r="F328" s="105"/>
      <c r="G328" s="87"/>
      <c r="H328" s="92"/>
      <c r="I328" s="93"/>
      <c r="J328" s="93"/>
      <c r="K328" s="93"/>
      <c r="L328" s="158" t="str">
        <f>AVERAGE(L329:L357)</f>
        <v>#DIV/0!</v>
      </c>
      <c r="M328" s="158"/>
      <c r="N328" s="96"/>
      <c r="O328" s="97"/>
      <c r="P328" s="93"/>
      <c r="Q328" s="93"/>
      <c r="R328" s="86"/>
      <c r="S328" s="86"/>
    </row>
    <row r="329" ht="41.25" customHeight="1" outlineLevel="1">
      <c r="A329" s="87">
        <v>1.0</v>
      </c>
      <c r="B329" s="119"/>
      <c r="C329" s="89"/>
      <c r="D329" s="87"/>
      <c r="E329" s="90" t="s">
        <v>405</v>
      </c>
      <c r="F329" s="90" t="s">
        <v>406</v>
      </c>
      <c r="G329" s="91" t="s">
        <v>110</v>
      </c>
      <c r="H329" s="92">
        <v>150.0</v>
      </c>
      <c r="I329" s="93">
        <v>199.0</v>
      </c>
      <c r="J329" s="93">
        <v>299.0</v>
      </c>
      <c r="K329" s="95">
        <v>38.0</v>
      </c>
      <c r="L329" s="96">
        <f t="shared" ref="L329:L330" si="89">K329/J329</f>
        <v>0.127090301</v>
      </c>
      <c r="M329" s="96">
        <f t="shared" ref="M329:M334" si="90">I329/J329</f>
        <v>0.6655518395</v>
      </c>
      <c r="N329" s="96">
        <f t="shared" ref="N329:N358" si="91">I329/K329-1</f>
        <v>4.236842105</v>
      </c>
      <c r="O329" s="97">
        <v>319.0</v>
      </c>
      <c r="P329" s="87" t="s">
        <v>111</v>
      </c>
      <c r="Q329" s="87"/>
      <c r="R329" s="87" t="s">
        <v>111</v>
      </c>
      <c r="S329" s="87"/>
    </row>
    <row r="330" ht="41.25" customHeight="1" outlineLevel="1">
      <c r="G330" s="91" t="s">
        <v>113</v>
      </c>
      <c r="I330" s="81">
        <v>199.0</v>
      </c>
      <c r="J330" s="81">
        <v>299.0</v>
      </c>
      <c r="K330" s="99">
        <v>41.0</v>
      </c>
      <c r="L330" s="96">
        <f t="shared" si="89"/>
        <v>0.1371237458</v>
      </c>
      <c r="M330" s="100">
        <f t="shared" si="90"/>
        <v>0.6655518395</v>
      </c>
      <c r="N330" s="100">
        <f t="shared" si="91"/>
        <v>3.853658537</v>
      </c>
      <c r="O330" s="97">
        <v>319.0</v>
      </c>
      <c r="P330" s="79" t="s">
        <v>111</v>
      </c>
      <c r="Q330" s="79" t="s">
        <v>111</v>
      </c>
      <c r="R330" s="79" t="s">
        <v>111</v>
      </c>
      <c r="S330" s="87"/>
    </row>
    <row r="331" ht="41.25" hidden="1" customHeight="1" outlineLevel="1">
      <c r="A331" s="59"/>
      <c r="B331" s="59"/>
      <c r="C331" s="59"/>
      <c r="D331" s="59"/>
      <c r="E331" s="59"/>
      <c r="F331" s="59"/>
      <c r="G331" s="98" t="s">
        <v>114</v>
      </c>
      <c r="H331" s="59"/>
      <c r="I331" s="81">
        <v>0.0</v>
      </c>
      <c r="J331" s="81">
        <v>349.0</v>
      </c>
      <c r="K331" s="99">
        <v>41.0</v>
      </c>
      <c r="L331" s="100" t="str">
        <f>K331/I331</f>
        <v>#DIV/0!</v>
      </c>
      <c r="M331" s="100">
        <f t="shared" si="90"/>
        <v>0</v>
      </c>
      <c r="N331" s="96">
        <f t="shared" si="91"/>
        <v>-1</v>
      </c>
      <c r="O331" s="97"/>
      <c r="P331" s="79" t="s">
        <v>112</v>
      </c>
      <c r="Q331" s="79"/>
      <c r="R331" s="79" t="s">
        <v>111</v>
      </c>
      <c r="S331" s="87"/>
    </row>
    <row r="332" ht="41.25" customHeight="1" outlineLevel="1">
      <c r="A332" s="87">
        <v>2.0</v>
      </c>
      <c r="B332" s="119"/>
      <c r="C332" s="89" t="s">
        <v>407</v>
      </c>
      <c r="D332" s="87" t="s">
        <v>408</v>
      </c>
      <c r="E332" s="90" t="s">
        <v>409</v>
      </c>
      <c r="F332" s="105"/>
      <c r="G332" s="91" t="s">
        <v>110</v>
      </c>
      <c r="H332" s="92">
        <v>300.0</v>
      </c>
      <c r="I332" s="93">
        <v>199.0</v>
      </c>
      <c r="J332" s="93">
        <v>249.0</v>
      </c>
      <c r="K332" s="95">
        <v>45.08</v>
      </c>
      <c r="L332" s="96">
        <f t="shared" ref="L332:L333" si="92">K332/J332</f>
        <v>0.1810441767</v>
      </c>
      <c r="M332" s="96">
        <f t="shared" si="90"/>
        <v>0.7991967871</v>
      </c>
      <c r="N332" s="96">
        <f t="shared" si="91"/>
        <v>3.414374445</v>
      </c>
      <c r="O332" s="97">
        <v>279.0</v>
      </c>
      <c r="P332" s="87" t="s">
        <v>111</v>
      </c>
      <c r="Q332" s="87"/>
      <c r="R332" s="106" t="s">
        <v>111</v>
      </c>
      <c r="S332" s="106"/>
    </row>
    <row r="333" ht="41.25" customHeight="1" outlineLevel="1">
      <c r="G333" s="91" t="s">
        <v>113</v>
      </c>
      <c r="I333" s="81">
        <v>199.0</v>
      </c>
      <c r="J333" s="81">
        <v>249.0</v>
      </c>
      <c r="K333" s="99">
        <v>47.0</v>
      </c>
      <c r="L333" s="96">
        <f t="shared" si="92"/>
        <v>0.1887550201</v>
      </c>
      <c r="M333" s="100">
        <f t="shared" si="90"/>
        <v>0.7991967871</v>
      </c>
      <c r="N333" s="100">
        <f t="shared" si="91"/>
        <v>3.234042553</v>
      </c>
      <c r="O333" s="97">
        <v>279.0</v>
      </c>
      <c r="P333" s="79" t="s">
        <v>111</v>
      </c>
      <c r="Q333" s="79" t="s">
        <v>111</v>
      </c>
      <c r="R333" s="107" t="s">
        <v>111</v>
      </c>
      <c r="S333" s="106"/>
    </row>
    <row r="334" ht="41.25" hidden="1" customHeight="1" outlineLevel="1">
      <c r="A334" s="59"/>
      <c r="B334" s="59"/>
      <c r="C334" s="59"/>
      <c r="D334" s="59"/>
      <c r="E334" s="59"/>
      <c r="F334" s="59"/>
      <c r="G334" s="98" t="s">
        <v>114</v>
      </c>
      <c r="H334" s="59"/>
      <c r="I334" s="81">
        <v>0.0</v>
      </c>
      <c r="J334" s="81">
        <v>299.0</v>
      </c>
      <c r="K334" s="99">
        <v>47.0</v>
      </c>
      <c r="L334" s="100" t="str">
        <f>K334/I334</f>
        <v>#DIV/0!</v>
      </c>
      <c r="M334" s="100">
        <f t="shared" si="90"/>
        <v>0</v>
      </c>
      <c r="N334" s="96">
        <f t="shared" si="91"/>
        <v>-1</v>
      </c>
      <c r="O334" s="97"/>
      <c r="P334" s="79" t="s">
        <v>112</v>
      </c>
      <c r="Q334" s="79"/>
      <c r="R334" s="79" t="s">
        <v>111</v>
      </c>
      <c r="S334" s="87"/>
    </row>
    <row r="335" ht="41.25" customHeight="1" outlineLevel="1">
      <c r="A335" s="87">
        <v>3.0</v>
      </c>
      <c r="B335" s="119"/>
      <c r="C335" s="89" t="s">
        <v>410</v>
      </c>
      <c r="D335" s="98" t="s">
        <v>129</v>
      </c>
      <c r="E335" s="90" t="s">
        <v>411</v>
      </c>
      <c r="F335" s="201"/>
      <c r="G335" s="91" t="s">
        <v>110</v>
      </c>
      <c r="H335" s="92" t="s">
        <v>412</v>
      </c>
      <c r="I335" s="93">
        <v>199.0</v>
      </c>
      <c r="J335" s="93">
        <v>369.0</v>
      </c>
      <c r="K335" s="95">
        <v>102.0</v>
      </c>
      <c r="L335" s="96">
        <f t="shared" ref="L335:L336" si="93">K335/J335</f>
        <v>0.2764227642</v>
      </c>
      <c r="M335" s="96">
        <f t="shared" ref="M335:M336" si="94">J335/I335</f>
        <v>1.854271357</v>
      </c>
      <c r="N335" s="96">
        <f t="shared" si="91"/>
        <v>0.9509803922</v>
      </c>
      <c r="O335" s="97">
        <v>399.0</v>
      </c>
      <c r="P335" s="87" t="s">
        <v>111</v>
      </c>
      <c r="Q335" s="87"/>
      <c r="R335" s="102" t="s">
        <v>111</v>
      </c>
      <c r="S335" s="102"/>
    </row>
    <row r="336" ht="41.25" customHeight="1" outlineLevel="1">
      <c r="G336" s="91" t="s">
        <v>113</v>
      </c>
      <c r="I336" s="81">
        <v>199.0</v>
      </c>
      <c r="J336" s="81">
        <v>369.0</v>
      </c>
      <c r="K336" s="99">
        <v>102.0</v>
      </c>
      <c r="L336" s="96">
        <f t="shared" si="93"/>
        <v>0.2764227642</v>
      </c>
      <c r="M336" s="96">
        <f t="shared" si="94"/>
        <v>1.854271357</v>
      </c>
      <c r="N336" s="100">
        <f t="shared" si="91"/>
        <v>0.9509803922</v>
      </c>
      <c r="O336" s="97">
        <v>399.0</v>
      </c>
      <c r="P336" s="79" t="s">
        <v>111</v>
      </c>
      <c r="Q336" s="79" t="s">
        <v>111</v>
      </c>
      <c r="R336" s="103" t="s">
        <v>111</v>
      </c>
      <c r="S336" s="102"/>
    </row>
    <row r="337" ht="41.25" hidden="1" customHeight="1" outlineLevel="1">
      <c r="A337" s="59"/>
      <c r="B337" s="59"/>
      <c r="C337" s="59"/>
      <c r="D337" s="59"/>
      <c r="E337" s="59"/>
      <c r="F337" s="59"/>
      <c r="G337" s="98" t="s">
        <v>114</v>
      </c>
      <c r="H337" s="59"/>
      <c r="I337" s="81">
        <v>0.0</v>
      </c>
      <c r="J337" s="81">
        <v>429.0</v>
      </c>
      <c r="K337" s="99">
        <v>102.0</v>
      </c>
      <c r="L337" s="100" t="str">
        <f>K337/I337</f>
        <v>#DIV/0!</v>
      </c>
      <c r="M337" s="100">
        <f t="shared" ref="M337:M358" si="95">I337/J337</f>
        <v>0</v>
      </c>
      <c r="N337" s="96">
        <f t="shared" si="91"/>
        <v>-1</v>
      </c>
      <c r="O337" s="97"/>
      <c r="P337" s="79" t="s">
        <v>112</v>
      </c>
      <c r="Q337" s="79"/>
      <c r="R337" s="79" t="s">
        <v>111</v>
      </c>
      <c r="S337" s="87"/>
    </row>
    <row r="338" ht="41.25" customHeight="1" outlineLevel="1">
      <c r="A338" s="87">
        <v>4.0</v>
      </c>
      <c r="B338" s="119"/>
      <c r="C338" s="89" t="s">
        <v>413</v>
      </c>
      <c r="D338" s="87"/>
      <c r="E338" s="90" t="s">
        <v>414</v>
      </c>
      <c r="F338" s="105"/>
      <c r="G338" s="91" t="s">
        <v>110</v>
      </c>
      <c r="H338" s="92">
        <v>320.0</v>
      </c>
      <c r="I338" s="93">
        <v>279.0</v>
      </c>
      <c r="J338" s="93">
        <v>399.0</v>
      </c>
      <c r="K338" s="95">
        <v>65.0</v>
      </c>
      <c r="L338" s="96">
        <f t="shared" ref="L338:L339" si="96">K338/J338</f>
        <v>0.1629072682</v>
      </c>
      <c r="M338" s="96">
        <f t="shared" si="95"/>
        <v>0.6992481203</v>
      </c>
      <c r="N338" s="96">
        <f t="shared" si="91"/>
        <v>3.292307692</v>
      </c>
      <c r="O338" s="97">
        <v>419.0</v>
      </c>
      <c r="P338" s="87" t="s">
        <v>111</v>
      </c>
      <c r="Q338" s="87"/>
      <c r="R338" s="87" t="s">
        <v>111</v>
      </c>
      <c r="S338" s="87"/>
    </row>
    <row r="339" ht="41.25" customHeight="1" outlineLevel="1">
      <c r="G339" s="91" t="s">
        <v>113</v>
      </c>
      <c r="I339" s="81">
        <v>279.0</v>
      </c>
      <c r="J339" s="81">
        <v>399.0</v>
      </c>
      <c r="K339" s="99">
        <v>66.0</v>
      </c>
      <c r="L339" s="96">
        <f t="shared" si="96"/>
        <v>0.1654135338</v>
      </c>
      <c r="M339" s="100">
        <f t="shared" si="95"/>
        <v>0.6992481203</v>
      </c>
      <c r="N339" s="100">
        <f t="shared" si="91"/>
        <v>3.227272727</v>
      </c>
      <c r="O339" s="97">
        <v>419.0</v>
      </c>
      <c r="P339" s="79" t="s">
        <v>111</v>
      </c>
      <c r="Q339" s="79" t="s">
        <v>111</v>
      </c>
      <c r="R339" s="79" t="s">
        <v>111</v>
      </c>
      <c r="S339" s="87"/>
    </row>
    <row r="340" ht="41.25" hidden="1" customHeight="1" outlineLevel="1">
      <c r="A340" s="59"/>
      <c r="B340" s="59"/>
      <c r="C340" s="59"/>
      <c r="D340" s="59"/>
      <c r="E340" s="59"/>
      <c r="F340" s="59"/>
      <c r="G340" s="98" t="s">
        <v>114</v>
      </c>
      <c r="H340" s="59"/>
      <c r="I340" s="81">
        <v>0.0</v>
      </c>
      <c r="J340" s="81">
        <v>459.0</v>
      </c>
      <c r="K340" s="99">
        <v>66.0</v>
      </c>
      <c r="L340" s="100" t="str">
        <f>K340/I340</f>
        <v>#DIV/0!</v>
      </c>
      <c r="M340" s="100">
        <f t="shared" si="95"/>
        <v>0</v>
      </c>
      <c r="N340" s="96">
        <f t="shared" si="91"/>
        <v>-1</v>
      </c>
      <c r="O340" s="97"/>
      <c r="P340" s="79" t="s">
        <v>112</v>
      </c>
      <c r="Q340" s="79"/>
      <c r="R340" s="79" t="s">
        <v>111</v>
      </c>
      <c r="S340" s="87"/>
    </row>
    <row r="341" ht="41.25" customHeight="1" outlineLevel="1">
      <c r="A341" s="87">
        <v>5.0</v>
      </c>
      <c r="B341" s="119"/>
      <c r="C341" s="89" t="s">
        <v>415</v>
      </c>
      <c r="D341" s="87"/>
      <c r="E341" s="90" t="s">
        <v>339</v>
      </c>
      <c r="F341" s="105"/>
      <c r="G341" s="91" t="s">
        <v>110</v>
      </c>
      <c r="H341" s="92">
        <v>320.0</v>
      </c>
      <c r="I341" s="93">
        <v>279.0</v>
      </c>
      <c r="J341" s="93">
        <v>399.0</v>
      </c>
      <c r="K341" s="95">
        <v>64.0</v>
      </c>
      <c r="L341" s="96">
        <f t="shared" ref="L341:L342" si="97">K341/J341</f>
        <v>0.1604010025</v>
      </c>
      <c r="M341" s="96">
        <f t="shared" si="95"/>
        <v>0.6992481203</v>
      </c>
      <c r="N341" s="96">
        <f t="shared" si="91"/>
        <v>3.359375</v>
      </c>
      <c r="O341" s="97">
        <v>419.0</v>
      </c>
      <c r="P341" s="87" t="s">
        <v>111</v>
      </c>
      <c r="Q341" s="87"/>
      <c r="R341" s="87" t="s">
        <v>111</v>
      </c>
      <c r="S341" s="87"/>
    </row>
    <row r="342" ht="41.25" customHeight="1" outlineLevel="1">
      <c r="G342" s="91" t="s">
        <v>113</v>
      </c>
      <c r="I342" s="81">
        <v>279.0</v>
      </c>
      <c r="J342" s="81">
        <v>399.0</v>
      </c>
      <c r="K342" s="99">
        <v>69.0</v>
      </c>
      <c r="L342" s="96">
        <f t="shared" si="97"/>
        <v>0.1729323308</v>
      </c>
      <c r="M342" s="100">
        <f t="shared" si="95"/>
        <v>0.6992481203</v>
      </c>
      <c r="N342" s="100">
        <f t="shared" si="91"/>
        <v>3.043478261</v>
      </c>
      <c r="O342" s="97">
        <v>419.0</v>
      </c>
      <c r="P342" s="79" t="s">
        <v>111</v>
      </c>
      <c r="Q342" s="79" t="s">
        <v>111</v>
      </c>
      <c r="R342" s="79" t="s">
        <v>111</v>
      </c>
      <c r="S342" s="87"/>
    </row>
    <row r="343" ht="41.25" hidden="1" customHeight="1" outlineLevel="1">
      <c r="A343" s="59"/>
      <c r="B343" s="59"/>
      <c r="C343" s="59"/>
      <c r="D343" s="59"/>
      <c r="E343" s="59"/>
      <c r="F343" s="59"/>
      <c r="G343" s="98" t="s">
        <v>114</v>
      </c>
      <c r="H343" s="59"/>
      <c r="I343" s="81">
        <v>0.0</v>
      </c>
      <c r="J343" s="81">
        <v>459.0</v>
      </c>
      <c r="K343" s="99">
        <v>69.0</v>
      </c>
      <c r="L343" s="100" t="str">
        <f>K343/I343</f>
        <v>#DIV/0!</v>
      </c>
      <c r="M343" s="100">
        <f t="shared" si="95"/>
        <v>0</v>
      </c>
      <c r="N343" s="96">
        <f t="shared" si="91"/>
        <v>-1</v>
      </c>
      <c r="O343" s="97"/>
      <c r="P343" s="79" t="s">
        <v>112</v>
      </c>
      <c r="Q343" s="79"/>
      <c r="R343" s="79" t="s">
        <v>111</v>
      </c>
      <c r="S343" s="87"/>
    </row>
    <row r="344" ht="41.25" customHeight="1" outlineLevel="1">
      <c r="A344" s="87">
        <v>6.0</v>
      </c>
      <c r="B344" s="119"/>
      <c r="C344" s="89" t="s">
        <v>416</v>
      </c>
      <c r="D344" s="87"/>
      <c r="E344" s="90" t="s">
        <v>332</v>
      </c>
      <c r="F344" s="105"/>
      <c r="G344" s="91" t="s">
        <v>110</v>
      </c>
      <c r="H344" s="92">
        <v>300.0</v>
      </c>
      <c r="I344" s="93">
        <v>259.0</v>
      </c>
      <c r="J344" s="93">
        <v>349.0</v>
      </c>
      <c r="K344" s="95">
        <v>56.0</v>
      </c>
      <c r="L344" s="96">
        <f t="shared" ref="L344:L345" si="98">K344/J344</f>
        <v>0.1604584527</v>
      </c>
      <c r="M344" s="96">
        <f t="shared" si="95"/>
        <v>0.7421203438</v>
      </c>
      <c r="N344" s="96">
        <f t="shared" si="91"/>
        <v>3.625</v>
      </c>
      <c r="O344" s="97">
        <v>369.0</v>
      </c>
      <c r="P344" s="87" t="s">
        <v>111</v>
      </c>
      <c r="Q344" s="87"/>
      <c r="R344" s="87" t="s">
        <v>111</v>
      </c>
      <c r="S344" s="87"/>
    </row>
    <row r="345" ht="41.25" customHeight="1" outlineLevel="1">
      <c r="G345" s="91" t="s">
        <v>113</v>
      </c>
      <c r="I345" s="81">
        <v>259.0</v>
      </c>
      <c r="J345" s="81">
        <v>349.0</v>
      </c>
      <c r="K345" s="99">
        <v>58.0</v>
      </c>
      <c r="L345" s="96">
        <f t="shared" si="98"/>
        <v>0.1661891117</v>
      </c>
      <c r="M345" s="100">
        <f t="shared" si="95"/>
        <v>0.7421203438</v>
      </c>
      <c r="N345" s="100">
        <f t="shared" si="91"/>
        <v>3.465517241</v>
      </c>
      <c r="O345" s="97">
        <v>369.0</v>
      </c>
      <c r="P345" s="79" t="s">
        <v>111</v>
      </c>
      <c r="Q345" s="79" t="s">
        <v>111</v>
      </c>
      <c r="R345" s="79" t="s">
        <v>111</v>
      </c>
      <c r="S345" s="87"/>
    </row>
    <row r="346" ht="41.25" hidden="1" customHeight="1" outlineLevel="1">
      <c r="A346" s="59"/>
      <c r="B346" s="59"/>
      <c r="C346" s="59"/>
      <c r="D346" s="59"/>
      <c r="E346" s="59"/>
      <c r="F346" s="59"/>
      <c r="G346" s="98" t="s">
        <v>114</v>
      </c>
      <c r="H346" s="59"/>
      <c r="I346" s="81">
        <v>0.0</v>
      </c>
      <c r="J346" s="81">
        <v>399.0</v>
      </c>
      <c r="K346" s="99">
        <v>58.0</v>
      </c>
      <c r="L346" s="100" t="str">
        <f>K346/I346</f>
        <v>#DIV/0!</v>
      </c>
      <c r="M346" s="100">
        <f t="shared" si="95"/>
        <v>0</v>
      </c>
      <c r="N346" s="96">
        <f t="shared" si="91"/>
        <v>-1</v>
      </c>
      <c r="O346" s="97"/>
      <c r="P346" s="79" t="s">
        <v>112</v>
      </c>
      <c r="Q346" s="79"/>
      <c r="R346" s="79" t="s">
        <v>111</v>
      </c>
      <c r="S346" s="87"/>
    </row>
    <row r="347" ht="41.25" customHeight="1" outlineLevel="1">
      <c r="A347" s="87">
        <v>7.0</v>
      </c>
      <c r="B347" s="119"/>
      <c r="C347" s="89"/>
      <c r="D347" s="87"/>
      <c r="E347" s="90" t="s">
        <v>417</v>
      </c>
      <c r="F347" s="105" t="s">
        <v>418</v>
      </c>
      <c r="G347" s="91" t="s">
        <v>110</v>
      </c>
      <c r="H347" s="92">
        <v>180.0</v>
      </c>
      <c r="I347" s="93">
        <v>339.0</v>
      </c>
      <c r="J347" s="93">
        <v>369.0</v>
      </c>
      <c r="K347" s="95">
        <v>104.0</v>
      </c>
      <c r="L347" s="96">
        <f>K347/J347</f>
        <v>0.2818428184</v>
      </c>
      <c r="M347" s="96">
        <f t="shared" si="95"/>
        <v>0.918699187</v>
      </c>
      <c r="N347" s="96">
        <f t="shared" si="91"/>
        <v>2.259615385</v>
      </c>
      <c r="O347" s="97">
        <v>399.0</v>
      </c>
      <c r="P347" s="87" t="s">
        <v>111</v>
      </c>
      <c r="Q347" s="87"/>
      <c r="R347" s="87" t="s">
        <v>111</v>
      </c>
      <c r="S347" s="87"/>
    </row>
    <row r="348" ht="41.25" customHeight="1" outlineLevel="1">
      <c r="G348" s="91" t="s">
        <v>113</v>
      </c>
      <c r="I348" s="93">
        <v>339.0</v>
      </c>
      <c r="J348" s="93">
        <v>369.0</v>
      </c>
      <c r="K348" s="95">
        <v>115.0</v>
      </c>
      <c r="L348" s="96">
        <f>K348/I348</f>
        <v>0.3392330383</v>
      </c>
      <c r="M348" s="96">
        <f t="shared" si="95"/>
        <v>0.918699187</v>
      </c>
      <c r="N348" s="96">
        <f t="shared" si="91"/>
        <v>1.947826087</v>
      </c>
      <c r="O348" s="97">
        <v>399.0</v>
      </c>
      <c r="P348" s="87" t="s">
        <v>111</v>
      </c>
      <c r="Q348" s="87" t="s">
        <v>111</v>
      </c>
      <c r="R348" s="87" t="s">
        <v>111</v>
      </c>
      <c r="S348" s="87"/>
    </row>
    <row r="349" ht="41.25" hidden="1" customHeight="1" outlineLevel="1">
      <c r="A349" s="59"/>
      <c r="B349" s="59"/>
      <c r="C349" s="59"/>
      <c r="D349" s="59"/>
      <c r="E349" s="59"/>
      <c r="F349" s="59"/>
      <c r="G349" s="98" t="s">
        <v>114</v>
      </c>
      <c r="H349" s="59"/>
      <c r="I349" s="81">
        <v>0.0</v>
      </c>
      <c r="J349" s="81">
        <v>429.0</v>
      </c>
      <c r="K349" s="99">
        <v>110.0</v>
      </c>
      <c r="L349" s="96">
        <f t="shared" ref="L349:L351" si="99">K349/J349</f>
        <v>0.2564102564</v>
      </c>
      <c r="M349" s="100">
        <f t="shared" si="95"/>
        <v>0</v>
      </c>
      <c r="N349" s="96">
        <f t="shared" si="91"/>
        <v>-1</v>
      </c>
      <c r="O349" s="97"/>
      <c r="P349" s="79" t="s">
        <v>112</v>
      </c>
      <c r="Q349" s="79"/>
      <c r="R349" s="79" t="s">
        <v>111</v>
      </c>
      <c r="S349" s="87"/>
    </row>
    <row r="350" ht="41.25" customHeight="1" outlineLevel="1">
      <c r="A350" s="87">
        <v>8.0</v>
      </c>
      <c r="B350" s="119"/>
      <c r="C350" s="89" t="s">
        <v>419</v>
      </c>
      <c r="D350" s="87"/>
      <c r="E350" s="90" t="s">
        <v>420</v>
      </c>
      <c r="F350" s="105" t="s">
        <v>421</v>
      </c>
      <c r="G350" s="91" t="s">
        <v>110</v>
      </c>
      <c r="H350" s="92" t="s">
        <v>422</v>
      </c>
      <c r="I350" s="93">
        <v>299.0</v>
      </c>
      <c r="J350" s="93">
        <v>369.0</v>
      </c>
      <c r="K350" s="95">
        <v>94.0</v>
      </c>
      <c r="L350" s="96">
        <f t="shared" si="99"/>
        <v>0.2547425474</v>
      </c>
      <c r="M350" s="96">
        <f t="shared" si="95"/>
        <v>0.810298103</v>
      </c>
      <c r="N350" s="96">
        <f t="shared" si="91"/>
        <v>2.180851064</v>
      </c>
      <c r="O350" s="97">
        <v>399.0</v>
      </c>
      <c r="P350" s="87" t="s">
        <v>111</v>
      </c>
      <c r="Q350" s="87"/>
      <c r="R350" s="87" t="s">
        <v>111</v>
      </c>
      <c r="S350" s="87"/>
    </row>
    <row r="351" ht="41.25" customHeight="1" outlineLevel="1">
      <c r="G351" s="91" t="s">
        <v>113</v>
      </c>
      <c r="I351" s="81">
        <v>339.0</v>
      </c>
      <c r="J351" s="81">
        <v>369.0</v>
      </c>
      <c r="K351" s="99">
        <v>131.0</v>
      </c>
      <c r="L351" s="96">
        <f t="shared" si="99"/>
        <v>0.3550135501</v>
      </c>
      <c r="M351" s="100">
        <f t="shared" si="95"/>
        <v>0.918699187</v>
      </c>
      <c r="N351" s="100">
        <f t="shared" si="91"/>
        <v>1.58778626</v>
      </c>
      <c r="O351" s="97">
        <v>399.0</v>
      </c>
      <c r="P351" s="79" t="s">
        <v>111</v>
      </c>
      <c r="Q351" s="79" t="s">
        <v>111</v>
      </c>
      <c r="R351" s="79" t="s">
        <v>111</v>
      </c>
      <c r="S351" s="87"/>
    </row>
    <row r="352" ht="41.25" hidden="1" customHeight="1" outlineLevel="1">
      <c r="A352" s="59"/>
      <c r="B352" s="59"/>
      <c r="C352" s="59"/>
      <c r="D352" s="59"/>
      <c r="E352" s="59"/>
      <c r="F352" s="59"/>
      <c r="G352" s="98" t="s">
        <v>114</v>
      </c>
      <c r="H352" s="59"/>
      <c r="I352" s="81">
        <v>0.0</v>
      </c>
      <c r="J352" s="81">
        <v>429.0</v>
      </c>
      <c r="K352" s="99">
        <v>131.0</v>
      </c>
      <c r="L352" s="100" t="str">
        <f>K352/I352</f>
        <v>#DIV/0!</v>
      </c>
      <c r="M352" s="100">
        <f t="shared" si="95"/>
        <v>0</v>
      </c>
      <c r="N352" s="96">
        <f t="shared" si="91"/>
        <v>-1</v>
      </c>
      <c r="O352" s="97"/>
      <c r="P352" s="79" t="s">
        <v>112</v>
      </c>
      <c r="Q352" s="79"/>
      <c r="R352" s="79" t="s">
        <v>111</v>
      </c>
      <c r="S352" s="87"/>
    </row>
    <row r="353" ht="41.25" customHeight="1" outlineLevel="1">
      <c r="A353" s="87">
        <v>9.0</v>
      </c>
      <c r="B353" s="119"/>
      <c r="C353" s="89" t="s">
        <v>423</v>
      </c>
      <c r="D353" s="87"/>
      <c r="E353" s="90" t="s">
        <v>424</v>
      </c>
      <c r="F353" s="105" t="s">
        <v>425</v>
      </c>
      <c r="G353" s="91" t="s">
        <v>110</v>
      </c>
      <c r="H353" s="92" t="s">
        <v>422</v>
      </c>
      <c r="I353" s="93">
        <v>299.0</v>
      </c>
      <c r="J353" s="93">
        <v>369.0</v>
      </c>
      <c r="K353" s="95">
        <v>104.0</v>
      </c>
      <c r="L353" s="96">
        <f t="shared" ref="L353:L354" si="100">K353/J353</f>
        <v>0.2818428184</v>
      </c>
      <c r="M353" s="96">
        <f t="shared" si="95"/>
        <v>0.810298103</v>
      </c>
      <c r="N353" s="96">
        <f t="shared" si="91"/>
        <v>1.875</v>
      </c>
      <c r="O353" s="97">
        <v>399.0</v>
      </c>
      <c r="P353" s="87" t="s">
        <v>111</v>
      </c>
      <c r="Q353" s="87"/>
      <c r="R353" s="87" t="s">
        <v>111</v>
      </c>
      <c r="S353" s="87"/>
    </row>
    <row r="354" ht="41.25" customHeight="1" outlineLevel="1">
      <c r="G354" s="91" t="s">
        <v>113</v>
      </c>
      <c r="I354" s="81">
        <v>299.0</v>
      </c>
      <c r="J354" s="81">
        <v>369.0</v>
      </c>
      <c r="K354" s="99">
        <v>119.0</v>
      </c>
      <c r="L354" s="96">
        <f t="shared" si="100"/>
        <v>0.3224932249</v>
      </c>
      <c r="M354" s="100">
        <f t="shared" si="95"/>
        <v>0.810298103</v>
      </c>
      <c r="N354" s="100">
        <f t="shared" si="91"/>
        <v>1.512605042</v>
      </c>
      <c r="O354" s="97">
        <v>399.0</v>
      </c>
      <c r="P354" s="79" t="s">
        <v>111</v>
      </c>
      <c r="Q354" s="79" t="s">
        <v>111</v>
      </c>
      <c r="R354" s="79" t="s">
        <v>111</v>
      </c>
      <c r="S354" s="87"/>
    </row>
    <row r="355" ht="41.25" hidden="1" customHeight="1" outlineLevel="1">
      <c r="A355" s="59"/>
      <c r="B355" s="59"/>
      <c r="C355" s="59"/>
      <c r="D355" s="59"/>
      <c r="E355" s="59"/>
      <c r="F355" s="59"/>
      <c r="G355" s="98" t="s">
        <v>114</v>
      </c>
      <c r="H355" s="59"/>
      <c r="I355" s="81">
        <v>0.0</v>
      </c>
      <c r="J355" s="81">
        <v>429.0</v>
      </c>
      <c r="K355" s="99">
        <v>119.0</v>
      </c>
      <c r="L355" s="100" t="str">
        <f>K355/I355</f>
        <v>#DIV/0!</v>
      </c>
      <c r="M355" s="100">
        <f t="shared" si="95"/>
        <v>0</v>
      </c>
      <c r="N355" s="96">
        <f t="shared" si="91"/>
        <v>-1</v>
      </c>
      <c r="O355" s="97"/>
      <c r="P355" s="79" t="s">
        <v>112</v>
      </c>
      <c r="Q355" s="79"/>
      <c r="R355" s="79" t="s">
        <v>111</v>
      </c>
      <c r="S355" s="87"/>
    </row>
    <row r="356" ht="41.25" customHeight="1" outlineLevel="1">
      <c r="A356" s="87">
        <v>11.0</v>
      </c>
      <c r="B356" s="119"/>
      <c r="C356" s="89"/>
      <c r="D356" s="98"/>
      <c r="E356" s="90" t="s">
        <v>426</v>
      </c>
      <c r="F356" s="201" t="s">
        <v>427</v>
      </c>
      <c r="G356" s="91" t="s">
        <v>110</v>
      </c>
      <c r="H356" s="92">
        <v>250.0</v>
      </c>
      <c r="I356" s="93">
        <v>329.0</v>
      </c>
      <c r="J356" s="93">
        <v>369.0</v>
      </c>
      <c r="K356" s="95">
        <v>76.0</v>
      </c>
      <c r="L356" s="96">
        <f t="shared" ref="L356:L358" si="101">K356/J356</f>
        <v>0.2059620596</v>
      </c>
      <c r="M356" s="96">
        <f t="shared" si="95"/>
        <v>0.891598916</v>
      </c>
      <c r="N356" s="96">
        <f t="shared" si="91"/>
        <v>3.328947368</v>
      </c>
      <c r="O356" s="97">
        <v>399.0</v>
      </c>
      <c r="P356" s="87" t="s">
        <v>111</v>
      </c>
      <c r="Q356" s="87"/>
      <c r="R356" s="87" t="s">
        <v>111</v>
      </c>
      <c r="S356" s="87"/>
    </row>
    <row r="357" ht="41.25" customHeight="1" outlineLevel="1">
      <c r="G357" s="91" t="s">
        <v>113</v>
      </c>
      <c r="I357" s="81">
        <v>329.0</v>
      </c>
      <c r="J357" s="81">
        <v>369.0</v>
      </c>
      <c r="K357" s="99">
        <v>81.0</v>
      </c>
      <c r="L357" s="96">
        <f t="shared" si="101"/>
        <v>0.2195121951</v>
      </c>
      <c r="M357" s="100">
        <f t="shared" si="95"/>
        <v>0.891598916</v>
      </c>
      <c r="N357" s="100">
        <f t="shared" si="91"/>
        <v>3.061728395</v>
      </c>
      <c r="O357" s="97">
        <v>399.0</v>
      </c>
      <c r="P357" s="79" t="s">
        <v>111</v>
      </c>
      <c r="Q357" s="79" t="s">
        <v>111</v>
      </c>
      <c r="R357" s="79" t="s">
        <v>111</v>
      </c>
      <c r="S357" s="87"/>
    </row>
    <row r="358" ht="41.25" hidden="1" customHeight="1" outlineLevel="1">
      <c r="A358" s="59"/>
      <c r="B358" s="59"/>
      <c r="C358" s="59"/>
      <c r="D358" s="59"/>
      <c r="E358" s="59"/>
      <c r="F358" s="59"/>
      <c r="G358" s="98" t="s">
        <v>114</v>
      </c>
      <c r="H358" s="59"/>
      <c r="I358" s="81">
        <v>0.0</v>
      </c>
      <c r="J358" s="81">
        <v>429.0</v>
      </c>
      <c r="K358" s="99">
        <v>81.0</v>
      </c>
      <c r="L358" s="96">
        <f t="shared" si="101"/>
        <v>0.1888111888</v>
      </c>
      <c r="M358" s="100">
        <f t="shared" si="95"/>
        <v>0</v>
      </c>
      <c r="N358" s="96">
        <f t="shared" si="91"/>
        <v>-1</v>
      </c>
      <c r="O358" s="97"/>
      <c r="P358" s="79" t="s">
        <v>112</v>
      </c>
      <c r="Q358" s="79"/>
      <c r="R358" s="79" t="s">
        <v>111</v>
      </c>
      <c r="S358" s="87"/>
    </row>
    <row r="359" ht="41.25" customHeight="1" collapsed="1">
      <c r="A359" s="87"/>
      <c r="B359" s="89" t="s">
        <v>428</v>
      </c>
      <c r="C359" s="89"/>
      <c r="D359" s="87"/>
      <c r="E359" s="90"/>
      <c r="F359" s="105"/>
      <c r="G359" s="87"/>
      <c r="H359" s="92"/>
      <c r="I359" s="202"/>
      <c r="J359" s="202"/>
      <c r="K359" s="203"/>
      <c r="L359" s="96">
        <f>AVERAGE(L360:L368)</f>
        <v>0.2503038238</v>
      </c>
      <c r="M359" s="204"/>
      <c r="N359" s="158"/>
      <c r="O359" s="205"/>
      <c r="P359" s="93"/>
      <c r="Q359" s="93"/>
      <c r="R359" s="86"/>
      <c r="S359" s="86"/>
    </row>
    <row r="360" ht="41.25" customHeight="1" outlineLevel="1">
      <c r="A360" s="206"/>
      <c r="B360" s="207" t="s">
        <v>429</v>
      </c>
      <c r="C360" s="208" t="s">
        <v>430</v>
      </c>
      <c r="D360" s="209"/>
      <c r="E360" s="210" t="s">
        <v>431</v>
      </c>
      <c r="F360" s="211" t="s">
        <v>432</v>
      </c>
      <c r="G360" s="212" t="s">
        <v>110</v>
      </c>
      <c r="H360" s="213">
        <v>180.0</v>
      </c>
      <c r="I360" s="214">
        <v>0.0</v>
      </c>
      <c r="J360" s="214">
        <v>449.0</v>
      </c>
      <c r="K360" s="215">
        <v>119.0</v>
      </c>
      <c r="L360" s="216">
        <f>K360/J360</f>
        <v>0.2650334076</v>
      </c>
      <c r="M360" s="216"/>
      <c r="N360" s="216">
        <f>J360/K360-1</f>
        <v>2.773109244</v>
      </c>
      <c r="O360" s="217">
        <v>499.0</v>
      </c>
      <c r="P360" s="206" t="s">
        <v>111</v>
      </c>
      <c r="Q360" s="206"/>
      <c r="R360" s="206" t="s">
        <v>112</v>
      </c>
      <c r="S360" s="206"/>
    </row>
    <row r="361" ht="41.25" customHeight="1" outlineLevel="1">
      <c r="A361" s="206"/>
      <c r="G361" s="212" t="s">
        <v>113</v>
      </c>
      <c r="I361" s="214"/>
      <c r="Q361" s="206"/>
      <c r="R361" s="206"/>
      <c r="S361" s="206"/>
    </row>
    <row r="362" ht="41.25" customHeight="1" outlineLevel="1">
      <c r="A362" s="206"/>
      <c r="B362" s="218" t="s">
        <v>433</v>
      </c>
      <c r="C362" s="211" t="s">
        <v>434</v>
      </c>
      <c r="D362" s="209"/>
      <c r="E362" s="219" t="s">
        <v>433</v>
      </c>
      <c r="F362" s="211" t="s">
        <v>435</v>
      </c>
      <c r="G362" s="212" t="s">
        <v>110</v>
      </c>
      <c r="H362" s="213" t="s">
        <v>436</v>
      </c>
      <c r="I362" s="214">
        <v>0.0</v>
      </c>
      <c r="J362" s="214">
        <v>299.0</v>
      </c>
      <c r="K362" s="215">
        <v>60.0</v>
      </c>
      <c r="L362" s="216">
        <f>K362/J362</f>
        <v>0.2006688963</v>
      </c>
      <c r="M362" s="216"/>
      <c r="N362" s="216">
        <f>J362/K362-1</f>
        <v>3.983333333</v>
      </c>
      <c r="O362" s="217">
        <v>349.0</v>
      </c>
      <c r="P362" s="206" t="s">
        <v>111</v>
      </c>
      <c r="Q362" s="206"/>
      <c r="R362" s="206" t="s">
        <v>111</v>
      </c>
      <c r="S362" s="206"/>
    </row>
    <row r="363" ht="41.25" customHeight="1" outlineLevel="1">
      <c r="A363" s="206"/>
      <c r="B363" s="218"/>
      <c r="G363" s="212" t="s">
        <v>113</v>
      </c>
      <c r="I363" s="214"/>
      <c r="Q363" s="206"/>
      <c r="R363" s="206"/>
      <c r="S363" s="206"/>
    </row>
    <row r="364" ht="41.25" customHeight="1" outlineLevel="1">
      <c r="A364" s="206"/>
      <c r="B364" s="207" t="s">
        <v>437</v>
      </c>
      <c r="C364" s="208" t="s">
        <v>438</v>
      </c>
      <c r="D364" s="209"/>
      <c r="E364" s="210" t="s">
        <v>437</v>
      </c>
      <c r="F364" s="211" t="s">
        <v>439</v>
      </c>
      <c r="G364" s="212" t="s">
        <v>110</v>
      </c>
      <c r="H364" s="213" t="s">
        <v>440</v>
      </c>
      <c r="I364" s="214">
        <v>0.0</v>
      </c>
      <c r="J364" s="214">
        <v>349.0</v>
      </c>
      <c r="K364" s="215">
        <v>71.0</v>
      </c>
      <c r="L364" s="216">
        <f>K364/J364</f>
        <v>0.2034383954</v>
      </c>
      <c r="M364" s="216"/>
      <c r="N364" s="216">
        <f>J364/K364-1</f>
        <v>3.915492958</v>
      </c>
      <c r="O364" s="217">
        <v>399.0</v>
      </c>
      <c r="P364" s="206" t="s">
        <v>111</v>
      </c>
      <c r="Q364" s="206"/>
      <c r="R364" s="206" t="s">
        <v>111</v>
      </c>
      <c r="S364" s="206"/>
    </row>
    <row r="365" ht="41.25" customHeight="1" outlineLevel="1">
      <c r="A365" s="206"/>
      <c r="G365" s="212" t="s">
        <v>113</v>
      </c>
      <c r="I365" s="214"/>
      <c r="Q365" s="206"/>
      <c r="R365" s="206"/>
      <c r="S365" s="206"/>
    </row>
    <row r="366" ht="41.25" customHeight="1" outlineLevel="1">
      <c r="A366" s="206"/>
      <c r="B366" s="207" t="s">
        <v>441</v>
      </c>
      <c r="C366" s="210" t="s">
        <v>442</v>
      </c>
      <c r="D366" s="209"/>
      <c r="E366" s="210" t="s">
        <v>443</v>
      </c>
      <c r="F366" s="211" t="s">
        <v>444</v>
      </c>
      <c r="G366" s="212" t="s">
        <v>110</v>
      </c>
      <c r="H366" s="213" t="s">
        <v>445</v>
      </c>
      <c r="I366" s="214">
        <v>0.0</v>
      </c>
      <c r="J366" s="214">
        <v>549.0</v>
      </c>
      <c r="K366" s="215">
        <v>171.0</v>
      </c>
      <c r="L366" s="216">
        <f>K366/J366</f>
        <v>0.3114754098</v>
      </c>
      <c r="M366" s="216"/>
      <c r="N366" s="216">
        <f>J366/K366-1</f>
        <v>2.210526316</v>
      </c>
      <c r="O366" s="217">
        <v>599.0</v>
      </c>
      <c r="P366" s="206" t="s">
        <v>111</v>
      </c>
      <c r="Q366" s="206"/>
      <c r="R366" s="206" t="s">
        <v>111</v>
      </c>
      <c r="S366" s="206"/>
    </row>
    <row r="367" ht="41.25" customHeight="1" outlineLevel="1">
      <c r="A367" s="206"/>
      <c r="G367" s="212" t="s">
        <v>113</v>
      </c>
      <c r="I367" s="214"/>
      <c r="Q367" s="206"/>
      <c r="R367" s="206"/>
      <c r="S367" s="206"/>
    </row>
    <row r="368" ht="41.25" customHeight="1" outlineLevel="1">
      <c r="A368" s="206"/>
      <c r="B368" s="207" t="s">
        <v>446</v>
      </c>
      <c r="C368" s="208" t="s">
        <v>447</v>
      </c>
      <c r="D368" s="209"/>
      <c r="E368" s="210" t="s">
        <v>448</v>
      </c>
      <c r="F368" s="211" t="s">
        <v>449</v>
      </c>
      <c r="G368" s="212" t="s">
        <v>110</v>
      </c>
      <c r="H368" s="213">
        <v>150.0</v>
      </c>
      <c r="I368" s="214">
        <v>0.0</v>
      </c>
      <c r="J368" s="214">
        <v>299.0</v>
      </c>
      <c r="K368" s="215">
        <v>81.0</v>
      </c>
      <c r="L368" s="216">
        <f>K368/J368</f>
        <v>0.27090301</v>
      </c>
      <c r="M368" s="216"/>
      <c r="N368" s="216">
        <f>J368/K368-1</f>
        <v>2.691358025</v>
      </c>
      <c r="O368" s="217">
        <v>349.0</v>
      </c>
      <c r="P368" s="206" t="s">
        <v>111</v>
      </c>
      <c r="Q368" s="206"/>
      <c r="R368" s="206" t="s">
        <v>112</v>
      </c>
      <c r="S368" s="206"/>
    </row>
    <row r="369" ht="41.25" customHeight="1" outlineLevel="1">
      <c r="A369" s="206"/>
      <c r="G369" s="212" t="s">
        <v>113</v>
      </c>
      <c r="I369" s="214"/>
      <c r="Q369" s="206"/>
      <c r="R369" s="206"/>
      <c r="S369" s="206"/>
    </row>
    <row r="370" ht="41.25" customHeight="1">
      <c r="A370" s="87"/>
      <c r="B370" s="89" t="str">
        <f>"Меню фуршетки "&amp;COUNTA(E371:E385)&amp;" шт"</f>
        <v>Меню фуршетки 14 шт</v>
      </c>
      <c r="C370" s="89"/>
      <c r="D370" s="87"/>
      <c r="E370" s="90"/>
      <c r="F370" s="105"/>
      <c r="G370" s="87"/>
      <c r="H370" s="92"/>
      <c r="I370" s="202"/>
      <c r="J370" s="202"/>
      <c r="K370" s="93"/>
      <c r="L370" s="158"/>
      <c r="M370" s="204"/>
      <c r="N370" s="158"/>
      <c r="O370" s="205"/>
      <c r="P370" s="93"/>
      <c r="Q370" s="93"/>
      <c r="R370" s="86"/>
      <c r="S370" s="86"/>
    </row>
    <row r="371" ht="41.25" customHeight="1" outlineLevel="1">
      <c r="A371" s="121">
        <v>1.0</v>
      </c>
      <c r="B371" s="220"/>
      <c r="C371" s="221"/>
      <c r="D371" s="222"/>
      <c r="E371" s="223" t="s">
        <v>450</v>
      </c>
      <c r="F371" s="224"/>
      <c r="G371" s="222"/>
      <c r="H371" s="126">
        <v>30.0</v>
      </c>
      <c r="I371" s="127">
        <v>79.0</v>
      </c>
      <c r="J371" s="127">
        <v>79.0</v>
      </c>
      <c r="K371" s="128">
        <v>20.38</v>
      </c>
      <c r="L371" s="130">
        <f t="shared" ref="L371:L384" si="102">K371/I371</f>
        <v>0.2579746835</v>
      </c>
      <c r="M371" s="130"/>
      <c r="N371" s="130">
        <f t="shared" ref="N371:N384" si="103">J371/K371-1</f>
        <v>2.876349362</v>
      </c>
      <c r="O371" s="131"/>
      <c r="P371" s="133"/>
      <c r="Q371" s="133"/>
      <c r="R371" s="121"/>
      <c r="S371" s="121"/>
    </row>
    <row r="372" ht="41.25" customHeight="1" outlineLevel="1">
      <c r="A372" s="87">
        <v>2.0</v>
      </c>
      <c r="B372" s="88"/>
      <c r="C372" s="89"/>
      <c r="D372" s="98"/>
      <c r="E372" s="90" t="s">
        <v>450</v>
      </c>
      <c r="F372" s="201"/>
      <c r="G372" s="98"/>
      <c r="H372" s="92">
        <v>40.0</v>
      </c>
      <c r="I372" s="93">
        <v>79.0</v>
      </c>
      <c r="J372" s="93">
        <v>79.0</v>
      </c>
      <c r="K372" s="225">
        <v>20.2</v>
      </c>
      <c r="L372" s="96">
        <f t="shared" si="102"/>
        <v>0.2556962025</v>
      </c>
      <c r="M372" s="96"/>
      <c r="N372" s="96">
        <f t="shared" si="103"/>
        <v>2.910891089</v>
      </c>
      <c r="O372" s="97"/>
      <c r="P372" s="134"/>
      <c r="Q372" s="134"/>
      <c r="R372" s="87"/>
      <c r="S372" s="87"/>
    </row>
    <row r="373" ht="41.25" customHeight="1" outlineLevel="1">
      <c r="A373" s="87">
        <v>3.0</v>
      </c>
      <c r="B373" s="88"/>
      <c r="C373" s="89"/>
      <c r="D373" s="98"/>
      <c r="E373" s="90" t="s">
        <v>451</v>
      </c>
      <c r="F373" s="201"/>
      <c r="G373" s="98"/>
      <c r="H373" s="92">
        <v>40.0</v>
      </c>
      <c r="I373" s="93">
        <v>59.0</v>
      </c>
      <c r="J373" s="93">
        <v>59.0</v>
      </c>
      <c r="K373" s="225">
        <v>11.3</v>
      </c>
      <c r="L373" s="96">
        <f t="shared" si="102"/>
        <v>0.1915254237</v>
      </c>
      <c r="M373" s="96"/>
      <c r="N373" s="96">
        <f t="shared" si="103"/>
        <v>4.221238938</v>
      </c>
      <c r="O373" s="97"/>
      <c r="P373" s="134"/>
      <c r="Q373" s="134"/>
      <c r="R373" s="87"/>
      <c r="S373" s="87"/>
    </row>
    <row r="374" ht="41.25" customHeight="1" outlineLevel="1">
      <c r="A374" s="87">
        <v>5.0</v>
      </c>
      <c r="B374" s="88"/>
      <c r="C374" s="89"/>
      <c r="D374" s="98"/>
      <c r="E374" s="90" t="s">
        <v>452</v>
      </c>
      <c r="F374" s="201"/>
      <c r="G374" s="98"/>
      <c r="H374" s="92">
        <v>50.0</v>
      </c>
      <c r="I374" s="93">
        <v>129.0</v>
      </c>
      <c r="J374" s="93">
        <v>129.0</v>
      </c>
      <c r="K374" s="225">
        <v>49.0</v>
      </c>
      <c r="L374" s="96">
        <f t="shared" si="102"/>
        <v>0.3798449612</v>
      </c>
      <c r="M374" s="96"/>
      <c r="N374" s="96">
        <f t="shared" si="103"/>
        <v>1.632653061</v>
      </c>
      <c r="O374" s="97"/>
      <c r="P374" s="134"/>
      <c r="Q374" s="134"/>
      <c r="R374" s="87"/>
      <c r="S374" s="87"/>
    </row>
    <row r="375" ht="41.25" customHeight="1" outlineLevel="1">
      <c r="A375" s="106">
        <v>6.0</v>
      </c>
      <c r="B375" s="226"/>
      <c r="C375" s="227"/>
      <c r="D375" s="228"/>
      <c r="E375" s="229" t="s">
        <v>453</v>
      </c>
      <c r="F375" s="230"/>
      <c r="G375" s="228"/>
      <c r="H375" s="191">
        <v>40.0</v>
      </c>
      <c r="I375" s="184">
        <v>59.0</v>
      </c>
      <c r="J375" s="184">
        <v>69.0</v>
      </c>
      <c r="K375" s="231">
        <v>19.0</v>
      </c>
      <c r="L375" s="192">
        <f t="shared" si="102"/>
        <v>0.3220338983</v>
      </c>
      <c r="M375" s="192"/>
      <c r="N375" s="192">
        <f t="shared" si="103"/>
        <v>2.631578947</v>
      </c>
      <c r="O375" s="187"/>
      <c r="P375" s="232"/>
      <c r="Q375" s="232"/>
      <c r="R375" s="106"/>
      <c r="S375" s="106"/>
    </row>
    <row r="376" ht="41.25" customHeight="1" outlineLevel="1">
      <c r="A376" s="106">
        <v>7.0</v>
      </c>
      <c r="B376" s="226"/>
      <c r="C376" s="233"/>
      <c r="D376" s="228"/>
      <c r="E376" s="229" t="s">
        <v>454</v>
      </c>
      <c r="F376" s="230"/>
      <c r="G376" s="228"/>
      <c r="H376" s="191">
        <v>30.0</v>
      </c>
      <c r="I376" s="184">
        <v>99.0</v>
      </c>
      <c r="J376" s="184">
        <v>119.0</v>
      </c>
      <c r="K376" s="231">
        <v>30.0</v>
      </c>
      <c r="L376" s="192">
        <f t="shared" si="102"/>
        <v>0.303030303</v>
      </c>
      <c r="M376" s="192"/>
      <c r="N376" s="192">
        <f t="shared" si="103"/>
        <v>2.966666667</v>
      </c>
      <c r="O376" s="187"/>
      <c r="P376" s="232"/>
      <c r="Q376" s="232"/>
      <c r="R376" s="106"/>
      <c r="S376" s="106"/>
    </row>
    <row r="377" ht="41.25" customHeight="1" outlineLevel="1">
      <c r="A377" s="121">
        <v>8.0</v>
      </c>
      <c r="B377" s="234"/>
      <c r="C377" s="123"/>
      <c r="D377" s="222"/>
      <c r="E377" s="124" t="s">
        <v>455</v>
      </c>
      <c r="F377" s="224"/>
      <c r="G377" s="222"/>
      <c r="H377" s="126">
        <v>30.0</v>
      </c>
      <c r="I377" s="127">
        <v>89.0</v>
      </c>
      <c r="J377" s="127">
        <v>89.0</v>
      </c>
      <c r="K377" s="235">
        <v>20.65</v>
      </c>
      <c r="L377" s="130">
        <f t="shared" si="102"/>
        <v>0.2320224719</v>
      </c>
      <c r="M377" s="130"/>
      <c r="N377" s="130">
        <f t="shared" si="103"/>
        <v>3.309927361</v>
      </c>
      <c r="O377" s="131"/>
      <c r="P377" s="133"/>
      <c r="Q377" s="133"/>
      <c r="R377" s="121"/>
      <c r="S377" s="121"/>
    </row>
    <row r="378" ht="41.25" customHeight="1" outlineLevel="1">
      <c r="A378" s="106">
        <v>9.0</v>
      </c>
      <c r="B378" s="226"/>
      <c r="C378" s="233"/>
      <c r="D378" s="228"/>
      <c r="E378" s="229" t="s">
        <v>456</v>
      </c>
      <c r="F378" s="230"/>
      <c r="G378" s="228"/>
      <c r="H378" s="191">
        <v>40.0</v>
      </c>
      <c r="I378" s="184">
        <v>49.0</v>
      </c>
      <c r="J378" s="184">
        <v>69.0</v>
      </c>
      <c r="K378" s="231">
        <v>21.0</v>
      </c>
      <c r="L378" s="192">
        <f t="shared" si="102"/>
        <v>0.4285714286</v>
      </c>
      <c r="M378" s="192"/>
      <c r="N378" s="192">
        <f t="shared" si="103"/>
        <v>2.285714286</v>
      </c>
      <c r="O378" s="187"/>
      <c r="P378" s="232"/>
      <c r="Q378" s="232"/>
      <c r="R378" s="106"/>
      <c r="S378" s="106"/>
    </row>
    <row r="379" ht="41.25" customHeight="1" outlineLevel="1">
      <c r="A379" s="87">
        <v>10.0</v>
      </c>
      <c r="B379" s="88"/>
      <c r="C379" s="89"/>
      <c r="D379" s="98"/>
      <c r="E379" s="90" t="s">
        <v>457</v>
      </c>
      <c r="F379" s="201"/>
      <c r="G379" s="98"/>
      <c r="H379" s="92">
        <v>50.0</v>
      </c>
      <c r="I379" s="93">
        <v>89.0</v>
      </c>
      <c r="J379" s="93">
        <v>89.0</v>
      </c>
      <c r="K379" s="225">
        <v>24.75</v>
      </c>
      <c r="L379" s="96">
        <f t="shared" si="102"/>
        <v>0.2780898876</v>
      </c>
      <c r="M379" s="96"/>
      <c r="N379" s="96">
        <f t="shared" si="103"/>
        <v>2.595959596</v>
      </c>
      <c r="O379" s="97"/>
      <c r="P379" s="134"/>
      <c r="Q379" s="134"/>
      <c r="R379" s="87"/>
      <c r="S379" s="87"/>
    </row>
    <row r="380" ht="41.25" customHeight="1" outlineLevel="1">
      <c r="A380" s="106">
        <v>11.0</v>
      </c>
      <c r="B380" s="226"/>
      <c r="C380" s="233"/>
      <c r="D380" s="228"/>
      <c r="E380" s="229" t="s">
        <v>458</v>
      </c>
      <c r="F380" s="230"/>
      <c r="G380" s="228"/>
      <c r="H380" s="191">
        <v>50.0</v>
      </c>
      <c r="I380" s="184">
        <v>179.0</v>
      </c>
      <c r="J380" s="184">
        <v>189.0</v>
      </c>
      <c r="K380" s="231">
        <v>55.9</v>
      </c>
      <c r="L380" s="192">
        <f t="shared" si="102"/>
        <v>0.3122905028</v>
      </c>
      <c r="M380" s="192"/>
      <c r="N380" s="192">
        <f t="shared" si="103"/>
        <v>2.381037567</v>
      </c>
      <c r="O380" s="187"/>
      <c r="P380" s="232"/>
      <c r="Q380" s="232"/>
      <c r="R380" s="106"/>
      <c r="S380" s="106"/>
    </row>
    <row r="381" ht="41.25" customHeight="1" outlineLevel="1">
      <c r="A381" s="106">
        <v>12.0</v>
      </c>
      <c r="B381" s="226"/>
      <c r="C381" s="233"/>
      <c r="D381" s="228"/>
      <c r="E381" s="229" t="s">
        <v>459</v>
      </c>
      <c r="F381" s="230"/>
      <c r="G381" s="228"/>
      <c r="H381" s="191">
        <v>50.0</v>
      </c>
      <c r="I381" s="184">
        <v>159.0</v>
      </c>
      <c r="J381" s="184">
        <v>169.0</v>
      </c>
      <c r="K381" s="231">
        <v>43.04</v>
      </c>
      <c r="L381" s="192">
        <f t="shared" si="102"/>
        <v>0.2706918239</v>
      </c>
      <c r="M381" s="192"/>
      <c r="N381" s="192">
        <f t="shared" si="103"/>
        <v>2.926579926</v>
      </c>
      <c r="O381" s="187"/>
      <c r="P381" s="232"/>
      <c r="Q381" s="232"/>
      <c r="R381" s="106"/>
      <c r="S381" s="106"/>
    </row>
    <row r="382" ht="41.25" customHeight="1" outlineLevel="1">
      <c r="A382" s="106">
        <v>13.0</v>
      </c>
      <c r="B382" s="226"/>
      <c r="C382" s="233"/>
      <c r="D382" s="228"/>
      <c r="E382" s="229" t="s">
        <v>460</v>
      </c>
      <c r="F382" s="230"/>
      <c r="G382" s="228"/>
      <c r="H382" s="191">
        <v>50.0</v>
      </c>
      <c r="I382" s="184">
        <v>169.0</v>
      </c>
      <c r="J382" s="184">
        <v>219.0</v>
      </c>
      <c r="K382" s="231">
        <v>47.22</v>
      </c>
      <c r="L382" s="192">
        <f t="shared" si="102"/>
        <v>0.279408284</v>
      </c>
      <c r="M382" s="192"/>
      <c r="N382" s="192">
        <f t="shared" si="103"/>
        <v>3.637865311</v>
      </c>
      <c r="O382" s="187"/>
      <c r="P382" s="232"/>
      <c r="Q382" s="232"/>
      <c r="R382" s="106"/>
      <c r="S382" s="106"/>
    </row>
    <row r="383" ht="41.25" customHeight="1" outlineLevel="1">
      <c r="A383" s="106">
        <v>14.0</v>
      </c>
      <c r="B383" s="226"/>
      <c r="C383" s="236"/>
      <c r="D383" s="228"/>
      <c r="E383" s="237" t="s">
        <v>461</v>
      </c>
      <c r="F383" s="230"/>
      <c r="G383" s="228"/>
      <c r="H383" s="191">
        <v>50.0</v>
      </c>
      <c r="I383" s="184">
        <v>99.0</v>
      </c>
      <c r="J383" s="184">
        <v>129.0</v>
      </c>
      <c r="K383" s="185">
        <v>22.77</v>
      </c>
      <c r="L383" s="192">
        <f t="shared" si="102"/>
        <v>0.23</v>
      </c>
      <c r="M383" s="192"/>
      <c r="N383" s="192">
        <f t="shared" si="103"/>
        <v>4.665349144</v>
      </c>
      <c r="O383" s="187"/>
      <c r="P383" s="238"/>
      <c r="Q383" s="238"/>
      <c r="R383" s="106"/>
      <c r="S383" s="106"/>
    </row>
    <row r="384" ht="41.25" customHeight="1" outlineLevel="1">
      <c r="A384" s="87">
        <v>15.0</v>
      </c>
      <c r="B384" s="88"/>
      <c r="C384" s="116"/>
      <c r="D384" s="98"/>
      <c r="E384" s="117" t="s">
        <v>462</v>
      </c>
      <c r="F384" s="201"/>
      <c r="G384" s="98"/>
      <c r="H384" s="92">
        <v>50.0</v>
      </c>
      <c r="I384" s="93">
        <v>99.0</v>
      </c>
      <c r="J384" s="93">
        <v>99.0</v>
      </c>
      <c r="K384" s="95">
        <v>18.5</v>
      </c>
      <c r="L384" s="96">
        <f t="shared" si="102"/>
        <v>0.1868686869</v>
      </c>
      <c r="M384" s="96"/>
      <c r="N384" s="96">
        <f t="shared" si="103"/>
        <v>4.351351351</v>
      </c>
      <c r="O384" s="97"/>
      <c r="P384" s="158"/>
      <c r="Q384" s="158"/>
      <c r="R384" s="239"/>
      <c r="S384" s="239"/>
    </row>
    <row r="385" ht="41.25" customHeight="1" outlineLevel="1">
      <c r="A385" s="239"/>
      <c r="B385" s="198"/>
      <c r="C385" s="240"/>
      <c r="D385" s="240"/>
      <c r="E385" s="241"/>
      <c r="F385" s="241"/>
      <c r="G385" s="240"/>
      <c r="H385" s="242"/>
      <c r="I385" s="243"/>
      <c r="J385" s="243"/>
      <c r="K385" s="244"/>
      <c r="L385" s="192"/>
      <c r="M385" s="245"/>
      <c r="N385" s="245"/>
      <c r="O385" s="246"/>
      <c r="P385" s="247"/>
      <c r="Q385" s="247"/>
      <c r="R385" s="239"/>
      <c r="S385" s="239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84"/>
  <conditionalFormatting sqref="L1:L385 M5:M16 N21:O21 O18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4:L16 N21 O17:O21 P3:Q42 P44:Q61 P63:Q77 P82:Q105 P107:Q118 P120:P230 P232:Q260 P262:Q327 P329:Q358 P360:Q369 Q120:Q188 Q194:Q208 Q210:Q230 R1:S385">
    <cfRule type="containsText" dxfId="0" priority="2" operator="containsText" text="нет">
      <formula>NOT(ISERROR(SEARCH(("нет"),(L4))))</formula>
    </cfRule>
  </conditionalFormatting>
  <conditionalFormatting sqref="H2 H17:H18 I2:J260 L4:L24 M2:M260 M262:M327 M329:M358 N21 O17:O21 P3:Q42 P44:Q77 P82:Q105 P107:Q118 P120:Q382 R4:S18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R2:S2 P3:S42 R43:S43 P44:S61 R62:S62 P63:S77 R78:S81 P82:S105 R106:S106 P107:S118 R119:S119 P120:S188 R189:S193 P194:S208 R209:S209 P210:S230 R231:S231 P232:S233 Q234:S234 P235:S235 Q236:S236 P237:S239 Q240:S240 P241:S256 Q257:S257 P258:S260 R261:S261 P262:S327 R328:S328 P329:S358 R359:S359 P360:S360 Q361:S361 P362:S362 Q363:S363 P364:S364 Q365:S365 P366:S366 Q367:S367 P368:S368 Q369:S369 R370:S385">
      <formula1>"да,нет"</formula1>
    </dataValidation>
    <dataValidation type="list" allowBlank="1" showErrorMessage="1" sqref="G37:G42 G44:G61 G126:G128 G189:G193 G232 G371:G385">
      <formula1>"Тюмень,Москва"</formula1>
    </dataValidation>
    <dataValidation type="list" allowBlank="1" showErrorMessage="1" sqref="G5">
      <formula1>"Москва,Сургут/Югра/Самара,Тюмень/Ижевск"</formula1>
    </dataValidation>
    <dataValidation type="list" allowBlank="1" showErrorMessage="1" sqref="G3:G4 G6:G36 G63:G77 G79:G105 G107:G118 G120:G125 G129:G188 G194:G208 G210:G230 G233 G235 G237 G239 G241:G256 G258:G260 G262:G327 G329:G358 G360:G369">
      <formula1>"Город,Москва,Сургут/Югра/Самара,Тюмень/Ижевск"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15.86"/>
    <col customWidth="1" min="3" max="3" width="11.71"/>
    <col customWidth="1" min="4" max="4" width="27.43"/>
    <col customWidth="1" min="5" max="6" width="11.71"/>
    <col customWidth="1" min="7" max="7" width="10.14"/>
    <col customWidth="1" min="8" max="8" width="9.86"/>
    <col customWidth="1" min="9" max="9" width="10.71"/>
  </cols>
  <sheetData>
    <row r="1" ht="15.0" customHeight="1">
      <c r="A1" s="248" t="s">
        <v>463</v>
      </c>
      <c r="B1" s="249" t="s">
        <v>464</v>
      </c>
      <c r="C1" s="249" t="s">
        <v>96</v>
      </c>
      <c r="D1" s="249" t="s">
        <v>95</v>
      </c>
      <c r="E1" s="250" t="s">
        <v>465</v>
      </c>
      <c r="F1" s="251" t="s">
        <v>99</v>
      </c>
      <c r="G1" s="252" t="s">
        <v>100</v>
      </c>
      <c r="H1" s="75" t="s">
        <v>466</v>
      </c>
      <c r="I1" s="75" t="s">
        <v>102</v>
      </c>
    </row>
    <row r="2" ht="15.0" customHeight="1">
      <c r="A2" s="253" t="s">
        <v>467</v>
      </c>
      <c r="B2" s="254"/>
      <c r="C2" s="254"/>
      <c r="D2" s="254"/>
      <c r="E2" s="254"/>
      <c r="F2" s="254"/>
      <c r="G2" s="255" t="str">
        <f>AVERAGE(G3:G22)</f>
        <v>#DIV/0!</v>
      </c>
    </row>
    <row r="3" ht="15.0" customHeight="1">
      <c r="A3" s="256" t="s">
        <v>205</v>
      </c>
      <c r="B3" s="257" t="s">
        <v>468</v>
      </c>
      <c r="C3" s="258">
        <v>200.0</v>
      </c>
      <c r="D3" s="258" t="s">
        <v>469</v>
      </c>
      <c r="E3" s="93">
        <v>279.0</v>
      </c>
      <c r="F3" s="162">
        <v>70.0</v>
      </c>
      <c r="G3" s="158">
        <f t="shared" ref="G3:G23" si="1">F3/E3</f>
        <v>0.2508960573</v>
      </c>
      <c r="H3" s="93">
        <f t="shared" ref="H3:H23" si="2">E3-F3</f>
        <v>209</v>
      </c>
      <c r="I3" s="158">
        <f t="shared" ref="I3:I23" si="3">E3/F3-1</f>
        <v>2.985714286</v>
      </c>
    </row>
    <row r="4" ht="15.0" customHeight="1">
      <c r="D4" s="258" t="s">
        <v>470</v>
      </c>
      <c r="E4" s="93">
        <v>299.0</v>
      </c>
      <c r="F4" s="162">
        <v>85.0</v>
      </c>
      <c r="G4" s="158">
        <f t="shared" si="1"/>
        <v>0.2842809365</v>
      </c>
      <c r="H4" s="93">
        <f t="shared" si="2"/>
        <v>214</v>
      </c>
      <c r="I4" s="158">
        <f t="shared" si="3"/>
        <v>2.517647059</v>
      </c>
    </row>
    <row r="5" ht="15.0" customHeight="1">
      <c r="D5" s="258" t="s">
        <v>114</v>
      </c>
      <c r="E5" s="93"/>
      <c r="F5" s="162">
        <v>85.0</v>
      </c>
      <c r="G5" s="158" t="str">
        <f t="shared" si="1"/>
        <v>#DIV/0!</v>
      </c>
      <c r="H5" s="93">
        <f t="shared" si="2"/>
        <v>-85</v>
      </c>
      <c r="I5" s="158">
        <f t="shared" si="3"/>
        <v>-1</v>
      </c>
    </row>
    <row r="6" ht="15.0" customHeight="1">
      <c r="A6" s="256" t="s">
        <v>471</v>
      </c>
      <c r="B6" s="257" t="s">
        <v>468</v>
      </c>
      <c r="C6" s="258">
        <v>200.0</v>
      </c>
      <c r="D6" s="258" t="s">
        <v>469</v>
      </c>
      <c r="E6" s="93">
        <v>279.0</v>
      </c>
      <c r="F6" s="162">
        <v>70.0</v>
      </c>
      <c r="G6" s="158">
        <f t="shared" si="1"/>
        <v>0.2508960573</v>
      </c>
      <c r="H6" s="93">
        <f t="shared" si="2"/>
        <v>209</v>
      </c>
      <c r="I6" s="158">
        <f t="shared" si="3"/>
        <v>2.985714286</v>
      </c>
    </row>
    <row r="7" ht="15.0" customHeight="1">
      <c r="D7" s="258" t="s">
        <v>470</v>
      </c>
      <c r="E7" s="93">
        <v>299.0</v>
      </c>
      <c r="F7" s="162">
        <v>85.0</v>
      </c>
      <c r="G7" s="158">
        <f t="shared" si="1"/>
        <v>0.2842809365</v>
      </c>
      <c r="H7" s="93">
        <f t="shared" si="2"/>
        <v>214</v>
      </c>
      <c r="I7" s="158">
        <f t="shared" si="3"/>
        <v>2.517647059</v>
      </c>
    </row>
    <row r="8" ht="15.0" customHeight="1">
      <c r="D8" s="258" t="s">
        <v>114</v>
      </c>
      <c r="E8" s="93"/>
      <c r="F8" s="162">
        <v>85.0</v>
      </c>
      <c r="G8" s="158" t="str">
        <f t="shared" si="1"/>
        <v>#DIV/0!</v>
      </c>
      <c r="H8" s="93">
        <f t="shared" si="2"/>
        <v>-85</v>
      </c>
      <c r="I8" s="158">
        <f t="shared" si="3"/>
        <v>-1</v>
      </c>
    </row>
    <row r="9" ht="15.0" customHeight="1">
      <c r="A9" s="259" t="s">
        <v>472</v>
      </c>
      <c r="B9" s="260" t="s">
        <v>468</v>
      </c>
      <c r="C9" s="258" t="s">
        <v>473</v>
      </c>
      <c r="D9" s="258" t="s">
        <v>469</v>
      </c>
      <c r="E9" s="161">
        <v>249.0</v>
      </c>
      <c r="F9" s="162">
        <v>60.0</v>
      </c>
      <c r="G9" s="158">
        <f t="shared" si="1"/>
        <v>0.2409638554</v>
      </c>
      <c r="H9" s="93">
        <f t="shared" si="2"/>
        <v>189</v>
      </c>
      <c r="I9" s="158">
        <f t="shared" si="3"/>
        <v>3.15</v>
      </c>
    </row>
    <row r="10" ht="15.0" customHeight="1">
      <c r="D10" s="258" t="s">
        <v>470</v>
      </c>
      <c r="E10" s="161">
        <v>299.0</v>
      </c>
      <c r="F10" s="162">
        <v>48.0</v>
      </c>
      <c r="G10" s="158">
        <f t="shared" si="1"/>
        <v>0.1605351171</v>
      </c>
      <c r="H10" s="93">
        <f t="shared" si="2"/>
        <v>251</v>
      </c>
      <c r="I10" s="158">
        <f t="shared" si="3"/>
        <v>5.229166667</v>
      </c>
    </row>
    <row r="11" ht="15.0" customHeight="1">
      <c r="D11" s="258" t="s">
        <v>114</v>
      </c>
      <c r="E11" s="161"/>
      <c r="F11" s="162">
        <v>48.0</v>
      </c>
      <c r="G11" s="158" t="str">
        <f t="shared" si="1"/>
        <v>#DIV/0!</v>
      </c>
      <c r="H11" s="93">
        <f t="shared" si="2"/>
        <v>-48</v>
      </c>
      <c r="I11" s="158">
        <f t="shared" si="3"/>
        <v>-1</v>
      </c>
    </row>
    <row r="12" ht="15.0" customHeight="1">
      <c r="A12" s="259" t="s">
        <v>474</v>
      </c>
      <c r="B12" s="260" t="s">
        <v>468</v>
      </c>
      <c r="C12" s="258" t="s">
        <v>475</v>
      </c>
      <c r="D12" s="258" t="s">
        <v>469</v>
      </c>
      <c r="E12" s="161">
        <v>399.0</v>
      </c>
      <c r="F12" s="162">
        <v>79.0</v>
      </c>
      <c r="G12" s="158">
        <f t="shared" si="1"/>
        <v>0.1979949875</v>
      </c>
      <c r="H12" s="93">
        <f t="shared" si="2"/>
        <v>320</v>
      </c>
      <c r="I12" s="158">
        <f t="shared" si="3"/>
        <v>4.050632911</v>
      </c>
    </row>
    <row r="13" ht="15.0" customHeight="1">
      <c r="D13" s="258" t="s">
        <v>470</v>
      </c>
      <c r="E13" s="161">
        <v>429.0</v>
      </c>
      <c r="F13" s="162">
        <v>86.0</v>
      </c>
      <c r="G13" s="158">
        <f t="shared" si="1"/>
        <v>0.2004662005</v>
      </c>
      <c r="H13" s="93">
        <f t="shared" si="2"/>
        <v>343</v>
      </c>
      <c r="I13" s="158">
        <f t="shared" si="3"/>
        <v>3.988372093</v>
      </c>
    </row>
    <row r="14" ht="15.0" customHeight="1">
      <c r="D14" s="258" t="s">
        <v>114</v>
      </c>
      <c r="E14" s="161"/>
      <c r="F14" s="162">
        <v>86.0</v>
      </c>
      <c r="G14" s="158" t="str">
        <f t="shared" si="1"/>
        <v>#DIV/0!</v>
      </c>
      <c r="H14" s="93">
        <f t="shared" si="2"/>
        <v>-86</v>
      </c>
      <c r="I14" s="158">
        <f t="shared" si="3"/>
        <v>-1</v>
      </c>
    </row>
    <row r="15" ht="15.0" customHeight="1">
      <c r="A15" s="259" t="s">
        <v>201</v>
      </c>
      <c r="B15" s="260" t="s">
        <v>468</v>
      </c>
      <c r="C15" s="258" t="s">
        <v>475</v>
      </c>
      <c r="D15" s="258" t="s">
        <v>469</v>
      </c>
      <c r="E15" s="243">
        <v>249.0</v>
      </c>
      <c r="F15" s="162">
        <v>42.0</v>
      </c>
      <c r="G15" s="158">
        <f t="shared" si="1"/>
        <v>0.1686746988</v>
      </c>
      <c r="H15" s="93">
        <f t="shared" si="2"/>
        <v>207</v>
      </c>
      <c r="I15" s="158">
        <f t="shared" si="3"/>
        <v>4.928571429</v>
      </c>
    </row>
    <row r="16" ht="15.0" customHeight="1">
      <c r="D16" s="258" t="s">
        <v>470</v>
      </c>
      <c r="E16" s="243">
        <v>299.0</v>
      </c>
      <c r="F16" s="162">
        <v>51.0</v>
      </c>
      <c r="G16" s="158">
        <f t="shared" si="1"/>
        <v>0.1705685619</v>
      </c>
      <c r="H16" s="93">
        <f t="shared" si="2"/>
        <v>248</v>
      </c>
      <c r="I16" s="158">
        <f t="shared" si="3"/>
        <v>4.862745098</v>
      </c>
    </row>
    <row r="17" ht="15.0" customHeight="1">
      <c r="D17" s="258" t="s">
        <v>114</v>
      </c>
      <c r="E17" s="243"/>
      <c r="F17" s="162">
        <v>51.0</v>
      </c>
      <c r="G17" s="158" t="str">
        <f t="shared" si="1"/>
        <v>#DIV/0!</v>
      </c>
      <c r="H17" s="93">
        <f t="shared" si="2"/>
        <v>-51</v>
      </c>
      <c r="I17" s="158">
        <f t="shared" si="3"/>
        <v>-1</v>
      </c>
    </row>
    <row r="18" ht="15.0" customHeight="1">
      <c r="A18" s="259" t="s">
        <v>200</v>
      </c>
      <c r="B18" s="260" t="s">
        <v>468</v>
      </c>
      <c r="C18" s="258">
        <v>120.0</v>
      </c>
      <c r="D18" s="258" t="s">
        <v>469</v>
      </c>
      <c r="E18" s="243">
        <v>469.0</v>
      </c>
      <c r="F18" s="162">
        <v>129.0</v>
      </c>
      <c r="G18" s="158">
        <f t="shared" si="1"/>
        <v>0.2750533049</v>
      </c>
      <c r="H18" s="93">
        <f t="shared" si="2"/>
        <v>340</v>
      </c>
      <c r="I18" s="158">
        <f t="shared" si="3"/>
        <v>2.635658915</v>
      </c>
    </row>
    <row r="19" ht="15.0" customHeight="1">
      <c r="D19" s="258" t="s">
        <v>470</v>
      </c>
      <c r="E19" s="243">
        <v>499.0</v>
      </c>
      <c r="F19" s="162">
        <v>134.0</v>
      </c>
      <c r="G19" s="158">
        <f t="shared" si="1"/>
        <v>0.2685370741</v>
      </c>
      <c r="H19" s="93">
        <f t="shared" si="2"/>
        <v>365</v>
      </c>
      <c r="I19" s="158">
        <f t="shared" si="3"/>
        <v>2.723880597</v>
      </c>
    </row>
    <row r="20" ht="15.0" customHeight="1">
      <c r="D20" s="258" t="s">
        <v>114</v>
      </c>
      <c r="E20" s="243"/>
      <c r="F20" s="162">
        <v>134.0</v>
      </c>
      <c r="G20" s="158" t="str">
        <f t="shared" si="1"/>
        <v>#DIV/0!</v>
      </c>
      <c r="H20" s="93">
        <f t="shared" si="2"/>
        <v>-134</v>
      </c>
      <c r="I20" s="158">
        <f t="shared" si="3"/>
        <v>-1</v>
      </c>
    </row>
    <row r="21" ht="15.0" customHeight="1">
      <c r="A21" s="261" t="s">
        <v>195</v>
      </c>
      <c r="B21" s="260"/>
      <c r="C21" s="258" t="s">
        <v>476</v>
      </c>
      <c r="D21" s="258" t="s">
        <v>469</v>
      </c>
      <c r="E21" s="93">
        <v>259.0</v>
      </c>
      <c r="F21" s="162">
        <v>79.0</v>
      </c>
      <c r="G21" s="158">
        <f t="shared" si="1"/>
        <v>0.305019305</v>
      </c>
      <c r="H21" s="93">
        <f t="shared" si="2"/>
        <v>180</v>
      </c>
      <c r="I21" s="158">
        <f t="shared" si="3"/>
        <v>2.278481013</v>
      </c>
    </row>
    <row r="22" ht="15.0" customHeight="1">
      <c r="D22" s="258" t="s">
        <v>470</v>
      </c>
      <c r="E22" s="93">
        <v>289.0</v>
      </c>
      <c r="F22" s="162">
        <v>79.0</v>
      </c>
      <c r="G22" s="158">
        <f t="shared" si="1"/>
        <v>0.2733564014</v>
      </c>
      <c r="H22" s="93">
        <f t="shared" si="2"/>
        <v>210</v>
      </c>
      <c r="I22" s="158">
        <f t="shared" si="3"/>
        <v>2.658227848</v>
      </c>
    </row>
    <row r="23" ht="15.0" customHeight="1">
      <c r="D23" s="258" t="s">
        <v>114</v>
      </c>
      <c r="E23" s="93"/>
      <c r="F23" s="162">
        <v>79.0</v>
      </c>
      <c r="G23" s="158" t="str">
        <f t="shared" si="1"/>
        <v>#DIV/0!</v>
      </c>
      <c r="H23" s="93">
        <f t="shared" si="2"/>
        <v>-79</v>
      </c>
      <c r="I23" s="158">
        <f t="shared" si="3"/>
        <v>-1</v>
      </c>
    </row>
    <row r="24" ht="15.0" customHeight="1">
      <c r="A24" s="253" t="s">
        <v>477</v>
      </c>
      <c r="B24" s="254"/>
      <c r="C24" s="254"/>
      <c r="D24" s="254"/>
      <c r="E24" s="254"/>
      <c r="F24" s="254"/>
      <c r="G24" s="255" t="str">
        <f>AVERAGE(G25:G34)</f>
        <v>#DIV/0!</v>
      </c>
      <c r="H24" s="239"/>
      <c r="I24" s="247"/>
    </row>
    <row r="25" ht="15.0" customHeight="1">
      <c r="A25" s="261" t="s">
        <v>478</v>
      </c>
      <c r="B25" s="260"/>
      <c r="C25" s="258">
        <v>180.0</v>
      </c>
      <c r="D25" s="258" t="s">
        <v>469</v>
      </c>
      <c r="E25" s="93">
        <v>489.0</v>
      </c>
      <c r="F25" s="162">
        <v>136.0</v>
      </c>
      <c r="G25" s="247">
        <f t="shared" ref="G25:G36" si="4">F25/E25</f>
        <v>0.2781186094</v>
      </c>
      <c r="H25" s="243">
        <f t="shared" ref="H25:H36" si="5">E25-F25</f>
        <v>353</v>
      </c>
      <c r="I25" s="247">
        <f t="shared" ref="I25:I36" si="6">E25/F25-1</f>
        <v>2.595588235</v>
      </c>
    </row>
    <row r="26" ht="15.0" customHeight="1">
      <c r="D26" s="258" t="s">
        <v>470</v>
      </c>
      <c r="E26" s="93">
        <v>529.0</v>
      </c>
      <c r="F26" s="162">
        <v>151.0</v>
      </c>
      <c r="G26" s="247">
        <f t="shared" si="4"/>
        <v>0.2854442344</v>
      </c>
      <c r="H26" s="243">
        <f t="shared" si="5"/>
        <v>378</v>
      </c>
      <c r="I26" s="247">
        <f t="shared" si="6"/>
        <v>2.503311258</v>
      </c>
    </row>
    <row r="27" ht="15.0" customHeight="1">
      <c r="D27" s="258" t="s">
        <v>114</v>
      </c>
      <c r="E27" s="93"/>
      <c r="F27" s="162">
        <v>151.0</v>
      </c>
      <c r="G27" s="247" t="str">
        <f t="shared" si="4"/>
        <v>#DIV/0!</v>
      </c>
      <c r="H27" s="243">
        <f t="shared" si="5"/>
        <v>-151</v>
      </c>
      <c r="I27" s="247">
        <f t="shared" si="6"/>
        <v>-1</v>
      </c>
    </row>
    <row r="28" ht="15.0" customHeight="1">
      <c r="A28" s="261" t="s">
        <v>188</v>
      </c>
      <c r="B28" s="262"/>
      <c r="C28" s="258">
        <v>210.0</v>
      </c>
      <c r="D28" s="258" t="s">
        <v>469</v>
      </c>
      <c r="E28" s="93">
        <v>469.0</v>
      </c>
      <c r="F28" s="162">
        <v>98.0</v>
      </c>
      <c r="G28" s="247">
        <f t="shared" si="4"/>
        <v>0.2089552239</v>
      </c>
      <c r="H28" s="243">
        <f t="shared" si="5"/>
        <v>371</v>
      </c>
      <c r="I28" s="247">
        <f t="shared" si="6"/>
        <v>3.785714286</v>
      </c>
    </row>
    <row r="29" ht="15.0" customHeight="1">
      <c r="D29" s="258" t="s">
        <v>470</v>
      </c>
      <c r="E29" s="93">
        <v>499.0</v>
      </c>
      <c r="F29" s="162">
        <v>105.0</v>
      </c>
      <c r="G29" s="247">
        <f t="shared" si="4"/>
        <v>0.2104208417</v>
      </c>
      <c r="H29" s="243">
        <f t="shared" si="5"/>
        <v>394</v>
      </c>
      <c r="I29" s="247">
        <f t="shared" si="6"/>
        <v>3.752380952</v>
      </c>
    </row>
    <row r="30" ht="15.0" customHeight="1">
      <c r="D30" s="258" t="s">
        <v>114</v>
      </c>
      <c r="E30" s="93"/>
      <c r="F30" s="162">
        <v>105.0</v>
      </c>
      <c r="G30" s="247" t="str">
        <f t="shared" si="4"/>
        <v>#DIV/0!</v>
      </c>
      <c r="H30" s="243">
        <f t="shared" si="5"/>
        <v>-105</v>
      </c>
      <c r="I30" s="247">
        <f t="shared" si="6"/>
        <v>-1</v>
      </c>
    </row>
    <row r="31" ht="15.0" customHeight="1">
      <c r="A31" s="261" t="s">
        <v>479</v>
      </c>
      <c r="B31" s="262"/>
      <c r="C31" s="258">
        <v>210.0</v>
      </c>
      <c r="D31" s="258" t="s">
        <v>469</v>
      </c>
      <c r="E31" s="93">
        <v>579.0</v>
      </c>
      <c r="F31" s="162">
        <v>146.0</v>
      </c>
      <c r="G31" s="247">
        <f t="shared" si="4"/>
        <v>0.2521588946</v>
      </c>
      <c r="H31" s="243">
        <f t="shared" si="5"/>
        <v>433</v>
      </c>
      <c r="I31" s="247">
        <f t="shared" si="6"/>
        <v>2.965753425</v>
      </c>
    </row>
    <row r="32" ht="15.0" customHeight="1">
      <c r="D32" s="258" t="s">
        <v>470</v>
      </c>
      <c r="E32" s="93">
        <v>599.0</v>
      </c>
      <c r="F32" s="162">
        <v>159.0</v>
      </c>
      <c r="G32" s="247">
        <f t="shared" si="4"/>
        <v>0.265442404</v>
      </c>
      <c r="H32" s="243">
        <f t="shared" si="5"/>
        <v>440</v>
      </c>
      <c r="I32" s="247">
        <f t="shared" si="6"/>
        <v>2.767295597</v>
      </c>
    </row>
    <row r="33" ht="15.0" customHeight="1">
      <c r="D33" s="258" t="s">
        <v>114</v>
      </c>
      <c r="E33" s="93"/>
      <c r="F33" s="162">
        <v>159.0</v>
      </c>
      <c r="G33" s="247" t="str">
        <f t="shared" si="4"/>
        <v>#DIV/0!</v>
      </c>
      <c r="H33" s="243">
        <f t="shared" si="5"/>
        <v>-159</v>
      </c>
      <c r="I33" s="247">
        <f t="shared" si="6"/>
        <v>-1</v>
      </c>
    </row>
    <row r="34" ht="15.0" customHeight="1">
      <c r="A34" s="261" t="s">
        <v>177</v>
      </c>
      <c r="B34" s="260"/>
      <c r="C34" s="258">
        <v>210.0</v>
      </c>
      <c r="D34" s="258" t="s">
        <v>469</v>
      </c>
      <c r="E34" s="93">
        <v>599.0</v>
      </c>
      <c r="F34" s="263">
        <v>130.0</v>
      </c>
      <c r="G34" s="247">
        <f t="shared" si="4"/>
        <v>0.2170283806</v>
      </c>
      <c r="H34" s="243">
        <f t="shared" si="5"/>
        <v>469</v>
      </c>
      <c r="I34" s="247">
        <f t="shared" si="6"/>
        <v>3.607692308</v>
      </c>
    </row>
    <row r="35" ht="15.0" customHeight="1">
      <c r="D35" s="258" t="s">
        <v>470</v>
      </c>
      <c r="E35" s="93">
        <v>599.0</v>
      </c>
      <c r="F35" s="263">
        <v>135.0</v>
      </c>
      <c r="G35" s="247">
        <f t="shared" si="4"/>
        <v>0.225375626</v>
      </c>
      <c r="H35" s="243">
        <f t="shared" si="5"/>
        <v>464</v>
      </c>
      <c r="I35" s="247">
        <f t="shared" si="6"/>
        <v>3.437037037</v>
      </c>
    </row>
    <row r="36" ht="15.0" customHeight="1">
      <c r="D36" s="258" t="s">
        <v>114</v>
      </c>
      <c r="E36" s="93"/>
      <c r="F36" s="263">
        <v>135.0</v>
      </c>
      <c r="G36" s="247" t="str">
        <f t="shared" si="4"/>
        <v>#DIV/0!</v>
      </c>
      <c r="H36" s="243">
        <f t="shared" si="5"/>
        <v>-135</v>
      </c>
      <c r="I36" s="247">
        <f t="shared" si="6"/>
        <v>-1</v>
      </c>
    </row>
    <row r="37" ht="15.0" customHeight="1">
      <c r="A37" s="253" t="s">
        <v>480</v>
      </c>
      <c r="B37" s="254"/>
      <c r="C37" s="254"/>
      <c r="D37" s="254"/>
      <c r="E37" s="254"/>
      <c r="F37" s="254"/>
      <c r="G37" s="255">
        <f>AVERAGE(G38:G73)</f>
        <v>0.27080988</v>
      </c>
      <c r="H37" s="239"/>
      <c r="I37" s="247"/>
    </row>
    <row r="38" ht="15.0" customHeight="1">
      <c r="A38" s="259" t="s">
        <v>235</v>
      </c>
      <c r="B38" s="264"/>
      <c r="C38" s="258">
        <v>320.0</v>
      </c>
      <c r="D38" s="258" t="s">
        <v>469</v>
      </c>
      <c r="E38" s="93">
        <v>549.0</v>
      </c>
      <c r="F38" s="162">
        <v>119.0</v>
      </c>
      <c r="G38" s="247">
        <f t="shared" ref="G38:G39" si="7">F38/E38</f>
        <v>0.2167577413</v>
      </c>
      <c r="H38" s="243">
        <f t="shared" ref="H38:H39" si="8">E38-F38</f>
        <v>430</v>
      </c>
      <c r="I38" s="247">
        <f t="shared" ref="I38:I39" si="9">E38/F38-1</f>
        <v>3.613445378</v>
      </c>
    </row>
    <row r="39" ht="15.0" customHeight="1">
      <c r="D39" s="258" t="s">
        <v>470</v>
      </c>
      <c r="E39" s="93">
        <v>599.0</v>
      </c>
      <c r="F39" s="162">
        <v>145.0</v>
      </c>
      <c r="G39" s="247">
        <f t="shared" si="7"/>
        <v>0.2420701169</v>
      </c>
      <c r="H39" s="243">
        <f t="shared" si="8"/>
        <v>454</v>
      </c>
      <c r="I39" s="247">
        <f t="shared" si="9"/>
        <v>3.131034483</v>
      </c>
    </row>
    <row r="40" ht="15.0" customHeight="1">
      <c r="A40" s="259"/>
      <c r="C40" s="258"/>
      <c r="D40" s="258"/>
      <c r="E40" s="93"/>
      <c r="F40" s="162"/>
      <c r="G40" s="247"/>
      <c r="H40" s="239"/>
      <c r="I40" s="247"/>
    </row>
    <row r="41" ht="15.0" customHeight="1">
      <c r="A41" s="259" t="s">
        <v>239</v>
      </c>
      <c r="C41" s="258">
        <v>300.0</v>
      </c>
      <c r="D41" s="258" t="s">
        <v>469</v>
      </c>
      <c r="E41" s="93">
        <v>549.0</v>
      </c>
      <c r="F41" s="162">
        <v>152.0</v>
      </c>
      <c r="G41" s="247">
        <f t="shared" ref="G41:G42" si="10">F41/E41</f>
        <v>0.276867031</v>
      </c>
      <c r="H41" s="243">
        <f t="shared" ref="H41:H42" si="11">E41-F41</f>
        <v>397</v>
      </c>
      <c r="I41" s="247">
        <f t="shared" ref="I41:I42" si="12">E41/F41-1</f>
        <v>2.611842105</v>
      </c>
    </row>
    <row r="42" ht="15.0" customHeight="1">
      <c r="D42" s="258" t="s">
        <v>470</v>
      </c>
      <c r="E42" s="93">
        <v>599.0</v>
      </c>
      <c r="F42" s="162">
        <v>141.0</v>
      </c>
      <c r="G42" s="247">
        <f t="shared" si="10"/>
        <v>0.2353923205</v>
      </c>
      <c r="H42" s="243">
        <f t="shared" si="11"/>
        <v>458</v>
      </c>
      <c r="I42" s="247">
        <f t="shared" si="12"/>
        <v>3.24822695</v>
      </c>
    </row>
    <row r="43" ht="15.0" customHeight="1">
      <c r="A43" s="259"/>
      <c r="C43" s="258"/>
      <c r="D43" s="258"/>
      <c r="E43" s="93"/>
      <c r="F43" s="162"/>
      <c r="G43" s="247"/>
      <c r="H43" s="239"/>
      <c r="I43" s="247"/>
    </row>
    <row r="44" ht="15.0" customHeight="1">
      <c r="A44" s="259" t="s">
        <v>242</v>
      </c>
      <c r="C44" s="265">
        <v>320.0</v>
      </c>
      <c r="D44" s="258" t="s">
        <v>469</v>
      </c>
      <c r="E44" s="93">
        <v>549.0</v>
      </c>
      <c r="F44" s="162">
        <v>106.0</v>
      </c>
      <c r="G44" s="247">
        <f t="shared" ref="G44:G45" si="13">F44/E44</f>
        <v>0.1930783242</v>
      </c>
      <c r="H44" s="243">
        <f t="shared" ref="H44:H45" si="14">E44-F44</f>
        <v>443</v>
      </c>
      <c r="I44" s="247">
        <f t="shared" ref="I44:I45" si="15">E44/F44-1</f>
        <v>4.179245283</v>
      </c>
    </row>
    <row r="45" ht="15.0" customHeight="1">
      <c r="D45" s="258" t="s">
        <v>470</v>
      </c>
      <c r="E45" s="93">
        <v>599.0</v>
      </c>
      <c r="F45" s="162">
        <v>135.0</v>
      </c>
      <c r="G45" s="247">
        <f t="shared" si="13"/>
        <v>0.225375626</v>
      </c>
      <c r="H45" s="243">
        <f t="shared" si="14"/>
        <v>464</v>
      </c>
      <c r="I45" s="247">
        <f t="shared" si="15"/>
        <v>3.437037037</v>
      </c>
    </row>
    <row r="46" ht="15.0" customHeight="1">
      <c r="A46" s="259"/>
      <c r="C46" s="265"/>
      <c r="D46" s="258"/>
      <c r="E46" s="93"/>
      <c r="F46" s="162"/>
      <c r="G46" s="247"/>
      <c r="H46" s="239"/>
      <c r="I46" s="247"/>
    </row>
    <row r="47" ht="15.0" customHeight="1">
      <c r="A47" s="259" t="s">
        <v>246</v>
      </c>
      <c r="C47" s="265">
        <v>320.0</v>
      </c>
      <c r="D47" s="258" t="s">
        <v>469</v>
      </c>
      <c r="E47" s="93">
        <v>699.0</v>
      </c>
      <c r="F47" s="162">
        <v>185.0</v>
      </c>
      <c r="G47" s="247">
        <f t="shared" ref="G47:G48" si="16">F47/E47</f>
        <v>0.2646638054</v>
      </c>
      <c r="H47" s="243">
        <f t="shared" ref="H47:H48" si="17">E47-F47</f>
        <v>514</v>
      </c>
      <c r="I47" s="247">
        <f t="shared" ref="I47:I48" si="18">E47/F47-1</f>
        <v>2.778378378</v>
      </c>
    </row>
    <row r="48" ht="15.0" customHeight="1">
      <c r="D48" s="258" t="s">
        <v>470</v>
      </c>
      <c r="E48" s="93">
        <v>749.0</v>
      </c>
      <c r="F48" s="162">
        <v>212.0</v>
      </c>
      <c r="G48" s="247">
        <f t="shared" si="16"/>
        <v>0.2830440587</v>
      </c>
      <c r="H48" s="243">
        <f t="shared" si="17"/>
        <v>537</v>
      </c>
      <c r="I48" s="247">
        <f t="shared" si="18"/>
        <v>2.533018868</v>
      </c>
    </row>
    <row r="49" ht="15.0" customHeight="1">
      <c r="A49" s="259"/>
      <c r="C49" s="265"/>
      <c r="D49" s="258"/>
      <c r="E49" s="93"/>
      <c r="F49" s="162"/>
      <c r="G49" s="247"/>
      <c r="H49" s="239"/>
      <c r="I49" s="247"/>
    </row>
    <row r="50" ht="15.0" customHeight="1">
      <c r="A50" s="259" t="s">
        <v>250</v>
      </c>
      <c r="C50" s="265">
        <v>320.0</v>
      </c>
      <c r="D50" s="258" t="s">
        <v>469</v>
      </c>
      <c r="E50" s="93">
        <v>699.0</v>
      </c>
      <c r="F50" s="162">
        <v>219.0</v>
      </c>
      <c r="G50" s="247">
        <f t="shared" ref="G50:G51" si="19">F50/E50</f>
        <v>0.313304721</v>
      </c>
      <c r="H50" s="243">
        <f t="shared" ref="H50:H51" si="20">E50-F50</f>
        <v>480</v>
      </c>
      <c r="I50" s="247">
        <f t="shared" ref="I50:I51" si="21">E50/F50-1</f>
        <v>2.191780822</v>
      </c>
    </row>
    <row r="51" ht="15.0" customHeight="1">
      <c r="D51" s="258" t="s">
        <v>470</v>
      </c>
      <c r="E51" s="93">
        <v>749.0</v>
      </c>
      <c r="F51" s="162">
        <v>219.0</v>
      </c>
      <c r="G51" s="247">
        <f t="shared" si="19"/>
        <v>0.2923898531</v>
      </c>
      <c r="H51" s="243">
        <f t="shared" si="20"/>
        <v>530</v>
      </c>
      <c r="I51" s="247">
        <f t="shared" si="21"/>
        <v>2.420091324</v>
      </c>
    </row>
    <row r="52" ht="15.0" customHeight="1">
      <c r="A52" s="259"/>
      <c r="C52" s="265"/>
      <c r="D52" s="258"/>
      <c r="E52" s="93"/>
      <c r="F52" s="162"/>
      <c r="G52" s="247"/>
      <c r="H52" s="239"/>
      <c r="I52" s="247"/>
    </row>
    <row r="53" ht="15.0" customHeight="1">
      <c r="A53" s="259" t="s">
        <v>254</v>
      </c>
      <c r="C53" s="265">
        <v>320.0</v>
      </c>
      <c r="D53" s="258" t="s">
        <v>469</v>
      </c>
      <c r="E53" s="93">
        <v>699.0</v>
      </c>
      <c r="F53" s="162">
        <v>161.0</v>
      </c>
      <c r="G53" s="247">
        <f t="shared" ref="G53:G54" si="22">F53/E53</f>
        <v>0.2303290415</v>
      </c>
      <c r="H53" s="243">
        <f t="shared" ref="H53:H54" si="23">E53-F53</f>
        <v>538</v>
      </c>
      <c r="I53" s="247">
        <f t="shared" ref="I53:I54" si="24">E53/F53-1</f>
        <v>3.341614907</v>
      </c>
    </row>
    <row r="54" ht="15.0" customHeight="1">
      <c r="D54" s="258" t="s">
        <v>470</v>
      </c>
      <c r="E54" s="93">
        <v>749.0</v>
      </c>
      <c r="F54" s="162">
        <v>201.0</v>
      </c>
      <c r="G54" s="247">
        <f t="shared" si="22"/>
        <v>0.2683578104</v>
      </c>
      <c r="H54" s="243">
        <f t="shared" si="23"/>
        <v>548</v>
      </c>
      <c r="I54" s="247">
        <f t="shared" si="24"/>
        <v>2.726368159</v>
      </c>
    </row>
    <row r="55" ht="15.0" customHeight="1">
      <c r="A55" s="259"/>
      <c r="C55" s="265"/>
      <c r="D55" s="258"/>
      <c r="E55" s="93"/>
      <c r="F55" s="162"/>
      <c r="G55" s="247"/>
      <c r="H55" s="239"/>
      <c r="I55" s="247"/>
    </row>
    <row r="56" ht="15.0" customHeight="1">
      <c r="A56" s="259" t="s">
        <v>280</v>
      </c>
      <c r="C56" s="265">
        <v>250.0</v>
      </c>
      <c r="D56" s="258" t="s">
        <v>469</v>
      </c>
      <c r="E56" s="93">
        <v>479.0</v>
      </c>
      <c r="F56" s="162">
        <v>120.0</v>
      </c>
      <c r="G56" s="247">
        <f t="shared" ref="G56:G57" si="25">F56/E56</f>
        <v>0.2505219207</v>
      </c>
      <c r="H56" s="243">
        <f t="shared" ref="H56:H57" si="26">E56-F56</f>
        <v>359</v>
      </c>
      <c r="I56" s="247">
        <f t="shared" ref="I56:I57" si="27">E56/F56-1</f>
        <v>2.991666667</v>
      </c>
    </row>
    <row r="57" ht="15.0" customHeight="1">
      <c r="D57" s="258" t="s">
        <v>470</v>
      </c>
      <c r="E57" s="93">
        <v>499.0</v>
      </c>
      <c r="F57" s="162">
        <v>135.0</v>
      </c>
      <c r="G57" s="247">
        <f t="shared" si="25"/>
        <v>0.2705410822</v>
      </c>
      <c r="H57" s="243">
        <f t="shared" si="26"/>
        <v>364</v>
      </c>
      <c r="I57" s="247">
        <f t="shared" si="27"/>
        <v>2.696296296</v>
      </c>
    </row>
    <row r="58" ht="15.0" customHeight="1">
      <c r="A58" s="259"/>
      <c r="C58" s="265"/>
      <c r="D58" s="258"/>
      <c r="E58" s="93"/>
      <c r="F58" s="162"/>
      <c r="G58" s="247"/>
      <c r="H58" s="239"/>
      <c r="I58" s="247"/>
    </row>
    <row r="59" ht="15.0" customHeight="1">
      <c r="A59" s="259" t="s">
        <v>283</v>
      </c>
      <c r="C59" s="258">
        <v>250.0</v>
      </c>
      <c r="D59" s="258" t="s">
        <v>469</v>
      </c>
      <c r="E59" s="93">
        <v>599.0</v>
      </c>
      <c r="F59" s="162">
        <v>205.0</v>
      </c>
      <c r="G59" s="247">
        <f t="shared" ref="G59:G60" si="28">F59/E59</f>
        <v>0.3422370618</v>
      </c>
      <c r="H59" s="243">
        <f t="shared" ref="H59:H60" si="29">E59-F59</f>
        <v>394</v>
      </c>
      <c r="I59" s="247">
        <f t="shared" ref="I59:I60" si="30">E59/F59-1</f>
        <v>1.92195122</v>
      </c>
    </row>
    <row r="60" ht="15.0" customHeight="1">
      <c r="D60" s="258" t="s">
        <v>470</v>
      </c>
      <c r="E60" s="93">
        <v>659.0</v>
      </c>
      <c r="F60" s="162">
        <v>217.0</v>
      </c>
      <c r="G60" s="247">
        <f t="shared" si="28"/>
        <v>0.3292867982</v>
      </c>
      <c r="H60" s="243">
        <f t="shared" si="29"/>
        <v>442</v>
      </c>
      <c r="I60" s="247">
        <f t="shared" si="30"/>
        <v>2.036866359</v>
      </c>
    </row>
    <row r="61" ht="15.0" customHeight="1">
      <c r="A61" s="259"/>
      <c r="C61" s="258"/>
      <c r="D61" s="258"/>
      <c r="E61" s="93"/>
      <c r="F61" s="162"/>
      <c r="G61" s="247"/>
      <c r="H61" s="239"/>
      <c r="I61" s="247"/>
    </row>
    <row r="62" ht="15.0" customHeight="1">
      <c r="A62" s="261" t="s">
        <v>310</v>
      </c>
      <c r="C62" s="258">
        <v>350.0</v>
      </c>
      <c r="D62" s="258" t="s">
        <v>469</v>
      </c>
      <c r="E62" s="93">
        <v>599.0</v>
      </c>
      <c r="F62" s="162">
        <v>146.0</v>
      </c>
      <c r="G62" s="247">
        <f t="shared" ref="G62:G63" si="31">F62/E62</f>
        <v>0.2437395659</v>
      </c>
      <c r="H62" s="243">
        <f t="shared" ref="H62:H63" si="32">E62-F62</f>
        <v>453</v>
      </c>
      <c r="I62" s="247">
        <f t="shared" ref="I62:I63" si="33">E62/F62-1</f>
        <v>3.102739726</v>
      </c>
    </row>
    <row r="63" ht="15.0" customHeight="1">
      <c r="D63" s="258" t="s">
        <v>470</v>
      </c>
      <c r="E63" s="93">
        <v>649.0</v>
      </c>
      <c r="F63" s="162">
        <v>171.0</v>
      </c>
      <c r="G63" s="247">
        <f t="shared" si="31"/>
        <v>0.2634822804</v>
      </c>
      <c r="H63" s="243">
        <f t="shared" si="32"/>
        <v>478</v>
      </c>
      <c r="I63" s="247">
        <f t="shared" si="33"/>
        <v>2.795321637</v>
      </c>
    </row>
    <row r="64" ht="15.0" customHeight="1">
      <c r="A64" s="261"/>
      <c r="C64" s="258"/>
      <c r="D64" s="258"/>
      <c r="E64" s="93"/>
      <c r="F64" s="162"/>
      <c r="G64" s="247"/>
      <c r="H64" s="239"/>
      <c r="I64" s="247"/>
    </row>
    <row r="65" ht="15.0" customHeight="1">
      <c r="A65" s="261" t="s">
        <v>314</v>
      </c>
      <c r="C65" s="258">
        <v>350.0</v>
      </c>
      <c r="D65" s="258" t="s">
        <v>469</v>
      </c>
      <c r="E65" s="93">
        <v>569.0</v>
      </c>
      <c r="F65" s="162">
        <v>131.0</v>
      </c>
      <c r="G65" s="247">
        <f t="shared" ref="G65:G66" si="34">F65/E65</f>
        <v>0.230228471</v>
      </c>
      <c r="H65" s="243">
        <f t="shared" ref="H65:H66" si="35">E65-F65</f>
        <v>438</v>
      </c>
      <c r="I65" s="247">
        <f t="shared" ref="I65:I66" si="36">E65/F65-1</f>
        <v>3.34351145</v>
      </c>
    </row>
    <row r="66" ht="15.0" customHeight="1">
      <c r="D66" s="258" t="s">
        <v>470</v>
      </c>
      <c r="E66" s="93">
        <v>599.0</v>
      </c>
      <c r="F66" s="162">
        <v>169.0</v>
      </c>
      <c r="G66" s="247">
        <f t="shared" si="34"/>
        <v>0.2821368948</v>
      </c>
      <c r="H66" s="243">
        <f t="shared" si="35"/>
        <v>430</v>
      </c>
      <c r="I66" s="247">
        <f t="shared" si="36"/>
        <v>2.544378698</v>
      </c>
    </row>
    <row r="67" ht="15.0" customHeight="1">
      <c r="A67" s="261"/>
      <c r="C67" s="258"/>
      <c r="D67" s="258"/>
      <c r="E67" s="93"/>
      <c r="F67" s="162"/>
      <c r="G67" s="247"/>
      <c r="H67" s="239"/>
      <c r="I67" s="247"/>
    </row>
    <row r="68" ht="15.0" customHeight="1">
      <c r="A68" s="259" t="s">
        <v>318</v>
      </c>
      <c r="C68" s="258">
        <v>350.0</v>
      </c>
      <c r="D68" s="258" t="s">
        <v>469</v>
      </c>
      <c r="E68" s="93">
        <v>599.0</v>
      </c>
      <c r="F68" s="162">
        <v>151.0</v>
      </c>
      <c r="G68" s="247">
        <f t="shared" ref="G68:G69" si="37">F68/E68</f>
        <v>0.2520868114</v>
      </c>
      <c r="H68" s="243">
        <f t="shared" ref="H68:H69" si="38">E68-F68</f>
        <v>448</v>
      </c>
      <c r="I68" s="247">
        <f t="shared" ref="I68:I69" si="39">E68/F68-1</f>
        <v>2.966887417</v>
      </c>
    </row>
    <row r="69" ht="15.0" customHeight="1">
      <c r="D69" s="258" t="s">
        <v>470</v>
      </c>
      <c r="E69" s="93">
        <v>649.0</v>
      </c>
      <c r="F69" s="162">
        <v>172.0</v>
      </c>
      <c r="G69" s="247">
        <f t="shared" si="37"/>
        <v>0.2650231125</v>
      </c>
      <c r="H69" s="243">
        <f t="shared" si="38"/>
        <v>477</v>
      </c>
      <c r="I69" s="247">
        <f t="shared" si="39"/>
        <v>2.773255814</v>
      </c>
    </row>
    <row r="70" ht="15.0" customHeight="1">
      <c r="A70" s="259"/>
      <c r="C70" s="258"/>
      <c r="D70" s="258"/>
      <c r="E70" s="93"/>
      <c r="F70" s="162"/>
      <c r="G70" s="247"/>
      <c r="H70" s="239"/>
      <c r="I70" s="247"/>
    </row>
    <row r="71" ht="15.0" customHeight="1">
      <c r="A71" s="266" t="s">
        <v>325</v>
      </c>
      <c r="C71" s="258">
        <v>350.0</v>
      </c>
      <c r="D71" s="258" t="s">
        <v>469</v>
      </c>
      <c r="E71" s="93">
        <v>699.0</v>
      </c>
      <c r="F71" s="162">
        <v>212.0</v>
      </c>
      <c r="G71" s="247">
        <f t="shared" ref="G71:G82" si="40">F71/E71</f>
        <v>0.3032904149</v>
      </c>
      <c r="H71" s="243">
        <f t="shared" ref="H71:H82" si="41">E71-F71</f>
        <v>487</v>
      </c>
      <c r="I71" s="247">
        <f t="shared" ref="I71:I82" si="42">E71/F71-1</f>
        <v>2.297169811</v>
      </c>
    </row>
    <row r="72" ht="15.0" customHeight="1">
      <c r="D72" s="258" t="s">
        <v>470</v>
      </c>
      <c r="E72" s="93">
        <v>749.0</v>
      </c>
      <c r="F72" s="162">
        <v>265.0</v>
      </c>
      <c r="G72" s="247">
        <f t="shared" si="40"/>
        <v>0.3538050734</v>
      </c>
      <c r="H72" s="243">
        <f t="shared" si="41"/>
        <v>484</v>
      </c>
      <c r="I72" s="247">
        <f t="shared" si="42"/>
        <v>1.826415094</v>
      </c>
    </row>
    <row r="73" ht="15.0" customHeight="1">
      <c r="A73" s="267" t="s">
        <v>322</v>
      </c>
      <c r="C73" s="258">
        <v>350.0</v>
      </c>
      <c r="D73" s="258" t="s">
        <v>469</v>
      </c>
      <c r="E73" s="93">
        <v>599.0</v>
      </c>
      <c r="F73" s="162">
        <v>205.0</v>
      </c>
      <c r="G73" s="247">
        <f t="shared" si="40"/>
        <v>0.3422370618</v>
      </c>
      <c r="H73" s="243">
        <f t="shared" si="41"/>
        <v>394</v>
      </c>
      <c r="I73" s="247">
        <f t="shared" si="42"/>
        <v>1.92195122</v>
      </c>
    </row>
    <row r="74" ht="15.0" customHeight="1">
      <c r="D74" s="258" t="s">
        <v>470</v>
      </c>
      <c r="E74" s="93">
        <v>649.0</v>
      </c>
      <c r="F74" s="162">
        <v>219.0</v>
      </c>
      <c r="G74" s="247">
        <f t="shared" si="40"/>
        <v>0.3374422188</v>
      </c>
      <c r="H74" s="243">
        <f t="shared" si="41"/>
        <v>430</v>
      </c>
      <c r="I74" s="247">
        <f t="shared" si="42"/>
        <v>1.96347032</v>
      </c>
    </row>
    <row r="75" ht="15.0" customHeight="1">
      <c r="A75" s="267" t="s">
        <v>293</v>
      </c>
      <c r="C75" s="258">
        <v>250.0</v>
      </c>
      <c r="D75" s="258" t="s">
        <v>469</v>
      </c>
      <c r="E75" s="93">
        <v>549.0</v>
      </c>
      <c r="F75" s="162">
        <v>131.0</v>
      </c>
      <c r="G75" s="247">
        <f t="shared" si="40"/>
        <v>0.2386156648</v>
      </c>
      <c r="H75" s="243">
        <f t="shared" si="41"/>
        <v>418</v>
      </c>
      <c r="I75" s="247">
        <f t="shared" si="42"/>
        <v>3.190839695</v>
      </c>
    </row>
    <row r="76" ht="15.0" customHeight="1">
      <c r="D76" s="258" t="s">
        <v>470</v>
      </c>
      <c r="E76" s="93">
        <v>589.0</v>
      </c>
      <c r="F76" s="162">
        <v>153.0</v>
      </c>
      <c r="G76" s="247">
        <f t="shared" si="40"/>
        <v>0.259762309</v>
      </c>
      <c r="H76" s="243">
        <f t="shared" si="41"/>
        <v>436</v>
      </c>
      <c r="I76" s="247">
        <f t="shared" si="42"/>
        <v>2.849673203</v>
      </c>
    </row>
    <row r="77" ht="21.0" customHeight="1">
      <c r="A77" s="267" t="s">
        <v>297</v>
      </c>
      <c r="C77" s="258">
        <v>250.0</v>
      </c>
      <c r="D77" s="258" t="s">
        <v>469</v>
      </c>
      <c r="E77" s="93">
        <v>589.0</v>
      </c>
      <c r="F77" s="162">
        <v>145.0</v>
      </c>
      <c r="G77" s="247">
        <f t="shared" si="40"/>
        <v>0.246179966</v>
      </c>
      <c r="H77" s="243">
        <f t="shared" si="41"/>
        <v>444</v>
      </c>
      <c r="I77" s="247">
        <f t="shared" si="42"/>
        <v>3.062068966</v>
      </c>
    </row>
    <row r="78" ht="15.0" customHeight="1">
      <c r="D78" s="258" t="s">
        <v>470</v>
      </c>
      <c r="E78" s="93">
        <v>629.0</v>
      </c>
      <c r="F78" s="162">
        <v>215.0</v>
      </c>
      <c r="G78" s="247">
        <f t="shared" si="40"/>
        <v>0.3418124006</v>
      </c>
      <c r="H78" s="243">
        <f t="shared" si="41"/>
        <v>414</v>
      </c>
      <c r="I78" s="247">
        <f t="shared" si="42"/>
        <v>1.925581395</v>
      </c>
    </row>
    <row r="79" ht="15.0" customHeight="1">
      <c r="A79" s="267" t="s">
        <v>223</v>
      </c>
      <c r="C79" s="258">
        <v>200.0</v>
      </c>
      <c r="D79" s="258" t="s">
        <v>469</v>
      </c>
      <c r="E79" s="93">
        <v>459.0</v>
      </c>
      <c r="F79" s="162">
        <v>105.0</v>
      </c>
      <c r="G79" s="247">
        <f t="shared" si="40"/>
        <v>0.2287581699</v>
      </c>
      <c r="H79" s="243">
        <f t="shared" si="41"/>
        <v>354</v>
      </c>
      <c r="I79" s="247">
        <f t="shared" si="42"/>
        <v>3.371428571</v>
      </c>
    </row>
    <row r="80" ht="15.0" customHeight="1">
      <c r="D80" s="258" t="s">
        <v>470</v>
      </c>
      <c r="E80" s="93">
        <v>489.0</v>
      </c>
      <c r="F80" s="162">
        <v>137.0</v>
      </c>
      <c r="G80" s="247">
        <f t="shared" si="40"/>
        <v>0.2801635992</v>
      </c>
      <c r="H80" s="243">
        <f t="shared" si="41"/>
        <v>352</v>
      </c>
      <c r="I80" s="247">
        <f t="shared" si="42"/>
        <v>2.569343066</v>
      </c>
    </row>
    <row r="81" ht="15.0" customHeight="1">
      <c r="A81" s="267" t="s">
        <v>227</v>
      </c>
      <c r="C81" s="258">
        <v>200.0</v>
      </c>
      <c r="D81" s="258" t="s">
        <v>469</v>
      </c>
      <c r="E81" s="93">
        <v>479.0</v>
      </c>
      <c r="F81" s="162">
        <v>115.0</v>
      </c>
      <c r="G81" s="247">
        <f t="shared" si="40"/>
        <v>0.2400835073</v>
      </c>
      <c r="H81" s="243">
        <f t="shared" si="41"/>
        <v>364</v>
      </c>
      <c r="I81" s="247">
        <f t="shared" si="42"/>
        <v>3.165217391</v>
      </c>
    </row>
    <row r="82" ht="15.0" customHeight="1">
      <c r="D82" s="258" t="s">
        <v>470</v>
      </c>
      <c r="E82" s="93">
        <v>499.0</v>
      </c>
      <c r="F82" s="162">
        <v>153.0</v>
      </c>
      <c r="G82" s="247">
        <f t="shared" si="40"/>
        <v>0.3066132265</v>
      </c>
      <c r="H82" s="243">
        <f t="shared" si="41"/>
        <v>346</v>
      </c>
      <c r="I82" s="247">
        <f t="shared" si="42"/>
        <v>2.261437908</v>
      </c>
    </row>
    <row r="83" ht="15.0" customHeight="1">
      <c r="A83" s="253" t="s">
        <v>481</v>
      </c>
      <c r="B83" s="254"/>
      <c r="C83" s="254"/>
      <c r="D83" s="254"/>
      <c r="E83" s="254"/>
      <c r="F83" s="254"/>
      <c r="G83" s="255">
        <f>AVERAGE(G84:G94)</f>
        <v>0.08862977602</v>
      </c>
      <c r="H83" s="239"/>
      <c r="I83" s="247"/>
    </row>
    <row r="84" ht="15.0" customHeight="1">
      <c r="A84" s="181" t="s">
        <v>482</v>
      </c>
      <c r="B84" s="87"/>
      <c r="C84" s="258">
        <v>30.0</v>
      </c>
      <c r="D84" s="258"/>
      <c r="E84" s="93">
        <v>69.0</v>
      </c>
      <c r="F84" s="162">
        <v>5.55</v>
      </c>
      <c r="G84" s="238">
        <f t="shared" ref="G84:G94" si="43">F84/E84</f>
        <v>0.08043478261</v>
      </c>
      <c r="H84" s="243">
        <f t="shared" ref="H84:H94" si="44">E84-F84</f>
        <v>63.45</v>
      </c>
      <c r="I84" s="247">
        <f t="shared" ref="I84:I94" si="45">E84/F84-1</f>
        <v>11.43243243</v>
      </c>
    </row>
    <row r="85" ht="15.0" customHeight="1">
      <c r="A85" s="181" t="s">
        <v>483</v>
      </c>
      <c r="B85" s="87"/>
      <c r="C85" s="258">
        <v>30.0</v>
      </c>
      <c r="D85" s="258"/>
      <c r="E85" s="93">
        <v>69.0</v>
      </c>
      <c r="F85" s="162">
        <v>3.23</v>
      </c>
      <c r="G85" s="238">
        <f t="shared" si="43"/>
        <v>0.0468115942</v>
      </c>
      <c r="H85" s="243">
        <f t="shared" si="44"/>
        <v>65.77</v>
      </c>
      <c r="I85" s="247">
        <f t="shared" si="45"/>
        <v>20.3622291</v>
      </c>
    </row>
    <row r="86" ht="15.0" customHeight="1">
      <c r="A86" s="181" t="s">
        <v>484</v>
      </c>
      <c r="B86" s="87"/>
      <c r="C86" s="258">
        <v>30.0</v>
      </c>
      <c r="D86" s="258"/>
      <c r="E86" s="93">
        <v>69.0</v>
      </c>
      <c r="F86" s="162">
        <v>14.05</v>
      </c>
      <c r="G86" s="238">
        <f t="shared" si="43"/>
        <v>0.2036231884</v>
      </c>
      <c r="H86" s="243">
        <f t="shared" si="44"/>
        <v>54.95</v>
      </c>
      <c r="I86" s="247">
        <f t="shared" si="45"/>
        <v>3.911032028</v>
      </c>
    </row>
    <row r="87" ht="15.0" customHeight="1">
      <c r="A87" s="181" t="s">
        <v>485</v>
      </c>
      <c r="B87" s="87"/>
      <c r="C87" s="258">
        <v>30.0</v>
      </c>
      <c r="D87" s="258"/>
      <c r="E87" s="93">
        <v>69.0</v>
      </c>
      <c r="F87" s="162">
        <v>4.05</v>
      </c>
      <c r="G87" s="238">
        <f t="shared" si="43"/>
        <v>0.05869565217</v>
      </c>
      <c r="H87" s="243">
        <f t="shared" si="44"/>
        <v>64.95</v>
      </c>
      <c r="I87" s="247">
        <f t="shared" si="45"/>
        <v>16.03703704</v>
      </c>
    </row>
    <row r="88" ht="15.0" customHeight="1">
      <c r="A88" s="181" t="s">
        <v>486</v>
      </c>
      <c r="B88" s="87"/>
      <c r="C88" s="258">
        <v>30.0</v>
      </c>
      <c r="D88" s="258"/>
      <c r="E88" s="93">
        <v>69.0</v>
      </c>
      <c r="F88" s="162">
        <v>5.56</v>
      </c>
      <c r="G88" s="238">
        <f t="shared" si="43"/>
        <v>0.08057971014</v>
      </c>
      <c r="H88" s="243">
        <f t="shared" si="44"/>
        <v>63.44</v>
      </c>
      <c r="I88" s="247">
        <f t="shared" si="45"/>
        <v>11.41007194</v>
      </c>
    </row>
    <row r="89" ht="15.0" customHeight="1">
      <c r="A89" s="181" t="s">
        <v>487</v>
      </c>
      <c r="B89" s="87"/>
      <c r="C89" s="258">
        <v>30.0</v>
      </c>
      <c r="D89" s="258"/>
      <c r="E89" s="93">
        <v>69.0</v>
      </c>
      <c r="F89" s="162">
        <v>5.24</v>
      </c>
      <c r="G89" s="238">
        <f t="shared" si="43"/>
        <v>0.07594202899</v>
      </c>
      <c r="H89" s="243">
        <f t="shared" si="44"/>
        <v>63.76</v>
      </c>
      <c r="I89" s="247">
        <f t="shared" si="45"/>
        <v>12.16793893</v>
      </c>
    </row>
    <row r="90" ht="15.0" customHeight="1">
      <c r="A90" s="181" t="s">
        <v>488</v>
      </c>
      <c r="B90" s="87"/>
      <c r="C90" s="258">
        <v>30.0</v>
      </c>
      <c r="D90" s="258"/>
      <c r="E90" s="93">
        <v>69.0</v>
      </c>
      <c r="F90" s="162">
        <v>7.02</v>
      </c>
      <c r="G90" s="238">
        <f t="shared" si="43"/>
        <v>0.1017391304</v>
      </c>
      <c r="H90" s="243">
        <f t="shared" si="44"/>
        <v>61.98</v>
      </c>
      <c r="I90" s="247">
        <f t="shared" si="45"/>
        <v>8.829059829</v>
      </c>
    </row>
    <row r="91" ht="15.0" customHeight="1">
      <c r="A91" s="181" t="s">
        <v>489</v>
      </c>
      <c r="B91" s="87"/>
      <c r="C91" s="258">
        <v>30.0</v>
      </c>
      <c r="D91" s="258"/>
      <c r="E91" s="93">
        <v>69.0</v>
      </c>
      <c r="F91" s="162">
        <v>5.94</v>
      </c>
      <c r="G91" s="238">
        <f t="shared" si="43"/>
        <v>0.08608695652</v>
      </c>
      <c r="H91" s="243">
        <f t="shared" si="44"/>
        <v>63.06</v>
      </c>
      <c r="I91" s="247">
        <f t="shared" si="45"/>
        <v>10.61616162</v>
      </c>
    </row>
    <row r="92" ht="15.0" customHeight="1">
      <c r="A92" s="181" t="s">
        <v>490</v>
      </c>
      <c r="B92" s="87"/>
      <c r="C92" s="258">
        <v>30.0</v>
      </c>
      <c r="D92" s="258"/>
      <c r="E92" s="93">
        <v>69.0</v>
      </c>
      <c r="F92" s="162">
        <v>5.78</v>
      </c>
      <c r="G92" s="238">
        <f t="shared" si="43"/>
        <v>0.08376811594</v>
      </c>
      <c r="H92" s="243">
        <f t="shared" si="44"/>
        <v>63.22</v>
      </c>
      <c r="I92" s="247">
        <f t="shared" si="45"/>
        <v>10.93771626</v>
      </c>
    </row>
    <row r="93" ht="15.0" customHeight="1">
      <c r="A93" s="181" t="s">
        <v>491</v>
      </c>
      <c r="B93" s="87"/>
      <c r="C93" s="258">
        <v>30.0</v>
      </c>
      <c r="D93" s="258"/>
      <c r="E93" s="93">
        <v>69.0</v>
      </c>
      <c r="F93" s="162">
        <v>3.44</v>
      </c>
      <c r="G93" s="238">
        <f t="shared" si="43"/>
        <v>0.04985507246</v>
      </c>
      <c r="H93" s="243">
        <f t="shared" si="44"/>
        <v>65.56</v>
      </c>
      <c r="I93" s="247">
        <f t="shared" si="45"/>
        <v>19.05813953</v>
      </c>
    </row>
    <row r="94" ht="15.0" customHeight="1">
      <c r="A94" s="181" t="s">
        <v>492</v>
      </c>
      <c r="B94" s="87"/>
      <c r="C94" s="258">
        <v>30.0</v>
      </c>
      <c r="D94" s="258"/>
      <c r="E94" s="93">
        <v>69.0</v>
      </c>
      <c r="F94" s="162">
        <v>7.41</v>
      </c>
      <c r="G94" s="238">
        <f t="shared" si="43"/>
        <v>0.1073913043</v>
      </c>
      <c r="H94" s="243">
        <f t="shared" si="44"/>
        <v>61.59</v>
      </c>
      <c r="I94" s="247">
        <f t="shared" si="45"/>
        <v>8.311740891</v>
      </c>
    </row>
    <row r="95" ht="15.0" customHeight="1">
      <c r="A95" s="253" t="s">
        <v>493</v>
      </c>
      <c r="B95" s="254"/>
      <c r="C95" s="254"/>
      <c r="D95" s="254"/>
      <c r="E95" s="254"/>
      <c r="F95" s="254"/>
      <c r="G95" s="255">
        <f>AVERAGE(G96:G104)</f>
        <v>0.218190414</v>
      </c>
      <c r="H95" s="239"/>
      <c r="I95" s="247"/>
    </row>
    <row r="96" ht="15.0" customHeight="1">
      <c r="A96" s="259" t="s">
        <v>332</v>
      </c>
      <c r="B96" s="268"/>
      <c r="C96" s="258">
        <v>430.0</v>
      </c>
      <c r="D96" s="258" t="s">
        <v>469</v>
      </c>
      <c r="E96" s="93">
        <v>599.0</v>
      </c>
      <c r="F96" s="162">
        <v>119.0</v>
      </c>
      <c r="G96" s="247">
        <f t="shared" ref="G96:G105" si="46">F96/E96</f>
        <v>0.1986644407</v>
      </c>
      <c r="H96" s="243">
        <f t="shared" ref="H96:H105" si="47">E96-F96</f>
        <v>480</v>
      </c>
      <c r="I96" s="247">
        <f t="shared" ref="I96:I105" si="48">E96/F96-1</f>
        <v>4.033613445</v>
      </c>
    </row>
    <row r="97" ht="15.0" customHeight="1">
      <c r="B97" s="268"/>
      <c r="D97" s="258" t="s">
        <v>470</v>
      </c>
      <c r="E97" s="93">
        <v>649.0</v>
      </c>
      <c r="F97" s="162">
        <v>129.0</v>
      </c>
      <c r="G97" s="247">
        <f t="shared" si="46"/>
        <v>0.1987673344</v>
      </c>
      <c r="H97" s="243">
        <f t="shared" si="47"/>
        <v>520</v>
      </c>
      <c r="I97" s="247">
        <f t="shared" si="48"/>
        <v>4.031007752</v>
      </c>
    </row>
    <row r="98" ht="15.0" customHeight="1">
      <c r="A98" s="259" t="s">
        <v>494</v>
      </c>
      <c r="B98" s="268"/>
      <c r="C98" s="258">
        <v>520.0</v>
      </c>
      <c r="D98" s="258" t="s">
        <v>469</v>
      </c>
      <c r="E98" s="93">
        <v>749.0</v>
      </c>
      <c r="F98" s="162">
        <v>155.0</v>
      </c>
      <c r="G98" s="247">
        <f t="shared" si="46"/>
        <v>0.2069425901</v>
      </c>
      <c r="H98" s="243">
        <f t="shared" si="47"/>
        <v>594</v>
      </c>
      <c r="I98" s="247">
        <f t="shared" si="48"/>
        <v>3.832258065</v>
      </c>
    </row>
    <row r="99" ht="15.0" customHeight="1">
      <c r="B99" s="268"/>
      <c r="D99" s="258" t="s">
        <v>470</v>
      </c>
      <c r="E99" s="93">
        <v>799.0</v>
      </c>
      <c r="F99" s="162">
        <v>175.0</v>
      </c>
      <c r="G99" s="247">
        <f t="shared" si="46"/>
        <v>0.2190237797</v>
      </c>
      <c r="H99" s="243">
        <f t="shared" si="47"/>
        <v>624</v>
      </c>
      <c r="I99" s="247">
        <f t="shared" si="48"/>
        <v>3.565714286</v>
      </c>
    </row>
    <row r="100" ht="15.0" customHeight="1">
      <c r="A100" s="259" t="s">
        <v>342</v>
      </c>
      <c r="B100" s="268"/>
      <c r="C100" s="258">
        <v>560.0</v>
      </c>
      <c r="D100" s="258" t="s">
        <v>469</v>
      </c>
      <c r="E100" s="93">
        <v>749.0</v>
      </c>
      <c r="F100" s="162">
        <v>185.0</v>
      </c>
      <c r="G100" s="247">
        <f t="shared" si="46"/>
        <v>0.2469959947</v>
      </c>
      <c r="H100" s="243">
        <f t="shared" si="47"/>
        <v>564</v>
      </c>
      <c r="I100" s="247">
        <f t="shared" si="48"/>
        <v>3.048648649</v>
      </c>
    </row>
    <row r="101" ht="15.0" customHeight="1">
      <c r="B101" s="268"/>
      <c r="D101" s="258" t="s">
        <v>470</v>
      </c>
      <c r="E101" s="93">
        <v>799.0</v>
      </c>
      <c r="F101" s="162">
        <v>198.0</v>
      </c>
      <c r="G101" s="247">
        <f t="shared" si="46"/>
        <v>0.2478097622</v>
      </c>
      <c r="H101" s="243">
        <f t="shared" si="47"/>
        <v>601</v>
      </c>
      <c r="I101" s="247">
        <f t="shared" si="48"/>
        <v>3.035353535</v>
      </c>
    </row>
    <row r="102" ht="15.0" customHeight="1">
      <c r="A102" s="259" t="s">
        <v>335</v>
      </c>
      <c r="B102" s="268"/>
      <c r="C102" s="258">
        <v>520.0</v>
      </c>
      <c r="D102" s="258" t="s">
        <v>469</v>
      </c>
      <c r="E102" s="93">
        <v>749.0</v>
      </c>
      <c r="F102" s="162">
        <v>155.0</v>
      </c>
      <c r="G102" s="247">
        <f t="shared" si="46"/>
        <v>0.2069425901</v>
      </c>
      <c r="H102" s="243">
        <f t="shared" si="47"/>
        <v>594</v>
      </c>
      <c r="I102" s="247">
        <f t="shared" si="48"/>
        <v>3.832258065</v>
      </c>
    </row>
    <row r="103" ht="15.0" customHeight="1">
      <c r="B103" s="268"/>
      <c r="D103" s="258" t="s">
        <v>470</v>
      </c>
      <c r="E103" s="93">
        <v>799.0</v>
      </c>
      <c r="F103" s="162">
        <v>168.0</v>
      </c>
      <c r="G103" s="247">
        <f t="shared" si="46"/>
        <v>0.2102628285</v>
      </c>
      <c r="H103" s="243">
        <f t="shared" si="47"/>
        <v>631</v>
      </c>
      <c r="I103" s="247">
        <f t="shared" si="48"/>
        <v>3.755952381</v>
      </c>
    </row>
    <row r="104" ht="15.0" customHeight="1">
      <c r="A104" s="259" t="s">
        <v>348</v>
      </c>
      <c r="B104" s="268"/>
      <c r="C104" s="258">
        <v>520.0</v>
      </c>
      <c r="D104" s="258" t="s">
        <v>469</v>
      </c>
      <c r="E104" s="93">
        <v>749.0</v>
      </c>
      <c r="F104" s="162">
        <v>171.0</v>
      </c>
      <c r="G104" s="247">
        <f t="shared" si="46"/>
        <v>0.2283044059</v>
      </c>
      <c r="H104" s="243">
        <f t="shared" si="47"/>
        <v>578</v>
      </c>
      <c r="I104" s="247">
        <f t="shared" si="48"/>
        <v>3.380116959</v>
      </c>
    </row>
    <row r="105" ht="15.0" customHeight="1">
      <c r="B105" s="268"/>
      <c r="D105" s="258" t="s">
        <v>470</v>
      </c>
      <c r="E105" s="93">
        <v>799.0</v>
      </c>
      <c r="F105" s="162">
        <v>186.0</v>
      </c>
      <c r="G105" s="247">
        <f t="shared" si="46"/>
        <v>0.2327909887</v>
      </c>
      <c r="H105" s="243">
        <f t="shared" si="47"/>
        <v>613</v>
      </c>
      <c r="I105" s="247">
        <f t="shared" si="48"/>
        <v>3.295698925</v>
      </c>
    </row>
    <row r="106" ht="15.0" customHeight="1">
      <c r="A106" s="253" t="s">
        <v>495</v>
      </c>
      <c r="B106" s="254"/>
      <c r="C106" s="269"/>
      <c r="D106" s="269"/>
      <c r="E106" s="254"/>
      <c r="F106" s="254"/>
      <c r="G106" s="255">
        <f>AVERAGE(G107:G113)</f>
        <v>0.3284081641</v>
      </c>
      <c r="H106" s="239"/>
      <c r="I106" s="247"/>
    </row>
    <row r="107" ht="15.0" customHeight="1">
      <c r="A107" s="270" t="s">
        <v>368</v>
      </c>
      <c r="B107" s="271"/>
      <c r="C107" s="272">
        <v>150.0</v>
      </c>
      <c r="D107" s="258" t="s">
        <v>469</v>
      </c>
      <c r="E107" s="93">
        <v>349.0</v>
      </c>
      <c r="F107" s="273">
        <v>110.0</v>
      </c>
      <c r="G107" s="247">
        <f t="shared" ref="G107:G114" si="49">F107/E107</f>
        <v>0.3151862464</v>
      </c>
      <c r="H107" s="243">
        <f t="shared" ref="H107:H114" si="50">E107-F107</f>
        <v>239</v>
      </c>
      <c r="I107" s="247">
        <f t="shared" ref="I107:I114" si="51">E107/F107-1</f>
        <v>2.172727273</v>
      </c>
    </row>
    <row r="108" ht="15.0" customHeight="1">
      <c r="B108" s="271"/>
      <c r="D108" s="258" t="s">
        <v>470</v>
      </c>
      <c r="E108" s="93">
        <v>349.0</v>
      </c>
      <c r="F108" s="273">
        <v>110.0</v>
      </c>
      <c r="G108" s="247">
        <f t="shared" si="49"/>
        <v>0.3151862464</v>
      </c>
      <c r="H108" s="243">
        <f t="shared" si="50"/>
        <v>239</v>
      </c>
      <c r="I108" s="247">
        <f t="shared" si="51"/>
        <v>2.172727273</v>
      </c>
    </row>
    <row r="109" ht="15.0" customHeight="1">
      <c r="A109" s="259" t="s">
        <v>496</v>
      </c>
      <c r="B109" s="274"/>
      <c r="C109" s="272">
        <v>150.0</v>
      </c>
      <c r="D109" s="258" t="s">
        <v>469</v>
      </c>
      <c r="E109" s="93">
        <v>349.0</v>
      </c>
      <c r="F109" s="162">
        <v>110.0</v>
      </c>
      <c r="G109" s="247">
        <f t="shared" si="49"/>
        <v>0.3151862464</v>
      </c>
      <c r="H109" s="243">
        <f t="shared" si="50"/>
        <v>239</v>
      </c>
      <c r="I109" s="247">
        <f t="shared" si="51"/>
        <v>2.172727273</v>
      </c>
    </row>
    <row r="110" ht="15.0" customHeight="1">
      <c r="B110" s="274"/>
      <c r="D110" s="258" t="s">
        <v>470</v>
      </c>
      <c r="E110" s="93">
        <v>349.0</v>
      </c>
      <c r="F110" s="162">
        <v>110.0</v>
      </c>
      <c r="G110" s="247">
        <f t="shared" si="49"/>
        <v>0.3151862464</v>
      </c>
      <c r="H110" s="243">
        <f t="shared" si="50"/>
        <v>239</v>
      </c>
      <c r="I110" s="247">
        <f t="shared" si="51"/>
        <v>2.172727273</v>
      </c>
    </row>
    <row r="111" ht="15.0" customHeight="1">
      <c r="A111" s="259" t="s">
        <v>375</v>
      </c>
      <c r="B111" s="268"/>
      <c r="C111" s="272">
        <v>135.0</v>
      </c>
      <c r="D111" s="258" t="s">
        <v>469</v>
      </c>
      <c r="E111" s="93">
        <v>389.0</v>
      </c>
      <c r="F111" s="275">
        <v>182.0</v>
      </c>
      <c r="G111" s="247">
        <f t="shared" si="49"/>
        <v>0.4678663239</v>
      </c>
      <c r="H111" s="243">
        <f t="shared" si="50"/>
        <v>207</v>
      </c>
      <c r="I111" s="247">
        <f t="shared" si="51"/>
        <v>1.137362637</v>
      </c>
    </row>
    <row r="112" ht="15.0" customHeight="1">
      <c r="B112" s="268"/>
      <c r="D112" s="258" t="s">
        <v>470</v>
      </c>
      <c r="E112" s="93">
        <v>399.0</v>
      </c>
      <c r="F112" s="275">
        <v>102.0</v>
      </c>
      <c r="G112" s="247">
        <f t="shared" si="49"/>
        <v>0.2556390977</v>
      </c>
      <c r="H112" s="243">
        <f t="shared" si="50"/>
        <v>297</v>
      </c>
      <c r="I112" s="247">
        <f t="shared" si="51"/>
        <v>2.911764706</v>
      </c>
    </row>
    <row r="113" ht="15.0" customHeight="1">
      <c r="A113" s="259" t="s">
        <v>380</v>
      </c>
      <c r="B113" s="268" t="s">
        <v>497</v>
      </c>
      <c r="C113" s="272">
        <v>50.0</v>
      </c>
      <c r="D113" s="258" t="s">
        <v>469</v>
      </c>
      <c r="E113" s="93">
        <v>89.0</v>
      </c>
      <c r="F113" s="275">
        <v>28.0</v>
      </c>
      <c r="G113" s="247">
        <f t="shared" si="49"/>
        <v>0.3146067416</v>
      </c>
      <c r="H113" s="243">
        <f t="shared" si="50"/>
        <v>61</v>
      </c>
      <c r="I113" s="247">
        <f t="shared" si="51"/>
        <v>2.178571429</v>
      </c>
    </row>
    <row r="114" ht="15.0" customHeight="1">
      <c r="B114" s="268"/>
      <c r="D114" s="258" t="s">
        <v>470</v>
      </c>
      <c r="E114" s="93">
        <v>99.0</v>
      </c>
      <c r="F114" s="275">
        <v>23.0</v>
      </c>
      <c r="G114" s="247">
        <f t="shared" si="49"/>
        <v>0.2323232323</v>
      </c>
      <c r="H114" s="243">
        <f t="shared" si="50"/>
        <v>76</v>
      </c>
      <c r="I114" s="247">
        <f t="shared" si="51"/>
        <v>3.304347826</v>
      </c>
    </row>
    <row r="115" ht="15.75" customHeight="1">
      <c r="A115" s="276"/>
    </row>
    <row r="116" ht="15.75" customHeight="1">
      <c r="A116" s="276"/>
    </row>
    <row r="117" ht="15.75" customHeight="1">
      <c r="A117" s="276"/>
    </row>
    <row r="118" ht="15.75" customHeight="1">
      <c r="A118" s="276"/>
    </row>
    <row r="119" ht="15.75" customHeight="1">
      <c r="A119" s="276"/>
    </row>
    <row r="120" ht="15.75" customHeight="1">
      <c r="A120" s="276"/>
    </row>
    <row r="121" ht="15.75" customHeight="1">
      <c r="A121" s="276"/>
    </row>
    <row r="122" ht="15.75" customHeight="1">
      <c r="A122" s="276"/>
    </row>
    <row r="123" ht="15.75" customHeight="1">
      <c r="A123" s="276"/>
    </row>
    <row r="124" ht="15.75" customHeight="1">
      <c r="A124" s="276"/>
    </row>
    <row r="125" ht="15.75" customHeight="1">
      <c r="A125" s="276"/>
    </row>
    <row r="126" ht="15.75" customHeight="1">
      <c r="A126" s="276"/>
    </row>
    <row r="127" ht="15.75" customHeight="1">
      <c r="A127" s="276"/>
    </row>
    <row r="128" ht="15.75" customHeight="1">
      <c r="A128" s="276"/>
    </row>
    <row r="129" ht="15.75" customHeight="1">
      <c r="A129" s="276"/>
    </row>
    <row r="130" ht="15.75" customHeight="1">
      <c r="A130" s="276"/>
    </row>
    <row r="131" ht="15.75" customHeight="1">
      <c r="A131" s="276"/>
    </row>
    <row r="132" ht="15.75" customHeight="1">
      <c r="A132" s="276"/>
    </row>
    <row r="133" ht="15.75" customHeight="1">
      <c r="A133" s="276"/>
    </row>
    <row r="134" ht="15.75" customHeight="1">
      <c r="A134" s="276"/>
    </row>
    <row r="135" ht="15.75" customHeight="1">
      <c r="A135" s="276"/>
    </row>
    <row r="136" ht="15.75" customHeight="1">
      <c r="A136" s="276"/>
    </row>
    <row r="137" ht="15.75" customHeight="1">
      <c r="A137" s="276"/>
    </row>
    <row r="138" ht="15.75" customHeight="1">
      <c r="A138" s="276"/>
    </row>
    <row r="139" ht="15.75" customHeight="1">
      <c r="A139" s="276"/>
    </row>
    <row r="140" ht="15.75" customHeight="1">
      <c r="A140" s="276"/>
    </row>
    <row r="141" ht="15.75" customHeight="1">
      <c r="A141" s="276"/>
    </row>
    <row r="142" ht="15.75" customHeight="1">
      <c r="A142" s="276"/>
    </row>
    <row r="143" ht="15.75" customHeight="1">
      <c r="A143" s="276"/>
    </row>
    <row r="144" ht="15.75" customHeight="1">
      <c r="A144" s="276"/>
    </row>
    <row r="145" ht="15.75" customHeight="1">
      <c r="A145" s="276"/>
    </row>
    <row r="146" ht="15.75" customHeight="1">
      <c r="A146" s="276"/>
    </row>
    <row r="147" ht="15.75" customHeight="1">
      <c r="A147" s="276"/>
    </row>
    <row r="148" ht="15.75" customHeight="1">
      <c r="A148" s="276"/>
    </row>
    <row r="149" ht="15.75" customHeight="1">
      <c r="A149" s="276"/>
    </row>
    <row r="150" ht="15.75" customHeight="1">
      <c r="A150" s="276"/>
    </row>
    <row r="151" ht="15.75" customHeight="1">
      <c r="A151" s="276"/>
    </row>
    <row r="152" ht="15.75" customHeight="1">
      <c r="A152" s="276"/>
    </row>
    <row r="153" ht="15.75" customHeight="1">
      <c r="A153" s="276"/>
    </row>
    <row r="154" ht="15.75" customHeight="1">
      <c r="A154" s="276"/>
    </row>
    <row r="155" ht="15.75" customHeight="1">
      <c r="A155" s="276"/>
    </row>
    <row r="156" ht="15.75" customHeight="1">
      <c r="A156" s="276"/>
    </row>
    <row r="157" ht="15.75" customHeight="1">
      <c r="A157" s="276"/>
    </row>
    <row r="158" ht="15.75" customHeight="1">
      <c r="A158" s="276"/>
    </row>
    <row r="159" ht="15.75" customHeight="1">
      <c r="A159" s="276"/>
    </row>
    <row r="160" ht="15.75" customHeight="1">
      <c r="A160" s="276"/>
    </row>
    <row r="161" ht="15.75" customHeight="1">
      <c r="A161" s="276"/>
    </row>
    <row r="162" ht="15.75" customHeight="1">
      <c r="A162" s="276"/>
    </row>
    <row r="163" ht="15.75" customHeight="1">
      <c r="A163" s="276"/>
    </row>
    <row r="164" ht="15.75" customHeight="1">
      <c r="A164" s="276"/>
    </row>
    <row r="165" ht="15.75" customHeight="1">
      <c r="A165" s="276"/>
    </row>
    <row r="166" ht="15.75" customHeight="1">
      <c r="A166" s="276"/>
    </row>
    <row r="167" ht="15.75" customHeight="1">
      <c r="A167" s="276"/>
    </row>
    <row r="168" ht="15.75" customHeight="1">
      <c r="A168" s="276"/>
    </row>
    <row r="169" ht="15.75" customHeight="1">
      <c r="A169" s="276"/>
    </row>
    <row r="170" ht="15.75" customHeight="1">
      <c r="A170" s="276"/>
    </row>
    <row r="171" ht="15.75" customHeight="1">
      <c r="A171" s="276"/>
    </row>
    <row r="172" ht="15.75" customHeight="1">
      <c r="A172" s="276"/>
    </row>
    <row r="173" ht="15.75" customHeight="1">
      <c r="A173" s="276"/>
    </row>
    <row r="174" ht="15.75" customHeight="1">
      <c r="A174" s="276"/>
    </row>
    <row r="175" ht="15.75" customHeight="1">
      <c r="A175" s="276"/>
    </row>
    <row r="176" ht="15.75" customHeight="1">
      <c r="A176" s="276"/>
    </row>
    <row r="177" ht="15.75" customHeight="1">
      <c r="A177" s="276"/>
    </row>
    <row r="178" ht="15.75" customHeight="1">
      <c r="A178" s="276"/>
    </row>
    <row r="179" ht="15.75" customHeight="1">
      <c r="A179" s="276"/>
    </row>
    <row r="180" ht="15.75" customHeight="1">
      <c r="A180" s="276"/>
    </row>
    <row r="181" ht="15.75" customHeight="1">
      <c r="A181" s="276"/>
    </row>
    <row r="182" ht="15.75" customHeight="1">
      <c r="A182" s="276"/>
    </row>
    <row r="183" ht="15.75" customHeight="1">
      <c r="A183" s="276"/>
    </row>
    <row r="184" ht="15.75" customHeight="1">
      <c r="A184" s="276"/>
    </row>
    <row r="185" ht="15.75" customHeight="1">
      <c r="A185" s="276"/>
    </row>
    <row r="186" ht="15.75" customHeight="1">
      <c r="A186" s="276"/>
    </row>
    <row r="187" ht="15.75" customHeight="1">
      <c r="A187" s="276"/>
    </row>
    <row r="188" ht="15.75" customHeight="1">
      <c r="A188" s="276"/>
    </row>
    <row r="189" ht="15.75" customHeight="1">
      <c r="A189" s="276"/>
    </row>
    <row r="190" ht="15.75" customHeight="1">
      <c r="A190" s="276"/>
    </row>
    <row r="191" ht="15.75" customHeight="1">
      <c r="A191" s="276"/>
    </row>
    <row r="192" ht="15.75" customHeight="1">
      <c r="A192" s="276"/>
    </row>
    <row r="193" ht="15.75" customHeight="1">
      <c r="A193" s="276"/>
    </row>
    <row r="194" ht="15.75" customHeight="1">
      <c r="A194" s="276"/>
    </row>
    <row r="195" ht="15.75" customHeight="1">
      <c r="A195" s="276"/>
    </row>
    <row r="196" ht="15.75" customHeight="1">
      <c r="A196" s="276"/>
    </row>
    <row r="197" ht="15.75" customHeight="1">
      <c r="A197" s="276"/>
    </row>
    <row r="198" ht="15.75" customHeight="1">
      <c r="A198" s="276"/>
    </row>
    <row r="199" ht="15.75" customHeight="1">
      <c r="A199" s="276"/>
    </row>
    <row r="200" ht="15.75" customHeight="1">
      <c r="A200" s="276"/>
    </row>
    <row r="201" ht="15.75" customHeight="1">
      <c r="A201" s="276"/>
    </row>
    <row r="202" ht="15.75" customHeight="1">
      <c r="A202" s="276"/>
    </row>
    <row r="203" ht="15.75" customHeight="1">
      <c r="A203" s="276"/>
    </row>
    <row r="204" ht="15.75" customHeight="1">
      <c r="A204" s="276"/>
    </row>
    <row r="205" ht="15.75" customHeight="1">
      <c r="A205" s="276"/>
    </row>
    <row r="206" ht="15.75" customHeight="1">
      <c r="A206" s="276"/>
    </row>
    <row r="207" ht="15.75" customHeight="1">
      <c r="A207" s="276"/>
    </row>
    <row r="208" ht="15.75" customHeight="1">
      <c r="A208" s="276"/>
    </row>
    <row r="209" ht="15.75" customHeight="1">
      <c r="A209" s="276"/>
    </row>
    <row r="210" ht="15.75" customHeight="1">
      <c r="A210" s="276"/>
    </row>
    <row r="211" ht="15.75" customHeight="1">
      <c r="A211" s="276"/>
    </row>
    <row r="212" ht="15.75" customHeight="1">
      <c r="A212" s="276"/>
    </row>
    <row r="213" ht="15.75" customHeight="1">
      <c r="A213" s="276"/>
    </row>
    <row r="214" ht="15.75" customHeight="1">
      <c r="A214" s="276"/>
    </row>
    <row r="215" ht="15.75" customHeight="1">
      <c r="A215" s="276"/>
    </row>
    <row r="216" ht="15.75" customHeight="1">
      <c r="A216" s="276"/>
    </row>
    <row r="217" ht="15.75" customHeight="1">
      <c r="A217" s="276"/>
    </row>
    <row r="218" ht="15.75" customHeight="1">
      <c r="A218" s="276"/>
    </row>
    <row r="219" ht="15.75" customHeight="1">
      <c r="A219" s="276"/>
    </row>
    <row r="220" ht="15.75" customHeight="1">
      <c r="A220" s="276"/>
    </row>
    <row r="221" ht="15.75" customHeight="1">
      <c r="A221" s="276"/>
    </row>
    <row r="222" ht="15.75" customHeight="1">
      <c r="A222" s="276"/>
    </row>
    <row r="223" ht="15.75" customHeight="1">
      <c r="A223" s="276"/>
    </row>
    <row r="224" ht="15.75" customHeight="1">
      <c r="A224" s="276"/>
    </row>
    <row r="225" ht="15.75" customHeight="1">
      <c r="A225" s="276"/>
    </row>
    <row r="226" ht="15.75" customHeight="1">
      <c r="A226" s="276"/>
    </row>
    <row r="227" ht="15.75" customHeight="1">
      <c r="A227" s="276"/>
    </row>
    <row r="228" ht="15.75" customHeight="1">
      <c r="A228" s="276"/>
    </row>
    <row r="229" ht="15.75" customHeight="1">
      <c r="A229" s="276"/>
    </row>
    <row r="230" ht="15.75" customHeight="1">
      <c r="A230" s="276"/>
    </row>
    <row r="231" ht="15.75" customHeight="1">
      <c r="A231" s="276"/>
    </row>
    <row r="232" ht="15.75" customHeight="1">
      <c r="A232" s="276"/>
    </row>
    <row r="233" ht="15.75" customHeight="1">
      <c r="A233" s="276"/>
    </row>
    <row r="234" ht="15.75" customHeight="1">
      <c r="A234" s="276"/>
    </row>
    <row r="235" ht="15.75" customHeight="1">
      <c r="A235" s="276"/>
    </row>
    <row r="236" ht="15.75" customHeight="1">
      <c r="A236" s="276"/>
    </row>
    <row r="237" ht="15.75" customHeight="1">
      <c r="A237" s="276"/>
    </row>
    <row r="238" ht="15.75" customHeight="1">
      <c r="A238" s="276"/>
    </row>
    <row r="239" ht="15.75" customHeight="1">
      <c r="A239" s="276"/>
    </row>
    <row r="240" ht="15.75" customHeight="1">
      <c r="A240" s="276"/>
    </row>
    <row r="241" ht="15.75" customHeight="1">
      <c r="A241" s="276"/>
    </row>
    <row r="242" ht="15.75" customHeight="1">
      <c r="A242" s="276"/>
    </row>
    <row r="243" ht="15.75" customHeight="1">
      <c r="A243" s="276"/>
    </row>
    <row r="244" ht="15.75" customHeight="1">
      <c r="A244" s="276"/>
    </row>
    <row r="245" ht="15.75" customHeight="1">
      <c r="A245" s="276"/>
    </row>
    <row r="246" ht="15.75" customHeight="1">
      <c r="A246" s="276"/>
    </row>
    <row r="247" ht="15.75" customHeight="1">
      <c r="A247" s="276"/>
    </row>
    <row r="248" ht="15.75" customHeight="1">
      <c r="A248" s="276"/>
    </row>
    <row r="249" ht="15.75" customHeight="1">
      <c r="A249" s="276"/>
    </row>
    <row r="250" ht="15.75" customHeight="1">
      <c r="A250" s="276"/>
    </row>
    <row r="251" ht="15.75" customHeight="1">
      <c r="A251" s="276"/>
    </row>
    <row r="252" ht="15.75" customHeight="1">
      <c r="A252" s="276"/>
    </row>
    <row r="253" ht="15.75" customHeight="1">
      <c r="A253" s="276"/>
    </row>
    <row r="254" ht="15.75" customHeight="1">
      <c r="A254" s="276"/>
    </row>
    <row r="255" ht="15.75" customHeight="1">
      <c r="A255" s="276"/>
    </row>
    <row r="256" ht="15.75" customHeight="1">
      <c r="A256" s="276"/>
    </row>
    <row r="257" ht="15.75" customHeight="1">
      <c r="A257" s="276"/>
    </row>
    <row r="258" ht="15.75" customHeight="1">
      <c r="A258" s="276"/>
    </row>
    <row r="259" ht="15.75" customHeight="1">
      <c r="A259" s="276"/>
    </row>
    <row r="260" ht="15.75" customHeight="1">
      <c r="A260" s="276"/>
    </row>
    <row r="261" ht="15.75" customHeight="1">
      <c r="A261" s="276"/>
    </row>
    <row r="262" ht="15.75" customHeight="1">
      <c r="A262" s="276"/>
    </row>
    <row r="263" ht="15.75" customHeight="1">
      <c r="A263" s="276"/>
    </row>
    <row r="264" ht="15.75" customHeight="1">
      <c r="A264" s="276"/>
    </row>
    <row r="265" ht="15.75" customHeight="1">
      <c r="A265" s="276"/>
    </row>
    <row r="266" ht="15.75" customHeight="1">
      <c r="A266" s="276"/>
    </row>
    <row r="267" ht="15.75" customHeight="1">
      <c r="A267" s="276"/>
    </row>
    <row r="268" ht="15.75" customHeight="1">
      <c r="A268" s="276"/>
    </row>
    <row r="269" ht="15.75" customHeight="1">
      <c r="A269" s="276"/>
    </row>
    <row r="270" ht="15.75" customHeight="1">
      <c r="A270" s="276"/>
    </row>
    <row r="271" ht="15.75" customHeight="1">
      <c r="A271" s="276"/>
    </row>
    <row r="272" ht="15.75" customHeight="1">
      <c r="A272" s="276"/>
    </row>
    <row r="273" ht="15.75" customHeight="1">
      <c r="A273" s="276"/>
    </row>
    <row r="274" ht="15.75" customHeight="1">
      <c r="A274" s="276"/>
    </row>
    <row r="275" ht="15.75" customHeight="1">
      <c r="A275" s="276"/>
    </row>
    <row r="276" ht="15.75" customHeight="1">
      <c r="A276" s="276"/>
    </row>
    <row r="277" ht="15.75" customHeight="1">
      <c r="A277" s="276"/>
    </row>
    <row r="278" ht="15.75" customHeight="1">
      <c r="A278" s="276"/>
    </row>
    <row r="279" ht="15.75" customHeight="1">
      <c r="A279" s="276"/>
    </row>
    <row r="280" ht="15.75" customHeight="1">
      <c r="A280" s="276"/>
    </row>
    <row r="281" ht="15.75" customHeight="1">
      <c r="A281" s="276"/>
    </row>
    <row r="282" ht="15.75" customHeight="1">
      <c r="A282" s="276"/>
    </row>
    <row r="283" ht="15.75" customHeight="1">
      <c r="A283" s="276"/>
    </row>
    <row r="284" ht="15.75" customHeight="1">
      <c r="A284" s="276"/>
    </row>
    <row r="285" ht="15.75" customHeight="1">
      <c r="A285" s="276"/>
    </row>
    <row r="286" ht="15.75" customHeight="1">
      <c r="A286" s="276"/>
    </row>
    <row r="287" ht="15.75" customHeight="1">
      <c r="A287" s="276"/>
    </row>
    <row r="288" ht="15.75" customHeight="1">
      <c r="A288" s="276"/>
    </row>
    <row r="289" ht="15.75" customHeight="1">
      <c r="A289" s="276"/>
    </row>
    <row r="290" ht="15.75" customHeight="1">
      <c r="A290" s="276"/>
    </row>
    <row r="291" ht="15.75" customHeight="1">
      <c r="A291" s="276"/>
    </row>
    <row r="292" ht="15.75" customHeight="1">
      <c r="A292" s="276"/>
    </row>
    <row r="293" ht="15.75" customHeight="1">
      <c r="A293" s="276"/>
    </row>
    <row r="294" ht="15.75" customHeight="1">
      <c r="A294" s="276"/>
    </row>
    <row r="295" ht="15.75" customHeight="1">
      <c r="A295" s="276"/>
    </row>
    <row r="296" ht="15.75" customHeight="1">
      <c r="A296" s="276"/>
    </row>
    <row r="297" ht="15.75" customHeight="1">
      <c r="A297" s="276"/>
    </row>
    <row r="298" ht="15.75" customHeight="1">
      <c r="A298" s="276"/>
    </row>
    <row r="299" ht="15.75" customHeight="1">
      <c r="A299" s="276"/>
    </row>
    <row r="300" ht="15.75" customHeight="1">
      <c r="A300" s="276"/>
    </row>
    <row r="301" ht="15.75" customHeight="1">
      <c r="A301" s="276"/>
    </row>
    <row r="302" ht="15.75" customHeight="1">
      <c r="A302" s="276"/>
    </row>
    <row r="303" ht="15.75" customHeight="1">
      <c r="A303" s="276"/>
    </row>
    <row r="304" ht="15.75" customHeight="1">
      <c r="A304" s="276"/>
    </row>
    <row r="305" ht="15.75" customHeight="1">
      <c r="A305" s="276"/>
    </row>
    <row r="306" ht="15.75" customHeight="1">
      <c r="A306" s="276"/>
    </row>
    <row r="307" ht="15.75" customHeight="1">
      <c r="A307" s="276"/>
    </row>
    <row r="308" ht="15.75" customHeight="1">
      <c r="A308" s="276"/>
    </row>
    <row r="309" ht="15.75" customHeight="1">
      <c r="A309" s="276"/>
    </row>
    <row r="310" ht="15.75" customHeight="1">
      <c r="A310" s="276"/>
    </row>
    <row r="311" ht="15.75" customHeight="1">
      <c r="A311" s="276"/>
    </row>
    <row r="312" ht="15.75" customHeight="1">
      <c r="A312" s="276"/>
    </row>
    <row r="313" ht="15.75" customHeight="1">
      <c r="A313" s="276"/>
    </row>
    <row r="314" ht="15.75" customHeight="1">
      <c r="A314" s="276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14"/>
  <conditionalFormatting sqref="E84:E94 G1:G114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E1 E3:E23 E25:E36 E38:E82 E96:E105 E107:E114">
    <cfRule type="colorScale" priority="2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D3:D23 D25:D36 D38:D82 D96:D105 D107:D114">
      <formula1>"самара/сургут/югра,Москва,тюмень/ижевск"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 outlineLevelRow="2"/>
  <cols>
    <col customWidth="1" min="1" max="1" width="44.57"/>
    <col customWidth="1" min="2" max="2" width="40.86"/>
    <col customWidth="1" min="3" max="4" width="35.86"/>
    <col customWidth="1" min="5" max="5" width="34.86"/>
    <col customWidth="1" min="6" max="8" width="8.43"/>
    <col customWidth="1" min="9" max="9" width="12.43" outlineLevel="1"/>
    <col customWidth="1" min="10" max="10" width="11.0"/>
    <col customWidth="1" min="11" max="13" width="8.43"/>
    <col customWidth="1" min="14" max="14" width="11.86" outlineLevel="1"/>
    <col customWidth="1" min="15" max="16" width="9.86" outlineLevel="1"/>
    <col customWidth="1" min="17" max="18" width="8.43" outlineLevel="1"/>
  </cols>
  <sheetData>
    <row r="1" ht="31.5" customHeight="1">
      <c r="A1" s="277" t="s">
        <v>498</v>
      </c>
      <c r="B1" s="278" t="s">
        <v>499</v>
      </c>
      <c r="C1" s="277" t="s">
        <v>500</v>
      </c>
      <c r="D1" s="278" t="s">
        <v>501</v>
      </c>
      <c r="E1" s="279" t="s">
        <v>114</v>
      </c>
      <c r="F1" s="280" t="s">
        <v>96</v>
      </c>
      <c r="G1" s="281" t="s">
        <v>502</v>
      </c>
      <c r="H1" s="281" t="s">
        <v>503</v>
      </c>
      <c r="I1" s="282" t="s">
        <v>504</v>
      </c>
      <c r="J1" s="283" t="s">
        <v>99</v>
      </c>
      <c r="K1" s="284" t="s">
        <v>100</v>
      </c>
      <c r="L1" s="285" t="s">
        <v>466</v>
      </c>
      <c r="M1" s="286" t="s">
        <v>102</v>
      </c>
      <c r="N1" s="287" t="s">
        <v>505</v>
      </c>
      <c r="O1" s="285" t="s">
        <v>506</v>
      </c>
      <c r="P1" s="285" t="s">
        <v>507</v>
      </c>
      <c r="Q1" s="280"/>
      <c r="R1" s="281"/>
    </row>
    <row r="2" ht="14.25" customHeight="1">
      <c r="A2" s="288"/>
      <c r="B2" s="289"/>
      <c r="C2" s="290"/>
      <c r="D2" s="291"/>
      <c r="E2" s="292"/>
      <c r="F2" s="293"/>
      <c r="G2" s="294"/>
      <c r="H2" s="294"/>
      <c r="I2" s="295"/>
      <c r="J2" s="296"/>
      <c r="K2" s="297"/>
      <c r="L2" s="298"/>
      <c r="M2" s="297"/>
      <c r="N2" s="299"/>
      <c r="O2" s="297"/>
      <c r="P2" s="297"/>
      <c r="Q2" s="300"/>
      <c r="R2" s="301"/>
    </row>
    <row r="3" ht="14.25" customHeight="1">
      <c r="A3" s="288" t="s">
        <v>508</v>
      </c>
      <c r="B3" s="289"/>
      <c r="C3" s="290"/>
      <c r="D3" s="291"/>
      <c r="E3" s="292" t="s">
        <v>114</v>
      </c>
      <c r="F3" s="293"/>
      <c r="G3" s="294"/>
      <c r="H3" s="294"/>
      <c r="I3" s="295"/>
      <c r="J3" s="296"/>
      <c r="K3" s="297"/>
      <c r="L3" s="298"/>
      <c r="M3" s="297"/>
      <c r="N3" s="299"/>
      <c r="O3" s="297"/>
      <c r="P3" s="297"/>
      <c r="Q3" s="300"/>
      <c r="R3" s="301"/>
    </row>
    <row r="4" ht="14.25" customHeight="1">
      <c r="B4" s="289"/>
      <c r="C4" s="290"/>
      <c r="D4" s="291"/>
      <c r="E4" s="292" t="s">
        <v>160</v>
      </c>
      <c r="F4" s="293"/>
      <c r="G4" s="294"/>
      <c r="H4" s="294"/>
      <c r="I4" s="295"/>
      <c r="J4" s="296"/>
      <c r="K4" s="297"/>
      <c r="L4" s="298"/>
      <c r="M4" s="297"/>
      <c r="N4" s="299"/>
      <c r="O4" s="297"/>
      <c r="P4" s="297"/>
      <c r="Q4" s="300"/>
      <c r="R4" s="301"/>
    </row>
    <row r="5" ht="14.25" customHeight="1">
      <c r="B5" s="289"/>
      <c r="C5" s="290"/>
      <c r="D5" s="291"/>
      <c r="E5" s="292" t="s">
        <v>509</v>
      </c>
      <c r="F5" s="293"/>
      <c r="G5" s="294"/>
      <c r="H5" s="294"/>
      <c r="I5" s="295"/>
      <c r="J5" s="296"/>
      <c r="K5" s="297"/>
      <c r="L5" s="298"/>
      <c r="M5" s="297"/>
      <c r="N5" s="299"/>
      <c r="O5" s="297"/>
      <c r="P5" s="297"/>
      <c r="Q5" s="300"/>
      <c r="R5" s="301"/>
    </row>
    <row r="6" ht="14.25" customHeight="1">
      <c r="B6" s="289"/>
      <c r="C6" s="290"/>
      <c r="D6" s="291"/>
      <c r="E6" s="292" t="s">
        <v>510</v>
      </c>
      <c r="F6" s="293"/>
      <c r="G6" s="294"/>
      <c r="H6" s="294"/>
      <c r="I6" s="295"/>
      <c r="J6" s="296"/>
      <c r="K6" s="297"/>
      <c r="L6" s="298"/>
      <c r="M6" s="297"/>
      <c r="N6" s="299"/>
      <c r="O6" s="297"/>
      <c r="P6" s="297"/>
      <c r="Q6" s="300"/>
      <c r="R6" s="301"/>
    </row>
    <row r="7" ht="14.25" customHeight="1">
      <c r="B7" s="289"/>
      <c r="C7" s="290"/>
      <c r="D7" s="291"/>
      <c r="E7" s="292" t="s">
        <v>114</v>
      </c>
      <c r="F7" s="293"/>
      <c r="G7" s="294"/>
      <c r="H7" s="294"/>
      <c r="I7" s="295"/>
      <c r="J7" s="296"/>
      <c r="K7" s="297"/>
      <c r="L7" s="298"/>
      <c r="M7" s="297"/>
      <c r="N7" s="299"/>
      <c r="O7" s="297"/>
      <c r="P7" s="297"/>
      <c r="Q7" s="300"/>
      <c r="R7" s="301"/>
    </row>
    <row r="8" ht="14.25" customHeight="1" outlineLevel="1">
      <c r="A8" s="288" t="s">
        <v>511</v>
      </c>
      <c r="B8" s="289"/>
      <c r="C8" s="288" t="s">
        <v>512</v>
      </c>
      <c r="D8" s="291"/>
      <c r="E8" s="292" t="s">
        <v>159</v>
      </c>
      <c r="F8" s="293"/>
      <c r="G8" s="294"/>
      <c r="H8" s="294"/>
      <c r="I8" s="302"/>
      <c r="J8" s="296"/>
      <c r="K8" s="297"/>
      <c r="L8" s="298"/>
      <c r="M8" s="303"/>
      <c r="N8" s="299"/>
      <c r="O8" s="304"/>
      <c r="P8" s="304"/>
      <c r="Q8" s="300"/>
      <c r="R8" s="294"/>
    </row>
    <row r="9" ht="14.25" customHeight="1" outlineLevel="1">
      <c r="D9" s="305"/>
      <c r="E9" s="292" t="s">
        <v>160</v>
      </c>
      <c r="F9" s="293"/>
      <c r="G9" s="294"/>
      <c r="H9" s="294"/>
      <c r="I9" s="302"/>
      <c r="J9" s="296"/>
      <c r="K9" s="297"/>
      <c r="L9" s="298"/>
      <c r="M9" s="303"/>
      <c r="N9" s="299"/>
      <c r="O9" s="304"/>
      <c r="P9" s="304"/>
      <c r="Q9" s="300"/>
      <c r="R9" s="294"/>
    </row>
    <row r="10" ht="14.25" customHeight="1" outlineLevel="1">
      <c r="D10" s="305"/>
      <c r="E10" s="292" t="s">
        <v>509</v>
      </c>
      <c r="F10" s="293"/>
      <c r="G10" s="294"/>
      <c r="H10" s="294"/>
      <c r="I10" s="302"/>
      <c r="J10" s="296"/>
      <c r="K10" s="297"/>
      <c r="L10" s="298"/>
      <c r="M10" s="303"/>
      <c r="N10" s="299"/>
      <c r="O10" s="304"/>
      <c r="P10" s="304"/>
      <c r="Q10" s="300"/>
      <c r="R10" s="294"/>
    </row>
    <row r="11" ht="14.25" customHeight="1" outlineLevel="1">
      <c r="D11" s="305"/>
      <c r="E11" s="306" t="s">
        <v>510</v>
      </c>
      <c r="F11" s="293"/>
      <c r="G11" s="294"/>
      <c r="H11" s="294"/>
      <c r="I11" s="302"/>
      <c r="J11" s="296"/>
      <c r="K11" s="297"/>
      <c r="L11" s="298"/>
      <c r="M11" s="303"/>
      <c r="N11" s="299"/>
      <c r="O11" s="304"/>
      <c r="P11" s="304"/>
      <c r="Q11" s="300"/>
      <c r="R11" s="294"/>
    </row>
    <row r="12" ht="14.25" customHeight="1" outlineLevel="1">
      <c r="B12" s="289"/>
      <c r="C12" s="288"/>
      <c r="D12" s="291"/>
      <c r="E12" s="306" t="s">
        <v>114</v>
      </c>
      <c r="F12" s="293"/>
      <c r="G12" s="294"/>
      <c r="H12" s="294"/>
      <c r="I12" s="302"/>
      <c r="J12" s="296"/>
      <c r="K12" s="297"/>
      <c r="L12" s="298"/>
      <c r="M12" s="303"/>
      <c r="N12" s="299"/>
      <c r="O12" s="304"/>
      <c r="P12" s="304"/>
      <c r="Q12" s="300"/>
      <c r="R12" s="294"/>
    </row>
    <row r="13" ht="14.25" customHeight="1" outlineLevel="2">
      <c r="A13" s="307" t="s">
        <v>513</v>
      </c>
      <c r="B13" s="307"/>
      <c r="C13" s="307" t="s">
        <v>513</v>
      </c>
      <c r="D13" s="308"/>
      <c r="E13" s="309" t="s">
        <v>159</v>
      </c>
      <c r="F13" s="310">
        <v>500.0</v>
      </c>
      <c r="G13" s="311">
        <v>269.0</v>
      </c>
      <c r="H13" s="311">
        <v>269.0</v>
      </c>
      <c r="I13" s="312" t="str">
        <f t="shared" ref="I13:I14" si="1">G13/R13</f>
        <v>#DIV/0!</v>
      </c>
      <c r="J13" s="313">
        <v>17.0</v>
      </c>
      <c r="K13" s="314">
        <f t="shared" ref="K13:K22" si="2">J13/G13</f>
        <v>0.06319702602</v>
      </c>
      <c r="L13" s="315">
        <f t="shared" ref="L13:L22" si="3">Q13-J13</f>
        <v>-17</v>
      </c>
      <c r="M13" s="316">
        <f t="shared" ref="M13:M22" si="4">Q13/J13-1</f>
        <v>-1</v>
      </c>
      <c r="N13" s="317"/>
      <c r="O13" s="318" t="s">
        <v>112</v>
      </c>
      <c r="P13" s="318" t="s">
        <v>112</v>
      </c>
      <c r="Q13" s="319"/>
      <c r="R13" s="311"/>
    </row>
    <row r="14" ht="14.25" customHeight="1" outlineLevel="2">
      <c r="D14" s="305"/>
      <c r="E14" s="309" t="s">
        <v>509</v>
      </c>
      <c r="F14" s="310">
        <v>500.0</v>
      </c>
      <c r="G14" s="311">
        <v>289.0</v>
      </c>
      <c r="H14" s="311">
        <v>289.0</v>
      </c>
      <c r="I14" s="312" t="str">
        <f t="shared" si="1"/>
        <v>#DIV/0!</v>
      </c>
      <c r="J14" s="313">
        <v>17.0</v>
      </c>
      <c r="K14" s="314">
        <f t="shared" si="2"/>
        <v>0.05882352941</v>
      </c>
      <c r="L14" s="315">
        <f t="shared" si="3"/>
        <v>-17</v>
      </c>
      <c r="M14" s="316">
        <f t="shared" si="4"/>
        <v>-1</v>
      </c>
      <c r="N14" s="317"/>
      <c r="O14" s="318"/>
      <c r="P14" s="318"/>
      <c r="Q14" s="319"/>
      <c r="R14" s="311"/>
    </row>
    <row r="15" ht="14.25" customHeight="1" outlineLevel="2">
      <c r="B15" s="307"/>
      <c r="D15" s="308"/>
      <c r="E15" s="309" t="s">
        <v>510</v>
      </c>
      <c r="F15" s="310">
        <v>500.0</v>
      </c>
      <c r="G15" s="311">
        <v>289.0</v>
      </c>
      <c r="H15" s="311">
        <v>289.0</v>
      </c>
      <c r="I15" s="312"/>
      <c r="J15" s="313">
        <v>26.0</v>
      </c>
      <c r="K15" s="314">
        <f t="shared" si="2"/>
        <v>0.08996539792</v>
      </c>
      <c r="L15" s="315">
        <f t="shared" si="3"/>
        <v>-26</v>
      </c>
      <c r="M15" s="316">
        <f t="shared" si="4"/>
        <v>-1</v>
      </c>
      <c r="N15" s="317"/>
      <c r="O15" s="318"/>
      <c r="P15" s="318"/>
      <c r="Q15" s="319"/>
      <c r="R15" s="311"/>
    </row>
    <row r="16" ht="14.25" customHeight="1" outlineLevel="2">
      <c r="B16" s="307"/>
      <c r="C16" s="307"/>
      <c r="D16" s="308"/>
      <c r="E16" s="309" t="s">
        <v>114</v>
      </c>
      <c r="F16" s="310">
        <v>500.0</v>
      </c>
      <c r="G16" s="311">
        <v>329.0</v>
      </c>
      <c r="H16" s="311"/>
      <c r="I16" s="312"/>
      <c r="J16" s="313">
        <v>26.0</v>
      </c>
      <c r="K16" s="314">
        <f t="shared" si="2"/>
        <v>0.07902735562</v>
      </c>
      <c r="L16" s="315">
        <f t="shared" si="3"/>
        <v>-26</v>
      </c>
      <c r="M16" s="316">
        <f t="shared" si="4"/>
        <v>-1</v>
      </c>
      <c r="N16" s="317"/>
      <c r="O16" s="318"/>
      <c r="P16" s="318"/>
      <c r="Q16" s="319"/>
      <c r="R16" s="311"/>
    </row>
    <row r="17" ht="14.25" customHeight="1" outlineLevel="2">
      <c r="A17" s="307" t="s">
        <v>514</v>
      </c>
      <c r="B17" s="307"/>
      <c r="C17" s="307" t="s">
        <v>514</v>
      </c>
      <c r="D17" s="308"/>
      <c r="E17" s="309" t="s">
        <v>159</v>
      </c>
      <c r="F17" s="310">
        <v>500.0</v>
      </c>
      <c r="G17" s="311">
        <v>269.0</v>
      </c>
      <c r="H17" s="311">
        <v>269.0</v>
      </c>
      <c r="I17" s="312" t="str">
        <f>G17/R17</f>
        <v>#DIV/0!</v>
      </c>
      <c r="J17" s="313">
        <v>17.0</v>
      </c>
      <c r="K17" s="314">
        <f t="shared" si="2"/>
        <v>0.06319702602</v>
      </c>
      <c r="L17" s="315">
        <f t="shared" si="3"/>
        <v>-17</v>
      </c>
      <c r="M17" s="316">
        <f t="shared" si="4"/>
        <v>-1</v>
      </c>
      <c r="N17" s="317"/>
      <c r="O17" s="318" t="s">
        <v>112</v>
      </c>
      <c r="P17" s="318" t="s">
        <v>112</v>
      </c>
      <c r="Q17" s="319"/>
      <c r="R17" s="311"/>
    </row>
    <row r="18" ht="14.25" customHeight="1" outlineLevel="2">
      <c r="B18" s="307"/>
      <c r="D18" s="308"/>
      <c r="E18" s="309" t="s">
        <v>160</v>
      </c>
      <c r="F18" s="310">
        <v>500.0</v>
      </c>
      <c r="G18" s="311">
        <v>269.0</v>
      </c>
      <c r="H18" s="311">
        <v>259.0</v>
      </c>
      <c r="I18" s="312"/>
      <c r="J18" s="313">
        <v>17.0</v>
      </c>
      <c r="K18" s="314">
        <f t="shared" si="2"/>
        <v>0.06319702602</v>
      </c>
      <c r="L18" s="315">
        <f t="shared" si="3"/>
        <v>-17</v>
      </c>
      <c r="M18" s="316">
        <f t="shared" si="4"/>
        <v>-1</v>
      </c>
      <c r="N18" s="317"/>
      <c r="O18" s="318"/>
      <c r="P18" s="318"/>
      <c r="Q18" s="319"/>
      <c r="R18" s="311"/>
    </row>
    <row r="19" ht="14.25" customHeight="1" outlineLevel="2">
      <c r="B19" s="307"/>
      <c r="D19" s="308"/>
      <c r="E19" s="309" t="s">
        <v>509</v>
      </c>
      <c r="F19" s="310">
        <v>500.0</v>
      </c>
      <c r="G19" s="311">
        <v>289.0</v>
      </c>
      <c r="H19" s="311">
        <v>279.0</v>
      </c>
      <c r="I19" s="312"/>
      <c r="J19" s="313">
        <v>17.0</v>
      </c>
      <c r="K19" s="314">
        <f t="shared" si="2"/>
        <v>0.05882352941</v>
      </c>
      <c r="L19" s="315">
        <f t="shared" si="3"/>
        <v>-17</v>
      </c>
      <c r="M19" s="316">
        <f t="shared" si="4"/>
        <v>-1</v>
      </c>
      <c r="N19" s="317"/>
      <c r="O19" s="318"/>
      <c r="P19" s="318"/>
      <c r="Q19" s="319"/>
      <c r="R19" s="311"/>
    </row>
    <row r="20" ht="14.25" customHeight="1" outlineLevel="2">
      <c r="B20" s="307"/>
      <c r="D20" s="308"/>
      <c r="E20" s="309" t="s">
        <v>510</v>
      </c>
      <c r="F20" s="310">
        <v>500.0</v>
      </c>
      <c r="G20" s="311">
        <v>289.0</v>
      </c>
      <c r="H20" s="311">
        <v>289.0</v>
      </c>
      <c r="I20" s="312"/>
      <c r="J20" s="313">
        <v>26.0</v>
      </c>
      <c r="K20" s="314">
        <f t="shared" si="2"/>
        <v>0.08996539792</v>
      </c>
      <c r="L20" s="315">
        <f t="shared" si="3"/>
        <v>-26</v>
      </c>
      <c r="M20" s="316">
        <f t="shared" si="4"/>
        <v>-1</v>
      </c>
      <c r="N20" s="317"/>
      <c r="O20" s="318"/>
      <c r="P20" s="318"/>
      <c r="Q20" s="319"/>
      <c r="R20" s="311"/>
    </row>
    <row r="21" ht="14.25" customHeight="1" outlineLevel="2">
      <c r="B21" s="307"/>
      <c r="C21" s="307"/>
      <c r="D21" s="308"/>
      <c r="E21" s="309" t="s">
        <v>114</v>
      </c>
      <c r="F21" s="310">
        <v>500.0</v>
      </c>
      <c r="G21" s="311">
        <v>329.0</v>
      </c>
      <c r="H21" s="311"/>
      <c r="I21" s="312"/>
      <c r="J21" s="313">
        <v>26.0</v>
      </c>
      <c r="K21" s="314">
        <f t="shared" si="2"/>
        <v>0.07902735562</v>
      </c>
      <c r="L21" s="315">
        <f t="shared" si="3"/>
        <v>-26</v>
      </c>
      <c r="M21" s="316">
        <f t="shared" si="4"/>
        <v>-1</v>
      </c>
      <c r="N21" s="317"/>
      <c r="O21" s="318"/>
      <c r="P21" s="318"/>
      <c r="Q21" s="319"/>
      <c r="R21" s="311"/>
    </row>
    <row r="22" ht="14.25" customHeight="1" outlineLevel="2">
      <c r="A22" s="307" t="s">
        <v>515</v>
      </c>
      <c r="B22" s="307"/>
      <c r="C22" s="307" t="s">
        <v>515</v>
      </c>
      <c r="D22" s="308"/>
      <c r="E22" s="309" t="s">
        <v>160</v>
      </c>
      <c r="F22" s="310">
        <v>500.0</v>
      </c>
      <c r="G22" s="301">
        <v>269.0</v>
      </c>
      <c r="H22" s="301">
        <v>259.0</v>
      </c>
      <c r="I22" s="301">
        <v>249.0</v>
      </c>
      <c r="J22" s="313">
        <v>17.0</v>
      </c>
      <c r="K22" s="314">
        <f t="shared" si="2"/>
        <v>0.06319702602</v>
      </c>
      <c r="L22" s="315">
        <f t="shared" si="3"/>
        <v>-17</v>
      </c>
      <c r="M22" s="316">
        <f t="shared" si="4"/>
        <v>-1</v>
      </c>
      <c r="N22" s="320"/>
      <c r="O22" s="318" t="s">
        <v>112</v>
      </c>
      <c r="P22" s="319">
        <v>249.0</v>
      </c>
      <c r="Q22" s="321"/>
      <c r="R22" s="321"/>
    </row>
    <row r="23" ht="14.25" customHeight="1" outlineLevel="1">
      <c r="A23" s="288" t="s">
        <v>516</v>
      </c>
      <c r="B23" s="289"/>
      <c r="C23" s="288" t="s">
        <v>517</v>
      </c>
      <c r="D23" s="291"/>
      <c r="E23" s="322" t="s">
        <v>159</v>
      </c>
      <c r="F23" s="323"/>
      <c r="G23" s="294"/>
      <c r="H23" s="294"/>
      <c r="I23" s="324"/>
      <c r="J23" s="325"/>
      <c r="K23" s="297"/>
      <c r="L23" s="326"/>
      <c r="M23" s="297"/>
      <c r="N23" s="299"/>
      <c r="O23" s="297"/>
      <c r="P23" s="297"/>
      <c r="Q23" s="300"/>
      <c r="R23" s="301"/>
    </row>
    <row r="24" ht="14.25" customHeight="1" outlineLevel="1">
      <c r="B24" s="289"/>
      <c r="D24" s="291"/>
      <c r="E24" s="322" t="s">
        <v>160</v>
      </c>
      <c r="F24" s="323"/>
      <c r="G24" s="294"/>
      <c r="H24" s="294"/>
      <c r="I24" s="324"/>
      <c r="J24" s="325"/>
      <c r="K24" s="297"/>
      <c r="L24" s="326"/>
      <c r="M24" s="297"/>
      <c r="N24" s="299"/>
      <c r="O24" s="297"/>
      <c r="P24" s="297"/>
      <c r="Q24" s="300"/>
      <c r="R24" s="301"/>
    </row>
    <row r="25" ht="14.25" customHeight="1" outlineLevel="1">
      <c r="B25" s="289"/>
      <c r="D25" s="291"/>
      <c r="E25" s="322" t="s">
        <v>509</v>
      </c>
      <c r="F25" s="323"/>
      <c r="G25" s="294"/>
      <c r="H25" s="294"/>
      <c r="I25" s="324"/>
      <c r="J25" s="325"/>
      <c r="K25" s="297"/>
      <c r="L25" s="326"/>
      <c r="M25" s="297"/>
      <c r="N25" s="299"/>
      <c r="O25" s="297"/>
      <c r="P25" s="297"/>
      <c r="Q25" s="300"/>
      <c r="R25" s="301"/>
    </row>
    <row r="26" ht="14.25" customHeight="1" outlineLevel="1">
      <c r="B26" s="289"/>
      <c r="D26" s="291"/>
      <c r="E26" s="322" t="s">
        <v>510</v>
      </c>
      <c r="F26" s="323"/>
      <c r="G26" s="294"/>
      <c r="H26" s="294"/>
      <c r="I26" s="324"/>
      <c r="J26" s="325"/>
      <c r="K26" s="297"/>
      <c r="L26" s="326"/>
      <c r="M26" s="297"/>
      <c r="N26" s="299"/>
      <c r="O26" s="297"/>
      <c r="P26" s="297"/>
      <c r="Q26" s="300"/>
      <c r="R26" s="301"/>
    </row>
    <row r="27" ht="14.25" customHeight="1" outlineLevel="1">
      <c r="B27" s="289"/>
      <c r="C27" s="288"/>
      <c r="D27" s="291"/>
      <c r="E27" s="322" t="s">
        <v>114</v>
      </c>
      <c r="F27" s="323"/>
      <c r="G27" s="294"/>
      <c r="H27" s="294"/>
      <c r="I27" s="324"/>
      <c r="J27" s="325"/>
      <c r="K27" s="297"/>
      <c r="L27" s="326"/>
      <c r="M27" s="297"/>
      <c r="N27" s="299"/>
      <c r="O27" s="297"/>
      <c r="P27" s="297"/>
      <c r="Q27" s="300"/>
      <c r="R27" s="301"/>
    </row>
    <row r="28" ht="14.25" customHeight="1" outlineLevel="2">
      <c r="A28" s="307" t="s">
        <v>518</v>
      </c>
      <c r="B28" s="327"/>
      <c r="C28" s="307" t="s">
        <v>518</v>
      </c>
      <c r="D28" s="308"/>
      <c r="E28" s="309" t="s">
        <v>159</v>
      </c>
      <c r="F28" s="310">
        <v>500.0</v>
      </c>
      <c r="G28" s="311">
        <v>269.0</v>
      </c>
      <c r="H28" s="311">
        <v>269.0</v>
      </c>
      <c r="I28" s="312" t="str">
        <f>G28/R28</f>
        <v>#DIV/0!</v>
      </c>
      <c r="J28" s="313">
        <v>17.0</v>
      </c>
      <c r="K28" s="314">
        <f t="shared" ref="K28:K42" si="5">J28/G28</f>
        <v>0.06319702602</v>
      </c>
      <c r="L28" s="315">
        <f t="shared" ref="L28:L42" si="6">Q28-J28</f>
        <v>-17</v>
      </c>
      <c r="M28" s="316">
        <f t="shared" ref="M28:M42" si="7">Q28/J28-1</f>
        <v>-1</v>
      </c>
      <c r="N28" s="317"/>
      <c r="O28" s="318" t="s">
        <v>112</v>
      </c>
      <c r="P28" s="318" t="s">
        <v>112</v>
      </c>
      <c r="Q28" s="319"/>
      <c r="R28" s="311"/>
    </row>
    <row r="29" ht="14.25" customHeight="1" outlineLevel="2">
      <c r="B29" s="327"/>
      <c r="D29" s="308"/>
      <c r="E29" s="309" t="s">
        <v>160</v>
      </c>
      <c r="F29" s="310">
        <v>500.0</v>
      </c>
      <c r="G29" s="311">
        <v>269.0</v>
      </c>
      <c r="H29" s="311">
        <v>259.0</v>
      </c>
      <c r="I29" s="312"/>
      <c r="J29" s="313">
        <v>17.0</v>
      </c>
      <c r="K29" s="314">
        <f t="shared" si="5"/>
        <v>0.06319702602</v>
      </c>
      <c r="L29" s="315">
        <f t="shared" si="6"/>
        <v>-17</v>
      </c>
      <c r="M29" s="316">
        <f t="shared" si="7"/>
        <v>-1</v>
      </c>
      <c r="N29" s="317"/>
      <c r="O29" s="318"/>
      <c r="P29" s="318"/>
      <c r="Q29" s="319"/>
      <c r="R29" s="311"/>
    </row>
    <row r="30" ht="14.25" customHeight="1" outlineLevel="2">
      <c r="B30" s="327"/>
      <c r="D30" s="308"/>
      <c r="E30" s="309" t="s">
        <v>509</v>
      </c>
      <c r="F30" s="310">
        <v>500.0</v>
      </c>
      <c r="G30" s="311">
        <v>289.0</v>
      </c>
      <c r="H30" s="311">
        <v>279.0</v>
      </c>
      <c r="I30" s="312"/>
      <c r="J30" s="313">
        <v>17.0</v>
      </c>
      <c r="K30" s="314">
        <f t="shared" si="5"/>
        <v>0.05882352941</v>
      </c>
      <c r="L30" s="315">
        <f t="shared" si="6"/>
        <v>-17</v>
      </c>
      <c r="M30" s="316">
        <f t="shared" si="7"/>
        <v>-1</v>
      </c>
      <c r="N30" s="317"/>
      <c r="O30" s="318"/>
      <c r="P30" s="318"/>
      <c r="Q30" s="319"/>
      <c r="R30" s="311"/>
    </row>
    <row r="31" ht="14.25" customHeight="1" outlineLevel="2">
      <c r="B31" s="327"/>
      <c r="D31" s="308"/>
      <c r="E31" s="309" t="s">
        <v>510</v>
      </c>
      <c r="F31" s="310">
        <v>500.0</v>
      </c>
      <c r="G31" s="311">
        <v>289.0</v>
      </c>
      <c r="H31" s="311">
        <v>289.0</v>
      </c>
      <c r="I31" s="312"/>
      <c r="J31" s="313">
        <v>26.0</v>
      </c>
      <c r="K31" s="314">
        <f t="shared" si="5"/>
        <v>0.08996539792</v>
      </c>
      <c r="L31" s="315">
        <f t="shared" si="6"/>
        <v>-26</v>
      </c>
      <c r="M31" s="316">
        <f t="shared" si="7"/>
        <v>-1</v>
      </c>
      <c r="N31" s="317"/>
      <c r="O31" s="318"/>
      <c r="P31" s="318"/>
      <c r="Q31" s="319"/>
      <c r="R31" s="311"/>
    </row>
    <row r="32" ht="14.25" customHeight="1" outlineLevel="2">
      <c r="B32" s="327"/>
      <c r="C32" s="307"/>
      <c r="D32" s="308"/>
      <c r="E32" s="309" t="s">
        <v>114</v>
      </c>
      <c r="F32" s="310">
        <v>500.0</v>
      </c>
      <c r="G32" s="311">
        <v>329.0</v>
      </c>
      <c r="H32" s="311"/>
      <c r="I32" s="312"/>
      <c r="J32" s="313">
        <v>26.0</v>
      </c>
      <c r="K32" s="314">
        <f t="shared" si="5"/>
        <v>0.07902735562</v>
      </c>
      <c r="L32" s="315">
        <f t="shared" si="6"/>
        <v>-26</v>
      </c>
      <c r="M32" s="316">
        <f t="shared" si="7"/>
        <v>-1</v>
      </c>
      <c r="N32" s="317"/>
      <c r="O32" s="318"/>
      <c r="P32" s="318"/>
      <c r="Q32" s="319"/>
      <c r="R32" s="311"/>
    </row>
    <row r="33" ht="14.25" customHeight="1" outlineLevel="2">
      <c r="A33" s="307" t="s">
        <v>519</v>
      </c>
      <c r="B33" s="307"/>
      <c r="C33" s="307" t="s">
        <v>519</v>
      </c>
      <c r="D33" s="308"/>
      <c r="E33" s="309" t="s">
        <v>159</v>
      </c>
      <c r="F33" s="310">
        <v>500.0</v>
      </c>
      <c r="G33" s="311">
        <v>269.0</v>
      </c>
      <c r="H33" s="311">
        <v>269.0</v>
      </c>
      <c r="I33" s="312" t="str">
        <f>G33/R33</f>
        <v>#DIV/0!</v>
      </c>
      <c r="J33" s="313">
        <v>17.0</v>
      </c>
      <c r="K33" s="314">
        <f t="shared" si="5"/>
        <v>0.06319702602</v>
      </c>
      <c r="L33" s="315">
        <f t="shared" si="6"/>
        <v>-17</v>
      </c>
      <c r="M33" s="316">
        <f t="shared" si="7"/>
        <v>-1</v>
      </c>
      <c r="N33" s="317"/>
      <c r="O33" s="318" t="s">
        <v>112</v>
      </c>
      <c r="P33" s="318" t="s">
        <v>112</v>
      </c>
      <c r="Q33" s="319"/>
      <c r="R33" s="311"/>
    </row>
    <row r="34" ht="14.25" customHeight="1" outlineLevel="2">
      <c r="B34" s="307"/>
      <c r="D34" s="308"/>
      <c r="E34" s="309" t="s">
        <v>160</v>
      </c>
      <c r="F34" s="310">
        <v>500.0</v>
      </c>
      <c r="G34" s="311">
        <v>269.0</v>
      </c>
      <c r="H34" s="311">
        <v>259.0</v>
      </c>
      <c r="I34" s="312"/>
      <c r="J34" s="313">
        <v>17.0</v>
      </c>
      <c r="K34" s="314">
        <f t="shared" si="5"/>
        <v>0.06319702602</v>
      </c>
      <c r="L34" s="315">
        <f t="shared" si="6"/>
        <v>-17</v>
      </c>
      <c r="M34" s="316">
        <f t="shared" si="7"/>
        <v>-1</v>
      </c>
      <c r="N34" s="317"/>
      <c r="O34" s="318"/>
      <c r="P34" s="318"/>
      <c r="Q34" s="319"/>
      <c r="R34" s="311"/>
    </row>
    <row r="35" ht="14.25" customHeight="1" outlineLevel="2">
      <c r="B35" s="307"/>
      <c r="D35" s="308"/>
      <c r="E35" s="309" t="s">
        <v>509</v>
      </c>
      <c r="F35" s="310">
        <v>500.0</v>
      </c>
      <c r="G35" s="311">
        <v>289.0</v>
      </c>
      <c r="H35" s="311">
        <v>279.0</v>
      </c>
      <c r="I35" s="312"/>
      <c r="J35" s="313">
        <v>17.0</v>
      </c>
      <c r="K35" s="314">
        <f t="shared" si="5"/>
        <v>0.05882352941</v>
      </c>
      <c r="L35" s="315">
        <f t="shared" si="6"/>
        <v>-17</v>
      </c>
      <c r="M35" s="316">
        <f t="shared" si="7"/>
        <v>-1</v>
      </c>
      <c r="N35" s="317"/>
      <c r="O35" s="318"/>
      <c r="P35" s="318"/>
      <c r="Q35" s="319"/>
      <c r="R35" s="311"/>
    </row>
    <row r="36" ht="14.25" customHeight="1" outlineLevel="2">
      <c r="B36" s="307"/>
      <c r="D36" s="308"/>
      <c r="E36" s="309" t="s">
        <v>510</v>
      </c>
      <c r="F36" s="310">
        <v>500.0</v>
      </c>
      <c r="G36" s="311">
        <v>289.0</v>
      </c>
      <c r="H36" s="311">
        <v>289.0</v>
      </c>
      <c r="I36" s="312"/>
      <c r="J36" s="313">
        <v>26.0</v>
      </c>
      <c r="K36" s="314">
        <f t="shared" si="5"/>
        <v>0.08996539792</v>
      </c>
      <c r="L36" s="315">
        <f t="shared" si="6"/>
        <v>-26</v>
      </c>
      <c r="M36" s="316">
        <f t="shared" si="7"/>
        <v>-1</v>
      </c>
      <c r="N36" s="317"/>
      <c r="O36" s="318"/>
      <c r="P36" s="318"/>
      <c r="Q36" s="319"/>
      <c r="R36" s="311"/>
    </row>
    <row r="37" ht="14.25" customHeight="1" outlineLevel="2">
      <c r="B37" s="307"/>
      <c r="C37" s="307"/>
      <c r="D37" s="308"/>
      <c r="E37" s="309" t="s">
        <v>114</v>
      </c>
      <c r="F37" s="310">
        <v>500.0</v>
      </c>
      <c r="G37" s="311">
        <v>329.0</v>
      </c>
      <c r="H37" s="311"/>
      <c r="I37" s="312"/>
      <c r="J37" s="313">
        <v>26.0</v>
      </c>
      <c r="K37" s="314">
        <f t="shared" si="5"/>
        <v>0.07902735562</v>
      </c>
      <c r="L37" s="315">
        <f t="shared" si="6"/>
        <v>-26</v>
      </c>
      <c r="M37" s="316">
        <f t="shared" si="7"/>
        <v>-1</v>
      </c>
      <c r="N37" s="317"/>
      <c r="O37" s="318"/>
      <c r="P37" s="318"/>
      <c r="Q37" s="319"/>
      <c r="R37" s="311"/>
    </row>
    <row r="38" ht="14.25" customHeight="1" outlineLevel="2">
      <c r="A38" s="307" t="s">
        <v>520</v>
      </c>
      <c r="B38" s="307"/>
      <c r="C38" s="307" t="s">
        <v>521</v>
      </c>
      <c r="D38" s="308"/>
      <c r="E38" s="309" t="s">
        <v>159</v>
      </c>
      <c r="F38" s="310">
        <v>500.0</v>
      </c>
      <c r="G38" s="311">
        <v>269.0</v>
      </c>
      <c r="H38" s="311">
        <v>269.0</v>
      </c>
      <c r="I38" s="312" t="str">
        <f>G38/R38</f>
        <v>#DIV/0!</v>
      </c>
      <c r="J38" s="313">
        <v>17.0</v>
      </c>
      <c r="K38" s="314">
        <f t="shared" si="5"/>
        <v>0.06319702602</v>
      </c>
      <c r="L38" s="315">
        <f t="shared" si="6"/>
        <v>-17</v>
      </c>
      <c r="M38" s="316">
        <f t="shared" si="7"/>
        <v>-1</v>
      </c>
      <c r="N38" s="317"/>
      <c r="O38" s="318" t="s">
        <v>112</v>
      </c>
      <c r="P38" s="318" t="s">
        <v>112</v>
      </c>
      <c r="Q38" s="319"/>
      <c r="R38" s="311"/>
    </row>
    <row r="39" ht="14.25" customHeight="1" outlineLevel="2">
      <c r="B39" s="307"/>
      <c r="D39" s="308"/>
      <c r="E39" s="309" t="s">
        <v>160</v>
      </c>
      <c r="F39" s="310">
        <v>500.0</v>
      </c>
      <c r="G39" s="311">
        <v>269.0</v>
      </c>
      <c r="H39" s="311">
        <v>259.0</v>
      </c>
      <c r="I39" s="312"/>
      <c r="J39" s="313">
        <v>17.0</v>
      </c>
      <c r="K39" s="314">
        <f t="shared" si="5"/>
        <v>0.06319702602</v>
      </c>
      <c r="L39" s="315">
        <f t="shared" si="6"/>
        <v>-17</v>
      </c>
      <c r="M39" s="316">
        <f t="shared" si="7"/>
        <v>-1</v>
      </c>
      <c r="N39" s="317"/>
      <c r="O39" s="318"/>
      <c r="P39" s="318"/>
      <c r="Q39" s="319"/>
      <c r="R39" s="311"/>
    </row>
    <row r="40" ht="14.25" customHeight="1" outlineLevel="2">
      <c r="B40" s="307"/>
      <c r="D40" s="308"/>
      <c r="E40" s="309" t="s">
        <v>509</v>
      </c>
      <c r="F40" s="310">
        <v>500.0</v>
      </c>
      <c r="G40" s="311">
        <v>289.0</v>
      </c>
      <c r="H40" s="311">
        <v>279.0</v>
      </c>
      <c r="I40" s="312"/>
      <c r="J40" s="313">
        <v>17.0</v>
      </c>
      <c r="K40" s="314">
        <f t="shared" si="5"/>
        <v>0.05882352941</v>
      </c>
      <c r="L40" s="315">
        <f t="shared" si="6"/>
        <v>-17</v>
      </c>
      <c r="M40" s="316">
        <f t="shared" si="7"/>
        <v>-1</v>
      </c>
      <c r="N40" s="317"/>
      <c r="O40" s="318"/>
      <c r="P40" s="318"/>
      <c r="Q40" s="319"/>
      <c r="R40" s="311"/>
    </row>
    <row r="41" ht="14.25" customHeight="1" outlineLevel="2">
      <c r="B41" s="307"/>
      <c r="D41" s="308"/>
      <c r="E41" s="309" t="s">
        <v>510</v>
      </c>
      <c r="F41" s="310">
        <v>500.0</v>
      </c>
      <c r="G41" s="311">
        <v>289.0</v>
      </c>
      <c r="H41" s="311">
        <v>289.0</v>
      </c>
      <c r="I41" s="312"/>
      <c r="J41" s="313">
        <v>26.0</v>
      </c>
      <c r="K41" s="314">
        <f t="shared" si="5"/>
        <v>0.08996539792</v>
      </c>
      <c r="L41" s="315">
        <f t="shared" si="6"/>
        <v>-26</v>
      </c>
      <c r="M41" s="316">
        <f t="shared" si="7"/>
        <v>-1</v>
      </c>
      <c r="N41" s="317"/>
      <c r="O41" s="318"/>
      <c r="P41" s="318"/>
      <c r="Q41" s="319"/>
      <c r="R41" s="311"/>
    </row>
    <row r="42" ht="14.25" customHeight="1" outlineLevel="2">
      <c r="B42" s="307"/>
      <c r="C42" s="307"/>
      <c r="D42" s="308"/>
      <c r="E42" s="309" t="s">
        <v>114</v>
      </c>
      <c r="F42" s="310">
        <v>500.0</v>
      </c>
      <c r="G42" s="311">
        <v>329.0</v>
      </c>
      <c r="H42" s="311"/>
      <c r="I42" s="312"/>
      <c r="J42" s="313">
        <v>26.0</v>
      </c>
      <c r="K42" s="314">
        <f t="shared" si="5"/>
        <v>0.07902735562</v>
      </c>
      <c r="L42" s="315">
        <f t="shared" si="6"/>
        <v>-26</v>
      </c>
      <c r="M42" s="316">
        <f t="shared" si="7"/>
        <v>-1</v>
      </c>
      <c r="N42" s="317"/>
      <c r="O42" s="318"/>
      <c r="P42" s="318"/>
      <c r="Q42" s="319"/>
      <c r="R42" s="311"/>
    </row>
    <row r="43" ht="14.25" customHeight="1" outlineLevel="1">
      <c r="A43" s="288" t="s">
        <v>522</v>
      </c>
      <c r="B43" s="289"/>
      <c r="C43" s="288" t="s">
        <v>523</v>
      </c>
      <c r="D43" s="291"/>
      <c r="E43" s="322" t="s">
        <v>159</v>
      </c>
      <c r="F43" s="323"/>
      <c r="G43" s="294"/>
      <c r="H43" s="294"/>
      <c r="I43" s="324"/>
      <c r="J43" s="325"/>
      <c r="K43" s="297"/>
      <c r="L43" s="326"/>
      <c r="M43" s="297"/>
      <c r="N43" s="299"/>
      <c r="O43" s="290"/>
      <c r="P43" s="290"/>
      <c r="Q43" s="300"/>
      <c r="R43" s="301"/>
    </row>
    <row r="44" ht="14.25" customHeight="1" outlineLevel="1">
      <c r="B44" s="289"/>
      <c r="D44" s="291"/>
      <c r="E44" s="322" t="s">
        <v>160</v>
      </c>
      <c r="F44" s="323"/>
      <c r="G44" s="294"/>
      <c r="H44" s="294"/>
      <c r="I44" s="324"/>
      <c r="J44" s="325"/>
      <c r="K44" s="297"/>
      <c r="L44" s="326"/>
      <c r="M44" s="297"/>
      <c r="N44" s="299"/>
      <c r="O44" s="290"/>
      <c r="P44" s="290"/>
      <c r="Q44" s="300"/>
      <c r="R44" s="301"/>
    </row>
    <row r="45" ht="14.25" customHeight="1" outlineLevel="1">
      <c r="B45" s="289"/>
      <c r="D45" s="291"/>
      <c r="E45" s="322" t="s">
        <v>509</v>
      </c>
      <c r="F45" s="323"/>
      <c r="G45" s="294"/>
      <c r="H45" s="294"/>
      <c r="I45" s="324"/>
      <c r="J45" s="325"/>
      <c r="K45" s="297"/>
      <c r="L45" s="326"/>
      <c r="M45" s="297"/>
      <c r="N45" s="299"/>
      <c r="O45" s="290"/>
      <c r="P45" s="290"/>
      <c r="Q45" s="300"/>
      <c r="R45" s="301"/>
    </row>
    <row r="46" ht="14.25" customHeight="1" outlineLevel="1">
      <c r="B46" s="289"/>
      <c r="D46" s="291"/>
      <c r="E46" s="306" t="s">
        <v>510</v>
      </c>
      <c r="F46" s="323"/>
      <c r="G46" s="294"/>
      <c r="H46" s="294"/>
      <c r="I46" s="324"/>
      <c r="J46" s="325"/>
      <c r="K46" s="297"/>
      <c r="L46" s="326"/>
      <c r="M46" s="297"/>
      <c r="N46" s="299"/>
      <c r="O46" s="290"/>
      <c r="P46" s="290"/>
      <c r="Q46" s="300"/>
      <c r="R46" s="301"/>
    </row>
    <row r="47" ht="14.25" customHeight="1" outlineLevel="1">
      <c r="B47" s="289"/>
      <c r="C47" s="288"/>
      <c r="D47" s="291"/>
      <c r="E47" s="306" t="s">
        <v>114</v>
      </c>
      <c r="F47" s="323"/>
      <c r="G47" s="294"/>
      <c r="H47" s="294"/>
      <c r="I47" s="324"/>
      <c r="J47" s="325"/>
      <c r="K47" s="297"/>
      <c r="L47" s="326"/>
      <c r="M47" s="297"/>
      <c r="N47" s="299"/>
      <c r="O47" s="290"/>
      <c r="P47" s="290"/>
      <c r="Q47" s="300"/>
      <c r="R47" s="301"/>
    </row>
    <row r="48" ht="14.25" customHeight="1" outlineLevel="2">
      <c r="A48" s="307" t="s">
        <v>524</v>
      </c>
      <c r="B48" s="307"/>
      <c r="C48" s="307" t="s">
        <v>524</v>
      </c>
      <c r="D48" s="308" t="s">
        <v>525</v>
      </c>
      <c r="E48" s="309" t="s">
        <v>159</v>
      </c>
      <c r="F48" s="310">
        <v>500.0</v>
      </c>
      <c r="G48" s="311">
        <v>269.0</v>
      </c>
      <c r="H48" s="311">
        <v>269.0</v>
      </c>
      <c r="I48" s="312" t="str">
        <f>G48/R48</f>
        <v>#DIV/0!</v>
      </c>
      <c r="J48" s="313">
        <v>17.0</v>
      </c>
      <c r="K48" s="314">
        <f t="shared" ref="K48:K57" si="8">J48/G48</f>
        <v>0.06319702602</v>
      </c>
      <c r="L48" s="315">
        <f t="shared" ref="L48:L57" si="9">Q48-J48</f>
        <v>-17</v>
      </c>
      <c r="M48" s="316">
        <f t="shared" ref="M48:M57" si="10">Q48/J48-1</f>
        <v>-1</v>
      </c>
      <c r="N48" s="317"/>
      <c r="O48" s="318" t="s">
        <v>112</v>
      </c>
      <c r="P48" s="318" t="s">
        <v>112</v>
      </c>
      <c r="Q48" s="319"/>
      <c r="R48" s="311"/>
    </row>
    <row r="49" ht="14.25" customHeight="1" outlineLevel="2">
      <c r="B49" s="307"/>
      <c r="D49" s="305"/>
      <c r="E49" s="309" t="s">
        <v>160</v>
      </c>
      <c r="F49" s="310">
        <v>500.0</v>
      </c>
      <c r="G49" s="311">
        <v>269.0</v>
      </c>
      <c r="H49" s="311">
        <v>259.0</v>
      </c>
      <c r="I49" s="312"/>
      <c r="J49" s="313">
        <v>17.0</v>
      </c>
      <c r="K49" s="314">
        <f t="shared" si="8"/>
        <v>0.06319702602</v>
      </c>
      <c r="L49" s="315">
        <f t="shared" si="9"/>
        <v>-17</v>
      </c>
      <c r="M49" s="316">
        <f t="shared" si="10"/>
        <v>-1</v>
      </c>
      <c r="N49" s="317"/>
      <c r="O49" s="318"/>
      <c r="P49" s="318"/>
      <c r="Q49" s="319"/>
      <c r="R49" s="311"/>
    </row>
    <row r="50" ht="14.25" customHeight="1" outlineLevel="2">
      <c r="B50" s="307"/>
      <c r="D50" s="305"/>
      <c r="E50" s="309" t="s">
        <v>509</v>
      </c>
      <c r="F50" s="310">
        <v>500.0</v>
      </c>
      <c r="G50" s="311">
        <v>279.0</v>
      </c>
      <c r="H50" s="311">
        <v>279.0</v>
      </c>
      <c r="I50" s="312"/>
      <c r="J50" s="313">
        <v>17.0</v>
      </c>
      <c r="K50" s="314">
        <f t="shared" si="8"/>
        <v>0.06093189964</v>
      </c>
      <c r="L50" s="315">
        <f t="shared" si="9"/>
        <v>-17</v>
      </c>
      <c r="M50" s="316">
        <f t="shared" si="10"/>
        <v>-1</v>
      </c>
      <c r="N50" s="317"/>
      <c r="O50" s="318"/>
      <c r="P50" s="318"/>
      <c r="Q50" s="319"/>
      <c r="R50" s="311"/>
    </row>
    <row r="51" ht="14.25" customHeight="1" outlineLevel="2">
      <c r="B51" s="307"/>
      <c r="D51" s="305"/>
      <c r="E51" s="309" t="s">
        <v>510</v>
      </c>
      <c r="F51" s="310">
        <v>500.0</v>
      </c>
      <c r="G51" s="311">
        <v>289.0</v>
      </c>
      <c r="H51" s="311">
        <v>289.0</v>
      </c>
      <c r="I51" s="312"/>
      <c r="J51" s="313">
        <v>17.0</v>
      </c>
      <c r="K51" s="314">
        <f t="shared" si="8"/>
        <v>0.05882352941</v>
      </c>
      <c r="L51" s="315">
        <f t="shared" si="9"/>
        <v>-17</v>
      </c>
      <c r="M51" s="316">
        <f t="shared" si="10"/>
        <v>-1</v>
      </c>
      <c r="N51" s="317"/>
      <c r="O51" s="318"/>
      <c r="P51" s="318"/>
      <c r="Q51" s="319"/>
      <c r="R51" s="311"/>
    </row>
    <row r="52" ht="14.25" customHeight="1" outlineLevel="2">
      <c r="B52" s="307"/>
      <c r="C52" s="307"/>
      <c r="D52" s="308"/>
      <c r="E52" s="309" t="s">
        <v>114</v>
      </c>
      <c r="F52" s="310">
        <v>500.0</v>
      </c>
      <c r="G52" s="311">
        <v>329.0</v>
      </c>
      <c r="H52" s="311"/>
      <c r="I52" s="312"/>
      <c r="J52" s="313">
        <v>17.0</v>
      </c>
      <c r="K52" s="314">
        <f t="shared" si="8"/>
        <v>0.05167173252</v>
      </c>
      <c r="L52" s="315">
        <f t="shared" si="9"/>
        <v>-17</v>
      </c>
      <c r="M52" s="316">
        <f t="shared" si="10"/>
        <v>-1</v>
      </c>
      <c r="N52" s="317"/>
      <c r="O52" s="318"/>
      <c r="P52" s="318"/>
      <c r="Q52" s="319"/>
      <c r="R52" s="311"/>
    </row>
    <row r="53" ht="14.25" customHeight="1" outlineLevel="2">
      <c r="A53" s="307" t="s">
        <v>526</v>
      </c>
      <c r="B53" s="307"/>
      <c r="C53" s="307" t="s">
        <v>527</v>
      </c>
      <c r="D53" s="308"/>
      <c r="E53" s="309" t="s">
        <v>159</v>
      </c>
      <c r="F53" s="310">
        <v>500.0</v>
      </c>
      <c r="G53" s="311">
        <v>269.0</v>
      </c>
      <c r="H53" s="311">
        <v>269.0</v>
      </c>
      <c r="I53" s="312" t="str">
        <f>G53/R53</f>
        <v>#DIV/0!</v>
      </c>
      <c r="J53" s="313">
        <v>17.0</v>
      </c>
      <c r="K53" s="314">
        <f t="shared" si="8"/>
        <v>0.06319702602</v>
      </c>
      <c r="L53" s="315">
        <f t="shared" si="9"/>
        <v>-17</v>
      </c>
      <c r="M53" s="316">
        <f t="shared" si="10"/>
        <v>-1</v>
      </c>
      <c r="N53" s="317"/>
      <c r="O53" s="318" t="s">
        <v>112</v>
      </c>
      <c r="P53" s="318" t="s">
        <v>112</v>
      </c>
      <c r="Q53" s="319"/>
      <c r="R53" s="311"/>
    </row>
    <row r="54" ht="14.25" customHeight="1" outlineLevel="2">
      <c r="B54" s="307"/>
      <c r="D54" s="305"/>
      <c r="E54" s="309" t="s">
        <v>160</v>
      </c>
      <c r="F54" s="310">
        <v>500.0</v>
      </c>
      <c r="G54" s="311">
        <v>269.0</v>
      </c>
      <c r="H54" s="311">
        <v>259.0</v>
      </c>
      <c r="I54" s="312"/>
      <c r="J54" s="313">
        <v>17.0</v>
      </c>
      <c r="K54" s="314">
        <f t="shared" si="8"/>
        <v>0.06319702602</v>
      </c>
      <c r="L54" s="315">
        <f t="shared" si="9"/>
        <v>-17</v>
      </c>
      <c r="M54" s="316">
        <f t="shared" si="10"/>
        <v>-1</v>
      </c>
      <c r="N54" s="317"/>
      <c r="O54" s="318"/>
      <c r="P54" s="318"/>
      <c r="Q54" s="319"/>
      <c r="R54" s="311"/>
    </row>
    <row r="55" ht="14.25" customHeight="1" outlineLevel="2">
      <c r="B55" s="307"/>
      <c r="D55" s="305"/>
      <c r="E55" s="309" t="s">
        <v>509</v>
      </c>
      <c r="F55" s="310">
        <v>500.0</v>
      </c>
      <c r="G55" s="311">
        <v>279.0</v>
      </c>
      <c r="H55" s="311">
        <v>279.0</v>
      </c>
      <c r="I55" s="312"/>
      <c r="J55" s="313">
        <v>17.0</v>
      </c>
      <c r="K55" s="314">
        <f t="shared" si="8"/>
        <v>0.06093189964</v>
      </c>
      <c r="L55" s="315">
        <f t="shared" si="9"/>
        <v>-17</v>
      </c>
      <c r="M55" s="316">
        <f t="shared" si="10"/>
        <v>-1</v>
      </c>
      <c r="N55" s="317"/>
      <c r="O55" s="318"/>
      <c r="P55" s="318"/>
      <c r="Q55" s="319"/>
      <c r="R55" s="311"/>
    </row>
    <row r="56" ht="14.25" customHeight="1" outlineLevel="2">
      <c r="B56" s="307"/>
      <c r="D56" s="305"/>
      <c r="E56" s="309" t="s">
        <v>510</v>
      </c>
      <c r="F56" s="310">
        <v>500.0</v>
      </c>
      <c r="G56" s="311">
        <v>289.0</v>
      </c>
      <c r="H56" s="311">
        <v>289.0</v>
      </c>
      <c r="I56" s="312"/>
      <c r="J56" s="313">
        <v>17.0</v>
      </c>
      <c r="K56" s="314">
        <f t="shared" si="8"/>
        <v>0.05882352941</v>
      </c>
      <c r="L56" s="315">
        <f t="shared" si="9"/>
        <v>-17</v>
      </c>
      <c r="M56" s="316">
        <f t="shared" si="10"/>
        <v>-1</v>
      </c>
      <c r="N56" s="317"/>
      <c r="O56" s="318"/>
      <c r="P56" s="318"/>
      <c r="Q56" s="319"/>
      <c r="R56" s="311"/>
    </row>
    <row r="57" ht="14.25" customHeight="1" outlineLevel="2">
      <c r="B57" s="307"/>
      <c r="C57" s="307"/>
      <c r="D57" s="308"/>
      <c r="E57" s="309" t="s">
        <v>114</v>
      </c>
      <c r="F57" s="310">
        <v>500.0</v>
      </c>
      <c r="G57" s="311">
        <v>329.0</v>
      </c>
      <c r="H57" s="311"/>
      <c r="I57" s="312"/>
      <c r="J57" s="313">
        <v>17.0</v>
      </c>
      <c r="K57" s="314">
        <f t="shared" si="8"/>
        <v>0.05167173252</v>
      </c>
      <c r="L57" s="315">
        <f t="shared" si="9"/>
        <v>-17</v>
      </c>
      <c r="M57" s="316">
        <f t="shared" si="10"/>
        <v>-1</v>
      </c>
      <c r="N57" s="317"/>
      <c r="O57" s="318"/>
      <c r="P57" s="318"/>
      <c r="Q57" s="319"/>
      <c r="R57" s="311"/>
    </row>
    <row r="58" ht="14.25" customHeight="1" outlineLevel="1">
      <c r="A58" s="288" t="s">
        <v>528</v>
      </c>
      <c r="B58" s="289"/>
      <c r="C58" s="288" t="s">
        <v>529</v>
      </c>
      <c r="D58" s="291"/>
      <c r="E58" s="322" t="s">
        <v>159</v>
      </c>
      <c r="F58" s="323"/>
      <c r="G58" s="294"/>
      <c r="H58" s="294"/>
      <c r="I58" s="324"/>
      <c r="J58" s="325"/>
      <c r="K58" s="297"/>
      <c r="L58" s="326"/>
      <c r="M58" s="297"/>
      <c r="N58" s="299"/>
      <c r="O58" s="297"/>
      <c r="P58" s="297"/>
      <c r="Q58" s="300"/>
      <c r="R58" s="301"/>
    </row>
    <row r="59" ht="14.25" customHeight="1" outlineLevel="1">
      <c r="B59" s="289"/>
      <c r="D59" s="291"/>
      <c r="E59" s="322" t="s">
        <v>160</v>
      </c>
      <c r="F59" s="323"/>
      <c r="G59" s="294"/>
      <c r="H59" s="294"/>
      <c r="I59" s="324"/>
      <c r="J59" s="325"/>
      <c r="K59" s="297"/>
      <c r="L59" s="326"/>
      <c r="M59" s="297"/>
      <c r="N59" s="299"/>
      <c r="O59" s="297"/>
      <c r="P59" s="297"/>
      <c r="Q59" s="300"/>
      <c r="R59" s="301"/>
    </row>
    <row r="60" ht="14.25" customHeight="1" outlineLevel="1">
      <c r="B60" s="289"/>
      <c r="D60" s="291"/>
      <c r="E60" s="322" t="s">
        <v>509</v>
      </c>
      <c r="F60" s="323"/>
      <c r="G60" s="294"/>
      <c r="H60" s="294"/>
      <c r="I60" s="324"/>
      <c r="J60" s="325"/>
      <c r="K60" s="297"/>
      <c r="L60" s="326"/>
      <c r="M60" s="297"/>
      <c r="N60" s="299"/>
      <c r="O60" s="297"/>
      <c r="P60" s="297"/>
      <c r="Q60" s="300"/>
      <c r="R60" s="301"/>
    </row>
    <row r="61" ht="14.25" customHeight="1" outlineLevel="1">
      <c r="B61" s="289"/>
      <c r="D61" s="291"/>
      <c r="E61" s="322" t="s">
        <v>510</v>
      </c>
      <c r="F61" s="323"/>
      <c r="G61" s="294"/>
      <c r="H61" s="294"/>
      <c r="I61" s="324"/>
      <c r="J61" s="325"/>
      <c r="K61" s="297"/>
      <c r="L61" s="326"/>
      <c r="M61" s="297"/>
      <c r="N61" s="299"/>
      <c r="O61" s="297"/>
      <c r="P61" s="297"/>
      <c r="Q61" s="300"/>
      <c r="R61" s="301"/>
    </row>
    <row r="62" ht="14.25" customHeight="1" outlineLevel="1">
      <c r="B62" s="289"/>
      <c r="C62" s="288"/>
      <c r="D62" s="328"/>
      <c r="E62" s="322" t="s">
        <v>114</v>
      </c>
      <c r="F62" s="323"/>
      <c r="G62" s="294"/>
      <c r="H62" s="294"/>
      <c r="I62" s="324"/>
      <c r="J62" s="325"/>
      <c r="K62" s="297"/>
      <c r="L62" s="326"/>
      <c r="M62" s="297"/>
      <c r="N62" s="299"/>
      <c r="O62" s="297"/>
      <c r="P62" s="297"/>
      <c r="Q62" s="300"/>
      <c r="R62" s="301"/>
    </row>
    <row r="63" ht="14.25" customHeight="1" outlineLevel="2">
      <c r="A63" s="327" t="s">
        <v>530</v>
      </c>
      <c r="B63" s="327" t="s">
        <v>531</v>
      </c>
      <c r="C63" s="327" t="s">
        <v>532</v>
      </c>
      <c r="D63" s="327" t="s">
        <v>531</v>
      </c>
      <c r="E63" s="309" t="s">
        <v>159</v>
      </c>
      <c r="F63" s="310">
        <v>500.0</v>
      </c>
      <c r="G63" s="311">
        <v>369.0</v>
      </c>
      <c r="H63" s="311">
        <v>329.0</v>
      </c>
      <c r="I63" s="312" t="str">
        <f>G63/R63</f>
        <v>#DIV/0!</v>
      </c>
      <c r="J63" s="313">
        <v>39.28</v>
      </c>
      <c r="K63" s="314">
        <f t="shared" ref="K63:K82" si="11">J63/G63</f>
        <v>0.1064498645</v>
      </c>
      <c r="L63" s="315">
        <f t="shared" ref="L63:L82" si="12">Q63-J63</f>
        <v>-39.28</v>
      </c>
      <c r="M63" s="316">
        <f t="shared" ref="M63:M82" si="13">Q63/J63-1</f>
        <v>-1</v>
      </c>
      <c r="N63" s="317"/>
      <c r="O63" s="318" t="s">
        <v>112</v>
      </c>
      <c r="P63" s="318" t="s">
        <v>112</v>
      </c>
      <c r="Q63" s="319"/>
      <c r="R63" s="311"/>
    </row>
    <row r="64" ht="14.25" customHeight="1" outlineLevel="2">
      <c r="E64" s="309" t="s">
        <v>160</v>
      </c>
      <c r="F64" s="310">
        <v>500.0</v>
      </c>
      <c r="G64" s="311">
        <v>369.0</v>
      </c>
      <c r="H64" s="311">
        <v>299.0</v>
      </c>
      <c r="I64" s="312"/>
      <c r="J64" s="313">
        <v>39.28</v>
      </c>
      <c r="K64" s="314">
        <f t="shared" si="11"/>
        <v>0.1064498645</v>
      </c>
      <c r="L64" s="315">
        <f t="shared" si="12"/>
        <v>-39.28</v>
      </c>
      <c r="M64" s="316">
        <f t="shared" si="13"/>
        <v>-1</v>
      </c>
      <c r="N64" s="317"/>
      <c r="O64" s="318"/>
      <c r="P64" s="318"/>
      <c r="Q64" s="319"/>
      <c r="R64" s="311"/>
    </row>
    <row r="65" ht="14.25" customHeight="1" outlineLevel="2">
      <c r="E65" s="309" t="s">
        <v>509</v>
      </c>
      <c r="F65" s="310">
        <v>500.0</v>
      </c>
      <c r="G65" s="311">
        <v>389.0</v>
      </c>
      <c r="H65" s="311">
        <v>339.0</v>
      </c>
      <c r="I65" s="312"/>
      <c r="J65" s="313">
        <v>39.28</v>
      </c>
      <c r="K65" s="314">
        <f t="shared" si="11"/>
        <v>0.1009768638</v>
      </c>
      <c r="L65" s="315">
        <f t="shared" si="12"/>
        <v>-39.28</v>
      </c>
      <c r="M65" s="316">
        <f t="shared" si="13"/>
        <v>-1</v>
      </c>
      <c r="N65" s="317"/>
      <c r="O65" s="318"/>
      <c r="P65" s="318"/>
      <c r="Q65" s="319"/>
      <c r="R65" s="311"/>
    </row>
    <row r="66" ht="14.25" customHeight="1" outlineLevel="2">
      <c r="E66" s="309" t="s">
        <v>510</v>
      </c>
      <c r="F66" s="310">
        <v>500.0</v>
      </c>
      <c r="G66" s="311">
        <v>389.0</v>
      </c>
      <c r="H66" s="311">
        <v>389.0</v>
      </c>
      <c r="I66" s="312"/>
      <c r="J66" s="313">
        <v>39.28</v>
      </c>
      <c r="K66" s="314">
        <f t="shared" si="11"/>
        <v>0.1009768638</v>
      </c>
      <c r="L66" s="315">
        <f t="shared" si="12"/>
        <v>-39.28</v>
      </c>
      <c r="M66" s="316">
        <f t="shared" si="13"/>
        <v>-1</v>
      </c>
      <c r="N66" s="317"/>
      <c r="O66" s="318"/>
      <c r="P66" s="318"/>
      <c r="Q66" s="319"/>
      <c r="R66" s="311"/>
    </row>
    <row r="67" ht="14.25" customHeight="1" outlineLevel="2">
      <c r="B67" s="327"/>
      <c r="C67" s="327"/>
      <c r="D67" s="327"/>
      <c r="E67" s="309" t="s">
        <v>114</v>
      </c>
      <c r="F67" s="310">
        <v>500.0</v>
      </c>
      <c r="G67" s="311">
        <v>449.0</v>
      </c>
      <c r="H67" s="311"/>
      <c r="I67" s="312"/>
      <c r="J67" s="313">
        <v>39.28</v>
      </c>
      <c r="K67" s="314">
        <f t="shared" si="11"/>
        <v>0.08748329621</v>
      </c>
      <c r="L67" s="315">
        <f t="shared" si="12"/>
        <v>-39.28</v>
      </c>
      <c r="M67" s="316">
        <f t="shared" si="13"/>
        <v>-1</v>
      </c>
      <c r="N67" s="317"/>
      <c r="O67" s="318"/>
      <c r="P67" s="318"/>
      <c r="Q67" s="319"/>
      <c r="R67" s="311"/>
    </row>
    <row r="68" ht="14.25" customHeight="1" outlineLevel="2">
      <c r="A68" s="329" t="s">
        <v>533</v>
      </c>
      <c r="B68" s="330" t="s">
        <v>534</v>
      </c>
      <c r="C68" s="329" t="s">
        <v>535</v>
      </c>
      <c r="D68" s="330" t="s">
        <v>534</v>
      </c>
      <c r="E68" s="309" t="s">
        <v>159</v>
      </c>
      <c r="F68" s="310">
        <v>500.0</v>
      </c>
      <c r="G68" s="311">
        <v>369.0</v>
      </c>
      <c r="H68" s="311">
        <v>329.0</v>
      </c>
      <c r="I68" s="312" t="str">
        <f>G68/R68</f>
        <v>#DIV/0!</v>
      </c>
      <c r="J68" s="313">
        <v>43.96</v>
      </c>
      <c r="K68" s="314">
        <f t="shared" si="11"/>
        <v>0.1191327913</v>
      </c>
      <c r="L68" s="315">
        <f t="shared" si="12"/>
        <v>-43.96</v>
      </c>
      <c r="M68" s="316">
        <f t="shared" si="13"/>
        <v>-1</v>
      </c>
      <c r="N68" s="331"/>
      <c r="O68" s="332" t="s">
        <v>112</v>
      </c>
      <c r="P68" s="332" t="s">
        <v>112</v>
      </c>
      <c r="Q68" s="300"/>
      <c r="R68" s="301"/>
    </row>
    <row r="69" ht="14.25" customHeight="1" outlineLevel="2">
      <c r="E69" s="309" t="s">
        <v>160</v>
      </c>
      <c r="F69" s="310">
        <v>500.0</v>
      </c>
      <c r="G69" s="311">
        <v>369.0</v>
      </c>
      <c r="H69" s="311">
        <v>299.0</v>
      </c>
      <c r="I69" s="312"/>
      <c r="J69" s="313">
        <v>43.96</v>
      </c>
      <c r="K69" s="314">
        <f t="shared" si="11"/>
        <v>0.1191327913</v>
      </c>
      <c r="L69" s="315">
        <f t="shared" si="12"/>
        <v>-43.96</v>
      </c>
      <c r="M69" s="316">
        <f t="shared" si="13"/>
        <v>-1</v>
      </c>
      <c r="N69" s="331"/>
      <c r="O69" s="332"/>
      <c r="P69" s="332"/>
      <c r="Q69" s="300"/>
      <c r="R69" s="301"/>
    </row>
    <row r="70" ht="14.25" customHeight="1" outlineLevel="2">
      <c r="E70" s="309" t="s">
        <v>509</v>
      </c>
      <c r="F70" s="310">
        <v>500.0</v>
      </c>
      <c r="G70" s="311">
        <v>389.0</v>
      </c>
      <c r="H70" s="311">
        <v>339.0</v>
      </c>
      <c r="I70" s="312"/>
      <c r="J70" s="313">
        <v>43.96</v>
      </c>
      <c r="K70" s="314">
        <f t="shared" si="11"/>
        <v>0.1130077121</v>
      </c>
      <c r="L70" s="315">
        <f t="shared" si="12"/>
        <v>-43.96</v>
      </c>
      <c r="M70" s="316">
        <f t="shared" si="13"/>
        <v>-1</v>
      </c>
      <c r="N70" s="331"/>
      <c r="O70" s="332"/>
      <c r="P70" s="332"/>
      <c r="Q70" s="300"/>
      <c r="R70" s="301"/>
    </row>
    <row r="71" ht="14.25" customHeight="1" outlineLevel="2">
      <c r="E71" s="309" t="s">
        <v>510</v>
      </c>
      <c r="F71" s="310">
        <v>500.0</v>
      </c>
      <c r="G71" s="311">
        <v>389.0</v>
      </c>
      <c r="H71" s="311">
        <v>389.0</v>
      </c>
      <c r="I71" s="312"/>
      <c r="J71" s="313">
        <v>43.96</v>
      </c>
      <c r="K71" s="314">
        <f t="shared" si="11"/>
        <v>0.1130077121</v>
      </c>
      <c r="L71" s="315">
        <f t="shared" si="12"/>
        <v>-43.96</v>
      </c>
      <c r="M71" s="316">
        <f t="shared" si="13"/>
        <v>-1</v>
      </c>
      <c r="N71" s="331"/>
      <c r="O71" s="332"/>
      <c r="P71" s="332"/>
      <c r="Q71" s="300"/>
      <c r="R71" s="301"/>
    </row>
    <row r="72" ht="14.25" customHeight="1" outlineLevel="2">
      <c r="B72" s="330"/>
      <c r="C72" s="329"/>
      <c r="D72" s="330"/>
      <c r="E72" s="309" t="s">
        <v>114</v>
      </c>
      <c r="F72" s="310">
        <v>500.0</v>
      </c>
      <c r="G72" s="311">
        <v>449.0</v>
      </c>
      <c r="H72" s="311"/>
      <c r="I72" s="312"/>
      <c r="J72" s="313">
        <v>43.96</v>
      </c>
      <c r="K72" s="314">
        <f t="shared" si="11"/>
        <v>0.0979064588</v>
      </c>
      <c r="L72" s="315">
        <f t="shared" si="12"/>
        <v>-43.96</v>
      </c>
      <c r="M72" s="316">
        <f t="shared" si="13"/>
        <v>-1</v>
      </c>
      <c r="N72" s="331"/>
      <c r="O72" s="332"/>
      <c r="P72" s="332"/>
      <c r="Q72" s="300"/>
      <c r="R72" s="301"/>
    </row>
    <row r="73" ht="14.25" customHeight="1" outlineLevel="2">
      <c r="A73" s="327" t="s">
        <v>536</v>
      </c>
      <c r="B73" s="327" t="s">
        <v>537</v>
      </c>
      <c r="C73" s="327" t="s">
        <v>538</v>
      </c>
      <c r="D73" s="327" t="s">
        <v>537</v>
      </c>
      <c r="E73" s="309" t="s">
        <v>159</v>
      </c>
      <c r="F73" s="310">
        <v>500.0</v>
      </c>
      <c r="G73" s="311">
        <v>369.0</v>
      </c>
      <c r="H73" s="311">
        <v>329.0</v>
      </c>
      <c r="I73" s="312" t="str">
        <f>G73/R73</f>
        <v>#DIV/0!</v>
      </c>
      <c r="J73" s="313">
        <v>45.15</v>
      </c>
      <c r="K73" s="314">
        <f t="shared" si="11"/>
        <v>0.1223577236</v>
      </c>
      <c r="L73" s="315">
        <f t="shared" si="12"/>
        <v>-45.15</v>
      </c>
      <c r="M73" s="316">
        <f t="shared" si="13"/>
        <v>-1</v>
      </c>
      <c r="N73" s="317"/>
      <c r="O73" s="318" t="s">
        <v>112</v>
      </c>
      <c r="P73" s="318" t="s">
        <v>112</v>
      </c>
      <c r="Q73" s="319"/>
      <c r="R73" s="311"/>
    </row>
    <row r="74" ht="14.25" customHeight="1" outlineLevel="2">
      <c r="E74" s="309" t="s">
        <v>160</v>
      </c>
      <c r="F74" s="310">
        <v>500.0</v>
      </c>
      <c r="G74" s="311">
        <v>369.0</v>
      </c>
      <c r="H74" s="311">
        <v>299.0</v>
      </c>
      <c r="I74" s="312"/>
      <c r="J74" s="313">
        <v>45.15</v>
      </c>
      <c r="K74" s="314">
        <f t="shared" si="11"/>
        <v>0.1223577236</v>
      </c>
      <c r="L74" s="315">
        <f t="shared" si="12"/>
        <v>-45.15</v>
      </c>
      <c r="M74" s="316">
        <f t="shared" si="13"/>
        <v>-1</v>
      </c>
      <c r="N74" s="317"/>
      <c r="O74" s="318"/>
      <c r="P74" s="318"/>
      <c r="Q74" s="319"/>
      <c r="R74" s="311"/>
    </row>
    <row r="75" ht="14.25" customHeight="1" outlineLevel="2">
      <c r="E75" s="309" t="s">
        <v>509</v>
      </c>
      <c r="F75" s="310">
        <v>500.0</v>
      </c>
      <c r="G75" s="311">
        <v>389.0</v>
      </c>
      <c r="H75" s="311">
        <v>339.0</v>
      </c>
      <c r="I75" s="312"/>
      <c r="J75" s="313">
        <v>45.15</v>
      </c>
      <c r="K75" s="314">
        <f t="shared" si="11"/>
        <v>0.116066838</v>
      </c>
      <c r="L75" s="315">
        <f t="shared" si="12"/>
        <v>-45.15</v>
      </c>
      <c r="M75" s="316">
        <f t="shared" si="13"/>
        <v>-1</v>
      </c>
      <c r="N75" s="317"/>
      <c r="O75" s="318"/>
      <c r="P75" s="318"/>
      <c r="Q75" s="319"/>
      <c r="R75" s="311"/>
    </row>
    <row r="76" ht="14.25" customHeight="1" outlineLevel="2">
      <c r="E76" s="333" t="s">
        <v>510</v>
      </c>
      <c r="F76" s="310">
        <v>500.0</v>
      </c>
      <c r="G76" s="334">
        <v>389.0</v>
      </c>
      <c r="H76" s="334">
        <v>389.0</v>
      </c>
      <c r="I76" s="286"/>
      <c r="J76" s="335">
        <v>45.15</v>
      </c>
      <c r="K76" s="332">
        <f t="shared" si="11"/>
        <v>0.116066838</v>
      </c>
      <c r="L76" s="319">
        <f t="shared" si="12"/>
        <v>-45.15</v>
      </c>
      <c r="M76" s="332">
        <f t="shared" si="13"/>
        <v>-1</v>
      </c>
      <c r="N76" s="331"/>
      <c r="O76" s="285"/>
      <c r="P76" s="285"/>
      <c r="Q76" s="319"/>
      <c r="R76" s="334"/>
    </row>
    <row r="77" ht="14.25" customHeight="1" outlineLevel="2">
      <c r="B77" s="327"/>
      <c r="C77" s="327"/>
      <c r="D77" s="327"/>
      <c r="E77" s="333" t="s">
        <v>114</v>
      </c>
      <c r="F77" s="310">
        <v>500.0</v>
      </c>
      <c r="G77" s="311">
        <v>449.0</v>
      </c>
      <c r="H77" s="334"/>
      <c r="I77" s="286"/>
      <c r="J77" s="335">
        <v>45.15</v>
      </c>
      <c r="K77" s="332">
        <f t="shared" si="11"/>
        <v>0.1005567929</v>
      </c>
      <c r="L77" s="319">
        <f t="shared" si="12"/>
        <v>-45.15</v>
      </c>
      <c r="M77" s="332">
        <f t="shared" si="13"/>
        <v>-1</v>
      </c>
      <c r="N77" s="331"/>
      <c r="O77" s="285"/>
      <c r="P77" s="285"/>
      <c r="Q77" s="319"/>
      <c r="R77" s="334"/>
    </row>
    <row r="78" ht="14.25" customHeight="1" outlineLevel="2">
      <c r="A78" s="327" t="s">
        <v>539</v>
      </c>
      <c r="B78" s="327" t="s">
        <v>540</v>
      </c>
      <c r="C78" s="327" t="s">
        <v>541</v>
      </c>
      <c r="D78" s="327" t="s">
        <v>542</v>
      </c>
      <c r="E78" s="333" t="s">
        <v>159</v>
      </c>
      <c r="F78" s="310">
        <v>500.0</v>
      </c>
      <c r="G78" s="334">
        <v>369.0</v>
      </c>
      <c r="H78" s="334"/>
      <c r="I78" s="286"/>
      <c r="J78" s="335">
        <v>56.32</v>
      </c>
      <c r="K78" s="332">
        <f t="shared" si="11"/>
        <v>0.1526287263</v>
      </c>
      <c r="L78" s="319">
        <f t="shared" si="12"/>
        <v>-56.32</v>
      </c>
      <c r="M78" s="332">
        <f t="shared" si="13"/>
        <v>-1</v>
      </c>
      <c r="N78" s="331"/>
      <c r="O78" s="285"/>
      <c r="P78" s="285"/>
      <c r="Q78" s="319"/>
      <c r="R78" s="334"/>
    </row>
    <row r="79" ht="14.25" customHeight="1" outlineLevel="2">
      <c r="E79" s="333" t="s">
        <v>160</v>
      </c>
      <c r="F79" s="310">
        <v>500.0</v>
      </c>
      <c r="G79" s="334">
        <v>369.0</v>
      </c>
      <c r="H79" s="334"/>
      <c r="I79" s="286"/>
      <c r="J79" s="335">
        <v>56.32</v>
      </c>
      <c r="K79" s="332">
        <f t="shared" si="11"/>
        <v>0.1526287263</v>
      </c>
      <c r="L79" s="319">
        <f t="shared" si="12"/>
        <v>-56.32</v>
      </c>
      <c r="M79" s="332">
        <f t="shared" si="13"/>
        <v>-1</v>
      </c>
      <c r="N79" s="331"/>
      <c r="O79" s="285"/>
      <c r="P79" s="285"/>
      <c r="Q79" s="319"/>
      <c r="R79" s="334"/>
    </row>
    <row r="80" ht="14.25" customHeight="1" outlineLevel="2">
      <c r="E80" s="333" t="s">
        <v>509</v>
      </c>
      <c r="F80" s="310">
        <v>500.0</v>
      </c>
      <c r="G80" s="334">
        <v>389.0</v>
      </c>
      <c r="H80" s="334"/>
      <c r="I80" s="286"/>
      <c r="J80" s="335">
        <v>56.32</v>
      </c>
      <c r="K80" s="332">
        <f t="shared" si="11"/>
        <v>0.144781491</v>
      </c>
      <c r="L80" s="319">
        <f t="shared" si="12"/>
        <v>-56.32</v>
      </c>
      <c r="M80" s="332">
        <f t="shared" si="13"/>
        <v>-1</v>
      </c>
      <c r="N80" s="331"/>
      <c r="O80" s="285"/>
      <c r="P80" s="285"/>
      <c r="Q80" s="319"/>
      <c r="R80" s="334"/>
    </row>
    <row r="81" ht="14.25" customHeight="1" outlineLevel="2">
      <c r="E81" s="333" t="s">
        <v>510</v>
      </c>
      <c r="F81" s="310">
        <v>500.0</v>
      </c>
      <c r="G81" s="334">
        <v>389.0</v>
      </c>
      <c r="H81" s="334"/>
      <c r="I81" s="286"/>
      <c r="J81" s="335">
        <v>56.32</v>
      </c>
      <c r="K81" s="332">
        <f t="shared" si="11"/>
        <v>0.144781491</v>
      </c>
      <c r="L81" s="319">
        <f t="shared" si="12"/>
        <v>-56.32</v>
      </c>
      <c r="M81" s="332">
        <f t="shared" si="13"/>
        <v>-1</v>
      </c>
      <c r="N81" s="331"/>
      <c r="O81" s="285"/>
      <c r="P81" s="285"/>
      <c r="Q81" s="319"/>
      <c r="R81" s="334"/>
    </row>
    <row r="82" ht="14.25" customHeight="1" outlineLevel="2">
      <c r="B82" s="327"/>
      <c r="C82" s="327"/>
      <c r="D82" s="327"/>
      <c r="E82" s="333" t="s">
        <v>114</v>
      </c>
      <c r="F82" s="310">
        <v>500.0</v>
      </c>
      <c r="G82" s="311">
        <v>449.0</v>
      </c>
      <c r="H82" s="334"/>
      <c r="I82" s="286"/>
      <c r="J82" s="335">
        <v>56.32</v>
      </c>
      <c r="K82" s="332">
        <f t="shared" si="11"/>
        <v>0.1254342984</v>
      </c>
      <c r="L82" s="319">
        <f t="shared" si="12"/>
        <v>-56.32</v>
      </c>
      <c r="M82" s="332">
        <f t="shared" si="13"/>
        <v>-1</v>
      </c>
      <c r="N82" s="331"/>
      <c r="O82" s="285"/>
      <c r="P82" s="285"/>
      <c r="Q82" s="319"/>
      <c r="R82" s="334"/>
    </row>
    <row r="83" ht="14.25" customHeight="1" outlineLevel="1">
      <c r="A83" s="288" t="s">
        <v>543</v>
      </c>
      <c r="B83" s="289"/>
      <c r="C83" s="288" t="s">
        <v>544</v>
      </c>
      <c r="D83" s="291"/>
      <c r="E83" s="322" t="s">
        <v>159</v>
      </c>
      <c r="F83" s="323"/>
      <c r="G83" s="294"/>
      <c r="H83" s="294"/>
      <c r="I83" s="324"/>
      <c r="J83" s="325"/>
      <c r="K83" s="297"/>
      <c r="L83" s="326"/>
      <c r="M83" s="297"/>
      <c r="N83" s="299"/>
      <c r="O83" s="290"/>
      <c r="P83" s="290"/>
      <c r="Q83" s="300"/>
      <c r="R83" s="301"/>
    </row>
    <row r="84" ht="14.25" customHeight="1" outlineLevel="1">
      <c r="B84" s="289"/>
      <c r="D84" s="291"/>
      <c r="E84" s="322" t="s">
        <v>160</v>
      </c>
      <c r="F84" s="323"/>
      <c r="G84" s="294"/>
      <c r="H84" s="294"/>
      <c r="I84" s="324"/>
      <c r="J84" s="325"/>
      <c r="K84" s="297"/>
      <c r="L84" s="326"/>
      <c r="M84" s="297"/>
      <c r="N84" s="299"/>
      <c r="O84" s="290"/>
      <c r="P84" s="290"/>
      <c r="Q84" s="300"/>
      <c r="R84" s="301"/>
    </row>
    <row r="85" ht="14.25" customHeight="1" outlineLevel="1">
      <c r="B85" s="289"/>
      <c r="D85" s="291"/>
      <c r="E85" s="322" t="s">
        <v>509</v>
      </c>
      <c r="F85" s="323"/>
      <c r="G85" s="294"/>
      <c r="H85" s="294"/>
      <c r="I85" s="324"/>
      <c r="J85" s="325"/>
      <c r="K85" s="297"/>
      <c r="L85" s="326"/>
      <c r="M85" s="297"/>
      <c r="N85" s="299"/>
      <c r="O85" s="290"/>
      <c r="P85" s="290"/>
      <c r="Q85" s="300"/>
      <c r="R85" s="301"/>
    </row>
    <row r="86" ht="14.25" customHeight="1" outlineLevel="1">
      <c r="B86" s="289"/>
      <c r="D86" s="291"/>
      <c r="E86" s="322" t="s">
        <v>510</v>
      </c>
      <c r="F86" s="323"/>
      <c r="G86" s="294"/>
      <c r="H86" s="294"/>
      <c r="I86" s="324"/>
      <c r="J86" s="325"/>
      <c r="K86" s="297"/>
      <c r="L86" s="326"/>
      <c r="M86" s="297"/>
      <c r="N86" s="299"/>
      <c r="O86" s="290"/>
      <c r="P86" s="290"/>
      <c r="Q86" s="300"/>
      <c r="R86" s="301"/>
    </row>
    <row r="87" ht="14.25" customHeight="1" outlineLevel="1">
      <c r="B87" s="289"/>
      <c r="C87" s="288"/>
      <c r="D87" s="291"/>
      <c r="E87" s="322" t="s">
        <v>114</v>
      </c>
      <c r="F87" s="323"/>
      <c r="G87" s="294"/>
      <c r="H87" s="294"/>
      <c r="I87" s="324"/>
      <c r="J87" s="325"/>
      <c r="K87" s="297"/>
      <c r="L87" s="326"/>
      <c r="M87" s="297"/>
      <c r="N87" s="299"/>
      <c r="O87" s="290"/>
      <c r="P87" s="290"/>
      <c r="Q87" s="300"/>
      <c r="R87" s="301"/>
    </row>
    <row r="88" ht="14.25" customHeight="1" outlineLevel="2">
      <c r="A88" s="327" t="s">
        <v>545</v>
      </c>
      <c r="B88" s="327"/>
      <c r="C88" s="327" t="s">
        <v>545</v>
      </c>
      <c r="D88" s="336"/>
      <c r="E88" s="309" t="s">
        <v>159</v>
      </c>
      <c r="F88" s="337">
        <v>10.0</v>
      </c>
      <c r="G88" s="301">
        <v>19.0</v>
      </c>
      <c r="H88" s="301">
        <v>15.0</v>
      </c>
      <c r="I88" s="312" t="str">
        <f>G88/R88</f>
        <v>#DIV/0!</v>
      </c>
      <c r="J88" s="313">
        <v>5.0</v>
      </c>
      <c r="K88" s="314">
        <f t="shared" ref="K88:K112" si="14">J88/G88</f>
        <v>0.2631578947</v>
      </c>
      <c r="L88" s="315">
        <f t="shared" ref="L88:L112" si="15">Q88-J88</f>
        <v>-5</v>
      </c>
      <c r="M88" s="316">
        <f t="shared" ref="M88:M112" si="16">Q88/J88-1</f>
        <v>-1</v>
      </c>
      <c r="N88" s="331"/>
      <c r="O88" s="318" t="s">
        <v>112</v>
      </c>
      <c r="P88" s="318" t="s">
        <v>112</v>
      </c>
      <c r="Q88" s="300"/>
      <c r="R88" s="301"/>
    </row>
    <row r="89" ht="14.25" customHeight="1" outlineLevel="2">
      <c r="B89" s="327"/>
      <c r="D89" s="336"/>
      <c r="E89" s="309" t="s">
        <v>160</v>
      </c>
      <c r="F89" s="337">
        <v>10.0</v>
      </c>
      <c r="G89" s="301">
        <v>19.0</v>
      </c>
      <c r="H89" s="301">
        <v>15.0</v>
      </c>
      <c r="I89" s="312"/>
      <c r="J89" s="313">
        <v>5.0</v>
      </c>
      <c r="K89" s="314">
        <f t="shared" si="14"/>
        <v>0.2631578947</v>
      </c>
      <c r="L89" s="315">
        <f t="shared" si="15"/>
        <v>-5</v>
      </c>
      <c r="M89" s="316">
        <f t="shared" si="16"/>
        <v>-1</v>
      </c>
      <c r="N89" s="331"/>
      <c r="O89" s="318"/>
      <c r="P89" s="318"/>
      <c r="Q89" s="300"/>
      <c r="R89" s="301"/>
    </row>
    <row r="90" ht="14.25" customHeight="1" outlineLevel="2">
      <c r="B90" s="327"/>
      <c r="D90" s="336"/>
      <c r="E90" s="309" t="s">
        <v>509</v>
      </c>
      <c r="F90" s="337">
        <v>10.0</v>
      </c>
      <c r="G90" s="301">
        <v>19.0</v>
      </c>
      <c r="H90" s="301">
        <v>15.0</v>
      </c>
      <c r="I90" s="312" t="str">
        <f>G90/R90</f>
        <v>#DIV/0!</v>
      </c>
      <c r="J90" s="313">
        <v>5.0</v>
      </c>
      <c r="K90" s="314">
        <f t="shared" si="14"/>
        <v>0.2631578947</v>
      </c>
      <c r="L90" s="315">
        <f t="shared" si="15"/>
        <v>-5</v>
      </c>
      <c r="M90" s="316">
        <f t="shared" si="16"/>
        <v>-1</v>
      </c>
      <c r="N90" s="331"/>
      <c r="O90" s="318"/>
      <c r="P90" s="318"/>
      <c r="Q90" s="300"/>
      <c r="R90" s="301"/>
    </row>
    <row r="91" ht="14.25" customHeight="1" outlineLevel="2">
      <c r="B91" s="327"/>
      <c r="D91" s="336"/>
      <c r="E91" s="309" t="s">
        <v>510</v>
      </c>
      <c r="F91" s="337">
        <v>10.0</v>
      </c>
      <c r="G91" s="301">
        <v>19.0</v>
      </c>
      <c r="H91" s="301">
        <v>15.0</v>
      </c>
      <c r="I91" s="312"/>
      <c r="J91" s="313">
        <v>5.0</v>
      </c>
      <c r="K91" s="314">
        <f t="shared" si="14"/>
        <v>0.2631578947</v>
      </c>
      <c r="L91" s="315">
        <f t="shared" si="15"/>
        <v>-5</v>
      </c>
      <c r="M91" s="316">
        <f t="shared" si="16"/>
        <v>-1</v>
      </c>
      <c r="N91" s="331"/>
      <c r="O91" s="318"/>
      <c r="P91" s="318"/>
      <c r="Q91" s="300"/>
      <c r="R91" s="301"/>
    </row>
    <row r="92" ht="14.25" customHeight="1" outlineLevel="2">
      <c r="B92" s="327"/>
      <c r="C92" s="327"/>
      <c r="D92" s="336"/>
      <c r="E92" s="309" t="s">
        <v>114</v>
      </c>
      <c r="F92" s="337">
        <v>10.0</v>
      </c>
      <c r="G92" s="301">
        <v>19.0</v>
      </c>
      <c r="H92" s="301"/>
      <c r="I92" s="312"/>
      <c r="J92" s="313">
        <v>5.0</v>
      </c>
      <c r="K92" s="314">
        <f t="shared" si="14"/>
        <v>0.2631578947</v>
      </c>
      <c r="L92" s="315">
        <f t="shared" si="15"/>
        <v>-5</v>
      </c>
      <c r="M92" s="316">
        <f t="shared" si="16"/>
        <v>-1</v>
      </c>
      <c r="N92" s="331"/>
      <c r="O92" s="318"/>
      <c r="P92" s="318"/>
      <c r="Q92" s="300"/>
      <c r="R92" s="301"/>
    </row>
    <row r="93" ht="14.25" customHeight="1" outlineLevel="2">
      <c r="A93" s="327" t="s">
        <v>546</v>
      </c>
      <c r="B93" s="327"/>
      <c r="C93" s="327" t="s">
        <v>546</v>
      </c>
      <c r="D93" s="336"/>
      <c r="E93" s="309" t="s">
        <v>159</v>
      </c>
      <c r="F93" s="337">
        <v>3.0</v>
      </c>
      <c r="G93" s="301">
        <v>39.0</v>
      </c>
      <c r="H93" s="301">
        <v>39.0</v>
      </c>
      <c r="I93" s="312" t="str">
        <f>G93/R93</f>
        <v>#DIV/0!</v>
      </c>
      <c r="J93" s="313">
        <v>10.0</v>
      </c>
      <c r="K93" s="314">
        <f t="shared" si="14"/>
        <v>0.2564102564</v>
      </c>
      <c r="L93" s="315">
        <f t="shared" si="15"/>
        <v>-10</v>
      </c>
      <c r="M93" s="316">
        <f t="shared" si="16"/>
        <v>-1</v>
      </c>
      <c r="N93" s="331"/>
      <c r="O93" s="318" t="s">
        <v>112</v>
      </c>
      <c r="P93" s="318" t="s">
        <v>112</v>
      </c>
      <c r="Q93" s="300"/>
      <c r="R93" s="301"/>
    </row>
    <row r="94" ht="14.25" customHeight="1" outlineLevel="2">
      <c r="B94" s="327"/>
      <c r="D94" s="336"/>
      <c r="E94" s="309" t="s">
        <v>160</v>
      </c>
      <c r="F94" s="337">
        <v>3.0</v>
      </c>
      <c r="G94" s="301">
        <v>39.0</v>
      </c>
      <c r="H94" s="301">
        <v>39.0</v>
      </c>
      <c r="I94" s="312"/>
      <c r="J94" s="313">
        <v>6.0</v>
      </c>
      <c r="K94" s="314">
        <f t="shared" si="14"/>
        <v>0.1538461538</v>
      </c>
      <c r="L94" s="315">
        <f t="shared" si="15"/>
        <v>-6</v>
      </c>
      <c r="M94" s="316">
        <f t="shared" si="16"/>
        <v>-1</v>
      </c>
      <c r="N94" s="331"/>
      <c r="O94" s="318"/>
      <c r="P94" s="318"/>
      <c r="Q94" s="300"/>
      <c r="R94" s="301"/>
    </row>
    <row r="95" ht="14.25" customHeight="1" outlineLevel="2">
      <c r="B95" s="327"/>
      <c r="D95" s="336"/>
      <c r="E95" s="309" t="s">
        <v>509</v>
      </c>
      <c r="F95" s="337">
        <v>3.0</v>
      </c>
      <c r="G95" s="301">
        <v>39.0</v>
      </c>
      <c r="H95" s="301">
        <v>39.0</v>
      </c>
      <c r="I95" s="312"/>
      <c r="J95" s="313">
        <v>6.0</v>
      </c>
      <c r="K95" s="314">
        <f t="shared" si="14"/>
        <v>0.1538461538</v>
      </c>
      <c r="L95" s="315">
        <f t="shared" si="15"/>
        <v>-6</v>
      </c>
      <c r="M95" s="316">
        <f t="shared" si="16"/>
        <v>-1</v>
      </c>
      <c r="N95" s="331"/>
      <c r="O95" s="318"/>
      <c r="P95" s="318"/>
      <c r="Q95" s="300"/>
      <c r="R95" s="301"/>
    </row>
    <row r="96" ht="14.25" customHeight="1" outlineLevel="2">
      <c r="B96" s="327"/>
      <c r="D96" s="336"/>
      <c r="E96" s="309" t="s">
        <v>510</v>
      </c>
      <c r="F96" s="337">
        <v>3.0</v>
      </c>
      <c r="G96" s="301">
        <v>39.0</v>
      </c>
      <c r="H96" s="301">
        <v>39.0</v>
      </c>
      <c r="I96" s="312"/>
      <c r="J96" s="313">
        <v>6.0</v>
      </c>
      <c r="K96" s="314">
        <f t="shared" si="14"/>
        <v>0.1538461538</v>
      </c>
      <c r="L96" s="315">
        <f t="shared" si="15"/>
        <v>-6</v>
      </c>
      <c r="M96" s="316">
        <f t="shared" si="16"/>
        <v>-1</v>
      </c>
      <c r="N96" s="331"/>
      <c r="O96" s="318"/>
      <c r="P96" s="318"/>
      <c r="Q96" s="300"/>
      <c r="R96" s="301"/>
    </row>
    <row r="97" ht="14.25" customHeight="1" outlineLevel="2">
      <c r="B97" s="327"/>
      <c r="C97" s="327"/>
      <c r="D97" s="336"/>
      <c r="E97" s="309" t="s">
        <v>114</v>
      </c>
      <c r="F97" s="337">
        <v>3.0</v>
      </c>
      <c r="G97" s="301">
        <v>49.0</v>
      </c>
      <c r="H97" s="301"/>
      <c r="I97" s="312"/>
      <c r="J97" s="313">
        <v>6.0</v>
      </c>
      <c r="K97" s="314">
        <f t="shared" si="14"/>
        <v>0.1224489796</v>
      </c>
      <c r="L97" s="315">
        <f t="shared" si="15"/>
        <v>-6</v>
      </c>
      <c r="M97" s="316">
        <f t="shared" si="16"/>
        <v>-1</v>
      </c>
      <c r="N97" s="331"/>
      <c r="O97" s="318"/>
      <c r="P97" s="318"/>
      <c r="Q97" s="300"/>
      <c r="R97" s="301"/>
    </row>
    <row r="98" ht="14.25" customHeight="1" outlineLevel="2">
      <c r="A98" s="327" t="s">
        <v>547</v>
      </c>
      <c r="B98" s="327"/>
      <c r="C98" s="327" t="s">
        <v>547</v>
      </c>
      <c r="D98" s="336"/>
      <c r="E98" s="309" t="s">
        <v>159</v>
      </c>
      <c r="F98" s="337">
        <v>3.0</v>
      </c>
      <c r="G98" s="301">
        <v>39.0</v>
      </c>
      <c r="H98" s="301">
        <v>39.0</v>
      </c>
      <c r="I98" s="312" t="str">
        <f>G98/R98</f>
        <v>#DIV/0!</v>
      </c>
      <c r="J98" s="313">
        <v>8.0</v>
      </c>
      <c r="K98" s="314">
        <f t="shared" si="14"/>
        <v>0.2051282051</v>
      </c>
      <c r="L98" s="315">
        <f t="shared" si="15"/>
        <v>-8</v>
      </c>
      <c r="M98" s="316">
        <f t="shared" si="16"/>
        <v>-1</v>
      </c>
      <c r="N98" s="331"/>
      <c r="O98" s="318" t="s">
        <v>112</v>
      </c>
      <c r="P98" s="318" t="s">
        <v>112</v>
      </c>
      <c r="Q98" s="300"/>
      <c r="R98" s="301"/>
    </row>
    <row r="99" ht="14.25" customHeight="1" outlineLevel="2">
      <c r="B99" s="327"/>
      <c r="D99" s="336"/>
      <c r="E99" s="309" t="s">
        <v>160</v>
      </c>
      <c r="F99" s="337">
        <v>3.0</v>
      </c>
      <c r="G99" s="301">
        <v>39.0</v>
      </c>
      <c r="H99" s="301">
        <v>39.0</v>
      </c>
      <c r="I99" s="312"/>
      <c r="J99" s="313">
        <v>8.0</v>
      </c>
      <c r="K99" s="314">
        <f t="shared" si="14"/>
        <v>0.2051282051</v>
      </c>
      <c r="L99" s="315">
        <f t="shared" si="15"/>
        <v>-8</v>
      </c>
      <c r="M99" s="316">
        <f t="shared" si="16"/>
        <v>-1</v>
      </c>
      <c r="N99" s="331"/>
      <c r="O99" s="318"/>
      <c r="P99" s="318"/>
      <c r="Q99" s="300"/>
      <c r="R99" s="301"/>
    </row>
    <row r="100" ht="14.25" customHeight="1" outlineLevel="2">
      <c r="B100" s="327"/>
      <c r="D100" s="336"/>
      <c r="E100" s="309" t="s">
        <v>509</v>
      </c>
      <c r="F100" s="337">
        <v>3.0</v>
      </c>
      <c r="G100" s="301">
        <v>39.0</v>
      </c>
      <c r="H100" s="301">
        <v>39.0</v>
      </c>
      <c r="I100" s="312"/>
      <c r="J100" s="313">
        <v>8.0</v>
      </c>
      <c r="K100" s="314">
        <f t="shared" si="14"/>
        <v>0.2051282051</v>
      </c>
      <c r="L100" s="315">
        <f t="shared" si="15"/>
        <v>-8</v>
      </c>
      <c r="M100" s="316">
        <f t="shared" si="16"/>
        <v>-1</v>
      </c>
      <c r="N100" s="331"/>
      <c r="O100" s="318"/>
      <c r="P100" s="318"/>
      <c r="Q100" s="300"/>
      <c r="R100" s="301"/>
    </row>
    <row r="101" ht="14.25" customHeight="1" outlineLevel="2">
      <c r="B101" s="327"/>
      <c r="D101" s="336"/>
      <c r="E101" s="309" t="s">
        <v>510</v>
      </c>
      <c r="F101" s="337">
        <v>3.0</v>
      </c>
      <c r="G101" s="301">
        <v>39.0</v>
      </c>
      <c r="H101" s="301">
        <v>39.0</v>
      </c>
      <c r="I101" s="312"/>
      <c r="J101" s="313">
        <v>8.0</v>
      </c>
      <c r="K101" s="314">
        <f t="shared" si="14"/>
        <v>0.2051282051</v>
      </c>
      <c r="L101" s="315">
        <f t="shared" si="15"/>
        <v>-8</v>
      </c>
      <c r="M101" s="316">
        <f t="shared" si="16"/>
        <v>-1</v>
      </c>
      <c r="N101" s="331"/>
      <c r="O101" s="318"/>
      <c r="P101" s="318"/>
      <c r="Q101" s="300"/>
      <c r="R101" s="301"/>
    </row>
    <row r="102" ht="14.25" customHeight="1" outlineLevel="2">
      <c r="B102" s="327"/>
      <c r="C102" s="327"/>
      <c r="D102" s="336"/>
      <c r="E102" s="309" t="s">
        <v>114</v>
      </c>
      <c r="F102" s="337">
        <v>3.0</v>
      </c>
      <c r="G102" s="301">
        <v>49.0</v>
      </c>
      <c r="H102" s="301"/>
      <c r="I102" s="312"/>
      <c r="J102" s="313">
        <v>8.0</v>
      </c>
      <c r="K102" s="314">
        <f t="shared" si="14"/>
        <v>0.1632653061</v>
      </c>
      <c r="L102" s="315">
        <f t="shared" si="15"/>
        <v>-8</v>
      </c>
      <c r="M102" s="316">
        <f t="shared" si="16"/>
        <v>-1</v>
      </c>
      <c r="N102" s="331"/>
      <c r="O102" s="318"/>
      <c r="P102" s="318"/>
      <c r="Q102" s="300"/>
      <c r="R102" s="301"/>
    </row>
    <row r="103" ht="14.25" customHeight="1" outlineLevel="2">
      <c r="A103" s="327" t="s">
        <v>548</v>
      </c>
      <c r="B103" s="327"/>
      <c r="C103" s="327" t="s">
        <v>548</v>
      </c>
      <c r="D103" s="336"/>
      <c r="E103" s="309" t="s">
        <v>159</v>
      </c>
      <c r="F103" s="337">
        <v>50.0</v>
      </c>
      <c r="G103" s="301">
        <v>69.0</v>
      </c>
      <c r="H103" s="301">
        <v>59.0</v>
      </c>
      <c r="I103" s="312" t="str">
        <f>G103/R103</f>
        <v>#DIV/0!</v>
      </c>
      <c r="J103" s="313">
        <v>9.0</v>
      </c>
      <c r="K103" s="314">
        <f t="shared" si="14"/>
        <v>0.1304347826</v>
      </c>
      <c r="L103" s="315">
        <f t="shared" si="15"/>
        <v>-9</v>
      </c>
      <c r="M103" s="316">
        <f t="shared" si="16"/>
        <v>-1</v>
      </c>
      <c r="N103" s="331"/>
      <c r="O103" s="318" t="s">
        <v>112</v>
      </c>
      <c r="P103" s="318" t="s">
        <v>112</v>
      </c>
      <c r="Q103" s="300"/>
      <c r="R103" s="301"/>
    </row>
    <row r="104" ht="14.25" customHeight="1" outlineLevel="2">
      <c r="B104" s="327"/>
      <c r="D104" s="336"/>
      <c r="E104" s="309" t="s">
        <v>160</v>
      </c>
      <c r="F104" s="337">
        <v>50.0</v>
      </c>
      <c r="G104" s="301">
        <v>69.0</v>
      </c>
      <c r="H104" s="301">
        <v>59.0</v>
      </c>
      <c r="I104" s="312"/>
      <c r="J104" s="313">
        <v>9.0</v>
      </c>
      <c r="K104" s="314">
        <f t="shared" si="14"/>
        <v>0.1304347826</v>
      </c>
      <c r="L104" s="315">
        <f t="shared" si="15"/>
        <v>-9</v>
      </c>
      <c r="M104" s="316">
        <f t="shared" si="16"/>
        <v>-1</v>
      </c>
      <c r="N104" s="331"/>
      <c r="O104" s="318"/>
      <c r="P104" s="318"/>
      <c r="Q104" s="300"/>
      <c r="R104" s="301"/>
    </row>
    <row r="105" ht="14.25" customHeight="1" outlineLevel="2">
      <c r="B105" s="327"/>
      <c r="D105" s="336"/>
      <c r="E105" s="309" t="s">
        <v>509</v>
      </c>
      <c r="F105" s="337">
        <v>50.0</v>
      </c>
      <c r="G105" s="301">
        <v>69.0</v>
      </c>
      <c r="H105" s="301">
        <v>59.0</v>
      </c>
      <c r="I105" s="312"/>
      <c r="J105" s="313">
        <v>9.0</v>
      </c>
      <c r="K105" s="314">
        <f t="shared" si="14"/>
        <v>0.1304347826</v>
      </c>
      <c r="L105" s="315">
        <f t="shared" si="15"/>
        <v>-9</v>
      </c>
      <c r="M105" s="316">
        <f t="shared" si="16"/>
        <v>-1</v>
      </c>
      <c r="N105" s="331"/>
      <c r="O105" s="318"/>
      <c r="P105" s="318"/>
      <c r="Q105" s="300"/>
      <c r="R105" s="301"/>
    </row>
    <row r="106" ht="14.25" customHeight="1" outlineLevel="2">
      <c r="B106" s="327"/>
      <c r="D106" s="336"/>
      <c r="E106" s="309" t="s">
        <v>510</v>
      </c>
      <c r="F106" s="337">
        <v>50.0</v>
      </c>
      <c r="G106" s="301">
        <v>69.0</v>
      </c>
      <c r="H106" s="301">
        <v>59.0</v>
      </c>
      <c r="I106" s="312"/>
      <c r="J106" s="313">
        <v>9.0</v>
      </c>
      <c r="K106" s="314">
        <f t="shared" si="14"/>
        <v>0.1304347826</v>
      </c>
      <c r="L106" s="315">
        <f t="shared" si="15"/>
        <v>-9</v>
      </c>
      <c r="M106" s="316">
        <f t="shared" si="16"/>
        <v>-1</v>
      </c>
      <c r="N106" s="331"/>
      <c r="O106" s="318"/>
      <c r="P106" s="318"/>
      <c r="Q106" s="300"/>
      <c r="R106" s="301"/>
    </row>
    <row r="107" ht="14.25" customHeight="1" outlineLevel="2">
      <c r="B107" s="327"/>
      <c r="C107" s="327"/>
      <c r="D107" s="336"/>
      <c r="E107" s="309" t="s">
        <v>114</v>
      </c>
      <c r="F107" s="337">
        <v>50.0</v>
      </c>
      <c r="G107" s="301">
        <v>79.0</v>
      </c>
      <c r="H107" s="301"/>
      <c r="I107" s="312"/>
      <c r="J107" s="313">
        <v>9.0</v>
      </c>
      <c r="K107" s="314">
        <f t="shared" si="14"/>
        <v>0.1139240506</v>
      </c>
      <c r="L107" s="315">
        <f t="shared" si="15"/>
        <v>-9</v>
      </c>
      <c r="M107" s="316">
        <f t="shared" si="16"/>
        <v>-1</v>
      </c>
      <c r="N107" s="331"/>
      <c r="O107" s="318"/>
      <c r="P107" s="318"/>
      <c r="Q107" s="300"/>
      <c r="R107" s="301"/>
    </row>
    <row r="108" ht="14.25" customHeight="1" outlineLevel="2">
      <c r="A108" s="327" t="s">
        <v>549</v>
      </c>
      <c r="B108" s="327"/>
      <c r="C108" s="327" t="s">
        <v>549</v>
      </c>
      <c r="D108" s="336"/>
      <c r="E108" s="309" t="s">
        <v>159</v>
      </c>
      <c r="F108" s="337">
        <v>15.0</v>
      </c>
      <c r="G108" s="301">
        <v>49.0</v>
      </c>
      <c r="H108" s="301">
        <v>49.0</v>
      </c>
      <c r="I108" s="312" t="str">
        <f>G108/R108</f>
        <v>#DIV/0!</v>
      </c>
      <c r="J108" s="313">
        <v>17.0</v>
      </c>
      <c r="K108" s="314">
        <f t="shared" si="14"/>
        <v>0.3469387755</v>
      </c>
      <c r="L108" s="315">
        <f t="shared" si="15"/>
        <v>-17</v>
      </c>
      <c r="M108" s="316">
        <f t="shared" si="16"/>
        <v>-1</v>
      </c>
      <c r="N108" s="331"/>
      <c r="O108" s="318" t="s">
        <v>112</v>
      </c>
      <c r="P108" s="318" t="s">
        <v>112</v>
      </c>
      <c r="Q108" s="300"/>
      <c r="R108" s="301"/>
    </row>
    <row r="109" ht="14.25" customHeight="1" outlineLevel="2">
      <c r="B109" s="327"/>
      <c r="D109" s="336"/>
      <c r="E109" s="309" t="s">
        <v>160</v>
      </c>
      <c r="F109" s="337">
        <v>15.0</v>
      </c>
      <c r="G109" s="301">
        <v>49.0</v>
      </c>
      <c r="H109" s="301">
        <v>39.0</v>
      </c>
      <c r="I109" s="312"/>
      <c r="J109" s="313">
        <v>17.0</v>
      </c>
      <c r="K109" s="314">
        <f t="shared" si="14"/>
        <v>0.3469387755</v>
      </c>
      <c r="L109" s="315">
        <f t="shared" si="15"/>
        <v>-17</v>
      </c>
      <c r="M109" s="316">
        <f t="shared" si="16"/>
        <v>-1</v>
      </c>
      <c r="N109" s="331"/>
      <c r="O109" s="318"/>
      <c r="P109" s="318"/>
      <c r="Q109" s="300"/>
      <c r="R109" s="301"/>
    </row>
    <row r="110" ht="14.25" customHeight="1" outlineLevel="2">
      <c r="B110" s="327"/>
      <c r="D110" s="336"/>
      <c r="E110" s="309" t="s">
        <v>509</v>
      </c>
      <c r="F110" s="337">
        <v>15.0</v>
      </c>
      <c r="G110" s="301">
        <v>49.0</v>
      </c>
      <c r="H110" s="301">
        <v>49.0</v>
      </c>
      <c r="I110" s="312"/>
      <c r="J110" s="313">
        <v>17.0</v>
      </c>
      <c r="K110" s="314">
        <f t="shared" si="14"/>
        <v>0.3469387755</v>
      </c>
      <c r="L110" s="315">
        <f t="shared" si="15"/>
        <v>-17</v>
      </c>
      <c r="M110" s="316">
        <f t="shared" si="16"/>
        <v>-1</v>
      </c>
      <c r="N110" s="331"/>
      <c r="O110" s="318"/>
      <c r="P110" s="318"/>
      <c r="Q110" s="300"/>
      <c r="R110" s="301"/>
    </row>
    <row r="111" ht="14.25" customHeight="1" outlineLevel="2">
      <c r="B111" s="327"/>
      <c r="D111" s="336"/>
      <c r="E111" s="309" t="s">
        <v>510</v>
      </c>
      <c r="F111" s="337">
        <v>15.0</v>
      </c>
      <c r="G111" s="301">
        <v>49.0</v>
      </c>
      <c r="H111" s="301">
        <v>49.0</v>
      </c>
      <c r="I111" s="312"/>
      <c r="J111" s="313">
        <v>17.0</v>
      </c>
      <c r="K111" s="314">
        <f t="shared" si="14"/>
        <v>0.3469387755</v>
      </c>
      <c r="L111" s="315">
        <f t="shared" si="15"/>
        <v>-17</v>
      </c>
      <c r="M111" s="316">
        <f t="shared" si="16"/>
        <v>-1</v>
      </c>
      <c r="N111" s="331"/>
      <c r="O111" s="318"/>
      <c r="P111" s="318"/>
      <c r="Q111" s="300"/>
      <c r="R111" s="301"/>
    </row>
    <row r="112" ht="14.25" customHeight="1" outlineLevel="2">
      <c r="B112" s="327"/>
      <c r="C112" s="327"/>
      <c r="D112" s="336"/>
      <c r="E112" s="309" t="s">
        <v>114</v>
      </c>
      <c r="F112" s="337">
        <v>15.0</v>
      </c>
      <c r="G112" s="301">
        <v>59.0</v>
      </c>
      <c r="H112" s="301"/>
      <c r="I112" s="312"/>
      <c r="J112" s="313">
        <v>17.0</v>
      </c>
      <c r="K112" s="314">
        <f t="shared" si="14"/>
        <v>0.2881355932</v>
      </c>
      <c r="L112" s="315">
        <f t="shared" si="15"/>
        <v>-17</v>
      </c>
      <c r="M112" s="316">
        <f t="shared" si="16"/>
        <v>-1</v>
      </c>
      <c r="N112" s="331"/>
      <c r="O112" s="318"/>
      <c r="P112" s="318"/>
      <c r="Q112" s="300"/>
      <c r="R112" s="301"/>
    </row>
    <row r="113" ht="14.25" customHeight="1">
      <c r="A113" s="288" t="s">
        <v>550</v>
      </c>
      <c r="B113" s="289"/>
      <c r="C113" s="288" t="s">
        <v>550</v>
      </c>
      <c r="D113" s="338"/>
      <c r="E113" s="322" t="s">
        <v>159</v>
      </c>
      <c r="F113" s="323"/>
      <c r="G113" s="294"/>
      <c r="H113" s="294"/>
      <c r="I113" s="324"/>
      <c r="J113" s="325"/>
      <c r="K113" s="297"/>
      <c r="L113" s="326"/>
      <c r="M113" s="297"/>
      <c r="N113" s="299"/>
      <c r="O113" s="290"/>
      <c r="P113" s="290"/>
      <c r="Q113" s="300"/>
      <c r="R113" s="301"/>
    </row>
    <row r="114" ht="14.25" customHeight="1">
      <c r="B114" s="289"/>
      <c r="D114" s="338"/>
      <c r="E114" s="322" t="s">
        <v>160</v>
      </c>
      <c r="F114" s="323"/>
      <c r="G114" s="294"/>
      <c r="H114" s="294"/>
      <c r="I114" s="324"/>
      <c r="J114" s="325"/>
      <c r="K114" s="297"/>
      <c r="L114" s="326"/>
      <c r="M114" s="297"/>
      <c r="N114" s="299"/>
      <c r="O114" s="290"/>
      <c r="P114" s="290"/>
      <c r="Q114" s="300"/>
      <c r="R114" s="301"/>
    </row>
    <row r="115" ht="14.25" customHeight="1">
      <c r="B115" s="289"/>
      <c r="D115" s="338"/>
      <c r="E115" s="322" t="s">
        <v>509</v>
      </c>
      <c r="F115" s="323"/>
      <c r="G115" s="294"/>
      <c r="H115" s="294"/>
      <c r="I115" s="324"/>
      <c r="J115" s="325"/>
      <c r="K115" s="297"/>
      <c r="L115" s="326"/>
      <c r="M115" s="297"/>
      <c r="N115" s="299"/>
      <c r="O115" s="290"/>
      <c r="P115" s="290"/>
      <c r="Q115" s="300"/>
      <c r="R115" s="301"/>
    </row>
    <row r="116" ht="14.25" customHeight="1">
      <c r="B116" s="289"/>
      <c r="D116" s="338"/>
      <c r="E116" s="322" t="s">
        <v>510</v>
      </c>
      <c r="F116" s="323"/>
      <c r="G116" s="294"/>
      <c r="H116" s="294"/>
      <c r="I116" s="324"/>
      <c r="J116" s="325"/>
      <c r="K116" s="297"/>
      <c r="L116" s="326"/>
      <c r="M116" s="297"/>
      <c r="N116" s="299"/>
      <c r="O116" s="290"/>
      <c r="P116" s="290"/>
      <c r="Q116" s="300"/>
      <c r="R116" s="301"/>
    </row>
    <row r="117" ht="14.25" customHeight="1">
      <c r="B117" s="289"/>
      <c r="C117" s="288"/>
      <c r="D117" s="338"/>
      <c r="E117" s="322" t="s">
        <v>114</v>
      </c>
      <c r="F117" s="323"/>
      <c r="G117" s="294"/>
      <c r="H117" s="294"/>
      <c r="I117" s="324"/>
      <c r="J117" s="325"/>
      <c r="K117" s="297"/>
      <c r="L117" s="326"/>
      <c r="M117" s="297"/>
      <c r="N117" s="299"/>
      <c r="O117" s="290"/>
      <c r="P117" s="290"/>
      <c r="Q117" s="300"/>
      <c r="R117" s="301"/>
    </row>
    <row r="118" ht="14.25" customHeight="1" outlineLevel="1">
      <c r="A118" s="327" t="s">
        <v>551</v>
      </c>
      <c r="B118" s="327"/>
      <c r="C118" s="327" t="s">
        <v>551</v>
      </c>
      <c r="D118" s="336"/>
      <c r="E118" s="309" t="s">
        <v>159</v>
      </c>
      <c r="F118" s="337">
        <v>20.0</v>
      </c>
      <c r="G118" s="301">
        <v>49.0</v>
      </c>
      <c r="H118" s="301">
        <v>39.0</v>
      </c>
      <c r="I118" s="312" t="str">
        <f>G118/R118</f>
        <v>#DIV/0!</v>
      </c>
      <c r="J118" s="313">
        <v>13.0</v>
      </c>
      <c r="K118" s="314">
        <f t="shared" ref="K118:K132" si="17">J118/G118</f>
        <v>0.2653061224</v>
      </c>
      <c r="L118" s="315">
        <f t="shared" ref="L118:L132" si="18">Q118-J118</f>
        <v>-13</v>
      </c>
      <c r="M118" s="316">
        <f t="shared" ref="M118:M132" si="19">Q118/J118-1</f>
        <v>-1</v>
      </c>
      <c r="N118" s="331" t="s">
        <v>552</v>
      </c>
      <c r="O118" s="318" t="s">
        <v>112</v>
      </c>
      <c r="P118" s="318" t="s">
        <v>111</v>
      </c>
      <c r="Q118" s="300"/>
      <c r="R118" s="301"/>
    </row>
    <row r="119" ht="14.25" customHeight="1" outlineLevel="1">
      <c r="B119" s="327"/>
      <c r="D119" s="336"/>
      <c r="E119" s="309" t="s">
        <v>160</v>
      </c>
      <c r="F119" s="337">
        <v>20.0</v>
      </c>
      <c r="G119" s="301">
        <v>49.0</v>
      </c>
      <c r="H119" s="301"/>
      <c r="I119" s="312"/>
      <c r="J119" s="313">
        <v>13.0</v>
      </c>
      <c r="K119" s="314">
        <f t="shared" si="17"/>
        <v>0.2653061224</v>
      </c>
      <c r="L119" s="315">
        <f t="shared" si="18"/>
        <v>-13</v>
      </c>
      <c r="M119" s="316">
        <f t="shared" si="19"/>
        <v>-1</v>
      </c>
      <c r="N119" s="331"/>
      <c r="O119" s="318"/>
      <c r="P119" s="318"/>
      <c r="Q119" s="300"/>
      <c r="R119" s="301"/>
    </row>
    <row r="120" ht="14.25" customHeight="1" outlineLevel="1">
      <c r="B120" s="327"/>
      <c r="D120" s="336"/>
      <c r="E120" s="309" t="s">
        <v>509</v>
      </c>
      <c r="F120" s="337">
        <v>20.0</v>
      </c>
      <c r="G120" s="301">
        <v>49.0</v>
      </c>
      <c r="H120" s="301"/>
      <c r="I120" s="312"/>
      <c r="J120" s="313">
        <v>13.0</v>
      </c>
      <c r="K120" s="314">
        <f t="shared" si="17"/>
        <v>0.2653061224</v>
      </c>
      <c r="L120" s="315">
        <f t="shared" si="18"/>
        <v>-13</v>
      </c>
      <c r="M120" s="316">
        <f t="shared" si="19"/>
        <v>-1</v>
      </c>
      <c r="N120" s="331"/>
      <c r="O120" s="318"/>
      <c r="P120" s="318"/>
      <c r="Q120" s="300"/>
      <c r="R120" s="301"/>
    </row>
    <row r="121" ht="14.25" customHeight="1" outlineLevel="1">
      <c r="B121" s="327"/>
      <c r="D121" s="336"/>
      <c r="E121" s="309" t="s">
        <v>510</v>
      </c>
      <c r="F121" s="337">
        <v>20.0</v>
      </c>
      <c r="G121" s="301">
        <v>49.0</v>
      </c>
      <c r="H121" s="301"/>
      <c r="I121" s="312"/>
      <c r="J121" s="313">
        <v>13.0</v>
      </c>
      <c r="K121" s="314">
        <f t="shared" si="17"/>
        <v>0.2653061224</v>
      </c>
      <c r="L121" s="315">
        <f t="shared" si="18"/>
        <v>-13</v>
      </c>
      <c r="M121" s="316">
        <f t="shared" si="19"/>
        <v>-1</v>
      </c>
      <c r="N121" s="331"/>
      <c r="O121" s="318"/>
      <c r="P121" s="318"/>
      <c r="Q121" s="300"/>
      <c r="R121" s="301"/>
    </row>
    <row r="122" ht="14.25" customHeight="1" outlineLevel="1">
      <c r="B122" s="327"/>
      <c r="C122" s="327"/>
      <c r="D122" s="336"/>
      <c r="E122" s="309" t="s">
        <v>114</v>
      </c>
      <c r="F122" s="337">
        <v>20.0</v>
      </c>
      <c r="G122" s="301">
        <v>59.0</v>
      </c>
      <c r="H122" s="301"/>
      <c r="I122" s="312"/>
      <c r="J122" s="313">
        <v>13.0</v>
      </c>
      <c r="K122" s="314">
        <f t="shared" si="17"/>
        <v>0.2203389831</v>
      </c>
      <c r="L122" s="315">
        <f t="shared" si="18"/>
        <v>-13</v>
      </c>
      <c r="M122" s="316">
        <f t="shared" si="19"/>
        <v>-1</v>
      </c>
      <c r="N122" s="331"/>
      <c r="O122" s="318"/>
      <c r="P122" s="318"/>
      <c r="Q122" s="300"/>
      <c r="R122" s="301"/>
    </row>
    <row r="123" ht="14.25" customHeight="1" outlineLevel="1">
      <c r="A123" s="327" t="s">
        <v>553</v>
      </c>
      <c r="B123" s="327"/>
      <c r="C123" s="327" t="s">
        <v>553</v>
      </c>
      <c r="D123" s="336"/>
      <c r="E123" s="309" t="s">
        <v>159</v>
      </c>
      <c r="F123" s="337">
        <v>50.0</v>
      </c>
      <c r="G123" s="301">
        <v>59.0</v>
      </c>
      <c r="H123" s="301">
        <v>49.0</v>
      </c>
      <c r="I123" s="312" t="str">
        <f>G123/R123</f>
        <v>#DIV/0!</v>
      </c>
      <c r="J123" s="313">
        <v>15.0</v>
      </c>
      <c r="K123" s="314">
        <f t="shared" si="17"/>
        <v>0.2542372881</v>
      </c>
      <c r="L123" s="315">
        <f t="shared" si="18"/>
        <v>-15</v>
      </c>
      <c r="M123" s="316">
        <f t="shared" si="19"/>
        <v>-1</v>
      </c>
      <c r="N123" s="331"/>
      <c r="O123" s="318"/>
      <c r="P123" s="318"/>
      <c r="Q123" s="300"/>
      <c r="R123" s="301"/>
    </row>
    <row r="124" ht="14.25" customHeight="1" outlineLevel="1">
      <c r="B124" s="327"/>
      <c r="D124" s="336"/>
      <c r="E124" s="309" t="s">
        <v>160</v>
      </c>
      <c r="F124" s="337">
        <v>50.0</v>
      </c>
      <c r="G124" s="301">
        <v>59.0</v>
      </c>
      <c r="H124" s="301"/>
      <c r="I124" s="312"/>
      <c r="J124" s="313">
        <v>15.0</v>
      </c>
      <c r="K124" s="314">
        <f t="shared" si="17"/>
        <v>0.2542372881</v>
      </c>
      <c r="L124" s="315">
        <f t="shared" si="18"/>
        <v>-15</v>
      </c>
      <c r="M124" s="316">
        <f t="shared" si="19"/>
        <v>-1</v>
      </c>
      <c r="N124" s="331"/>
      <c r="O124" s="318"/>
      <c r="P124" s="318"/>
      <c r="Q124" s="300"/>
      <c r="R124" s="301"/>
    </row>
    <row r="125" ht="14.25" customHeight="1" outlineLevel="1">
      <c r="B125" s="327"/>
      <c r="D125" s="336"/>
      <c r="E125" s="309" t="s">
        <v>509</v>
      </c>
      <c r="F125" s="337">
        <v>50.0</v>
      </c>
      <c r="G125" s="301">
        <v>59.0</v>
      </c>
      <c r="H125" s="301"/>
      <c r="I125" s="312"/>
      <c r="J125" s="313">
        <v>15.0</v>
      </c>
      <c r="K125" s="314">
        <f t="shared" si="17"/>
        <v>0.2542372881</v>
      </c>
      <c r="L125" s="315">
        <f t="shared" si="18"/>
        <v>-15</v>
      </c>
      <c r="M125" s="316">
        <f t="shared" si="19"/>
        <v>-1</v>
      </c>
      <c r="N125" s="331"/>
      <c r="O125" s="318"/>
      <c r="P125" s="318"/>
      <c r="Q125" s="300"/>
      <c r="R125" s="301"/>
    </row>
    <row r="126" ht="14.25" customHeight="1" outlineLevel="1">
      <c r="B126" s="327"/>
      <c r="D126" s="336"/>
      <c r="E126" s="309" t="s">
        <v>510</v>
      </c>
      <c r="F126" s="337">
        <v>50.0</v>
      </c>
      <c r="G126" s="301">
        <v>59.0</v>
      </c>
      <c r="H126" s="301"/>
      <c r="I126" s="312"/>
      <c r="J126" s="313">
        <v>15.0</v>
      </c>
      <c r="K126" s="314">
        <f t="shared" si="17"/>
        <v>0.2542372881</v>
      </c>
      <c r="L126" s="315">
        <f t="shared" si="18"/>
        <v>-15</v>
      </c>
      <c r="M126" s="316">
        <f t="shared" si="19"/>
        <v>-1</v>
      </c>
      <c r="N126" s="331"/>
      <c r="O126" s="318"/>
      <c r="P126" s="318"/>
      <c r="Q126" s="300"/>
      <c r="R126" s="301"/>
    </row>
    <row r="127" ht="14.25" customHeight="1" outlineLevel="1">
      <c r="B127" s="327"/>
      <c r="C127" s="327"/>
      <c r="D127" s="336"/>
      <c r="E127" s="309" t="s">
        <v>114</v>
      </c>
      <c r="F127" s="337">
        <v>50.0</v>
      </c>
      <c r="G127" s="301">
        <v>69.0</v>
      </c>
      <c r="H127" s="301"/>
      <c r="I127" s="312"/>
      <c r="J127" s="313">
        <v>15.0</v>
      </c>
      <c r="K127" s="314">
        <f t="shared" si="17"/>
        <v>0.2173913043</v>
      </c>
      <c r="L127" s="315">
        <f t="shared" si="18"/>
        <v>-15</v>
      </c>
      <c r="M127" s="316">
        <f t="shared" si="19"/>
        <v>-1</v>
      </c>
      <c r="N127" s="331"/>
      <c r="O127" s="318"/>
      <c r="P127" s="318"/>
      <c r="Q127" s="300"/>
      <c r="R127" s="301"/>
    </row>
    <row r="128" ht="14.25" customHeight="1" outlineLevel="1">
      <c r="A128" s="327" t="s">
        <v>554</v>
      </c>
      <c r="B128" s="327"/>
      <c r="C128" s="327" t="s">
        <v>554</v>
      </c>
      <c r="D128" s="336"/>
      <c r="E128" s="309" t="s">
        <v>159</v>
      </c>
      <c r="F128" s="337">
        <v>50.0</v>
      </c>
      <c r="G128" s="301">
        <v>49.0</v>
      </c>
      <c r="H128" s="301">
        <v>39.0</v>
      </c>
      <c r="I128" s="312" t="str">
        <f>G128/R128</f>
        <v>#DIV/0!</v>
      </c>
      <c r="J128" s="313">
        <v>10.0</v>
      </c>
      <c r="K128" s="314">
        <f t="shared" si="17"/>
        <v>0.2040816327</v>
      </c>
      <c r="L128" s="315">
        <f t="shared" si="18"/>
        <v>-10</v>
      </c>
      <c r="M128" s="316">
        <f t="shared" si="19"/>
        <v>-1</v>
      </c>
      <c r="N128" s="331"/>
      <c r="O128" s="318"/>
      <c r="P128" s="318"/>
      <c r="Q128" s="300"/>
      <c r="R128" s="301"/>
    </row>
    <row r="129" ht="14.25" customHeight="1" outlineLevel="1">
      <c r="B129" s="327"/>
      <c r="D129" s="336"/>
      <c r="E129" s="309" t="s">
        <v>160</v>
      </c>
      <c r="F129" s="337">
        <v>50.0</v>
      </c>
      <c r="G129" s="301">
        <v>49.0</v>
      </c>
      <c r="H129" s="301"/>
      <c r="I129" s="312"/>
      <c r="J129" s="313">
        <v>10.0</v>
      </c>
      <c r="K129" s="314">
        <f t="shared" si="17"/>
        <v>0.2040816327</v>
      </c>
      <c r="L129" s="315">
        <f t="shared" si="18"/>
        <v>-10</v>
      </c>
      <c r="M129" s="316">
        <f t="shared" si="19"/>
        <v>-1</v>
      </c>
      <c r="N129" s="331"/>
      <c r="O129" s="318"/>
      <c r="P129" s="318"/>
      <c r="Q129" s="300"/>
      <c r="R129" s="301"/>
    </row>
    <row r="130" ht="14.25" customHeight="1" outlineLevel="1">
      <c r="B130" s="327"/>
      <c r="D130" s="336"/>
      <c r="E130" s="309" t="s">
        <v>509</v>
      </c>
      <c r="F130" s="337">
        <v>50.0</v>
      </c>
      <c r="G130" s="301">
        <v>49.0</v>
      </c>
      <c r="H130" s="301"/>
      <c r="I130" s="312"/>
      <c r="J130" s="313">
        <v>10.0</v>
      </c>
      <c r="K130" s="314">
        <f t="shared" si="17"/>
        <v>0.2040816327</v>
      </c>
      <c r="L130" s="315">
        <f t="shared" si="18"/>
        <v>-10</v>
      </c>
      <c r="M130" s="316">
        <f t="shared" si="19"/>
        <v>-1</v>
      </c>
      <c r="N130" s="331"/>
      <c r="O130" s="318"/>
      <c r="P130" s="318"/>
      <c r="Q130" s="300"/>
      <c r="R130" s="301"/>
    </row>
    <row r="131" ht="14.25" customHeight="1" outlineLevel="1">
      <c r="B131" s="327"/>
      <c r="D131" s="336"/>
      <c r="E131" s="309" t="s">
        <v>510</v>
      </c>
      <c r="F131" s="337">
        <v>50.0</v>
      </c>
      <c r="G131" s="301">
        <v>49.0</v>
      </c>
      <c r="H131" s="301"/>
      <c r="I131" s="312"/>
      <c r="J131" s="313">
        <v>10.0</v>
      </c>
      <c r="K131" s="314">
        <f t="shared" si="17"/>
        <v>0.2040816327</v>
      </c>
      <c r="L131" s="315">
        <f t="shared" si="18"/>
        <v>-10</v>
      </c>
      <c r="M131" s="316">
        <f t="shared" si="19"/>
        <v>-1</v>
      </c>
      <c r="N131" s="331"/>
      <c r="O131" s="318"/>
      <c r="P131" s="318"/>
      <c r="Q131" s="300"/>
      <c r="R131" s="301"/>
    </row>
    <row r="132" ht="14.25" customHeight="1" outlineLevel="1">
      <c r="B132" s="327"/>
      <c r="C132" s="327"/>
      <c r="D132" s="336"/>
      <c r="E132" s="309" t="s">
        <v>114</v>
      </c>
      <c r="F132" s="337">
        <v>50.0</v>
      </c>
      <c r="G132" s="301">
        <v>59.0</v>
      </c>
      <c r="H132" s="301"/>
      <c r="I132" s="312"/>
      <c r="J132" s="313">
        <v>10.0</v>
      </c>
      <c r="K132" s="314">
        <f t="shared" si="17"/>
        <v>0.1694915254</v>
      </c>
      <c r="L132" s="315">
        <f t="shared" si="18"/>
        <v>-10</v>
      </c>
      <c r="M132" s="316">
        <f t="shared" si="19"/>
        <v>-1</v>
      </c>
      <c r="N132" s="331"/>
      <c r="O132" s="318"/>
      <c r="P132" s="318"/>
      <c r="Q132" s="300"/>
      <c r="R132" s="301"/>
    </row>
    <row r="133" ht="14.25" customHeight="1">
      <c r="A133" s="288" t="s">
        <v>555</v>
      </c>
      <c r="B133" s="289"/>
      <c r="C133" s="288" t="s">
        <v>555</v>
      </c>
      <c r="D133" s="338"/>
      <c r="E133" s="322" t="s">
        <v>159</v>
      </c>
      <c r="F133" s="323"/>
      <c r="G133" s="294"/>
      <c r="H133" s="294"/>
      <c r="I133" s="324"/>
      <c r="J133" s="325"/>
      <c r="K133" s="297"/>
      <c r="L133" s="326"/>
      <c r="M133" s="297"/>
      <c r="N133" s="299"/>
      <c r="O133" s="297"/>
      <c r="P133" s="297"/>
      <c r="Q133" s="300"/>
      <c r="R133" s="294"/>
    </row>
    <row r="134" ht="14.25" customHeight="1">
      <c r="B134" s="289"/>
      <c r="D134" s="338"/>
      <c r="E134" s="322" t="s">
        <v>160</v>
      </c>
      <c r="F134" s="323"/>
      <c r="G134" s="294"/>
      <c r="H134" s="294"/>
      <c r="I134" s="324"/>
      <c r="J134" s="325"/>
      <c r="K134" s="297"/>
      <c r="L134" s="326"/>
      <c r="M134" s="297"/>
      <c r="N134" s="299"/>
      <c r="O134" s="297"/>
      <c r="P134" s="297"/>
      <c r="Q134" s="300"/>
      <c r="R134" s="294"/>
    </row>
    <row r="135" ht="14.25" customHeight="1">
      <c r="B135" s="289"/>
      <c r="D135" s="338"/>
      <c r="E135" s="322" t="s">
        <v>509</v>
      </c>
      <c r="F135" s="323"/>
      <c r="G135" s="294"/>
      <c r="H135" s="294"/>
      <c r="I135" s="324"/>
      <c r="J135" s="325"/>
      <c r="K135" s="297"/>
      <c r="L135" s="326"/>
      <c r="M135" s="297"/>
      <c r="N135" s="299"/>
      <c r="O135" s="297"/>
      <c r="P135" s="297"/>
      <c r="Q135" s="300"/>
      <c r="R135" s="294"/>
    </row>
    <row r="136" ht="14.25" customHeight="1">
      <c r="B136" s="289"/>
      <c r="D136" s="338"/>
      <c r="E136" s="322" t="s">
        <v>510</v>
      </c>
      <c r="F136" s="323"/>
      <c r="G136" s="294"/>
      <c r="H136" s="294"/>
      <c r="I136" s="324"/>
      <c r="J136" s="325"/>
      <c r="K136" s="297"/>
      <c r="L136" s="326"/>
      <c r="M136" s="297"/>
      <c r="N136" s="299"/>
      <c r="O136" s="297"/>
      <c r="P136" s="297"/>
      <c r="Q136" s="300"/>
      <c r="R136" s="294"/>
    </row>
    <row r="137" ht="14.25" customHeight="1">
      <c r="B137" s="289"/>
      <c r="C137" s="288"/>
      <c r="D137" s="338"/>
      <c r="E137" s="322" t="s">
        <v>114</v>
      </c>
      <c r="F137" s="323"/>
      <c r="G137" s="294"/>
      <c r="H137" s="294"/>
      <c r="I137" s="324"/>
      <c r="J137" s="325"/>
      <c r="K137" s="297"/>
      <c r="L137" s="326"/>
      <c r="M137" s="297"/>
      <c r="N137" s="299"/>
      <c r="O137" s="297"/>
      <c r="P137" s="297"/>
      <c r="Q137" s="300"/>
      <c r="R137" s="294"/>
    </row>
    <row r="138" ht="14.25" customHeight="1" outlineLevel="1">
      <c r="A138" s="327" t="s">
        <v>556</v>
      </c>
      <c r="B138" s="327"/>
      <c r="C138" s="327" t="s">
        <v>557</v>
      </c>
      <c r="D138" s="336" t="s">
        <v>558</v>
      </c>
      <c r="E138" s="309" t="s">
        <v>159</v>
      </c>
      <c r="F138" s="337">
        <v>30.0</v>
      </c>
      <c r="G138" s="301">
        <v>149.0</v>
      </c>
      <c r="H138" s="301">
        <v>129.0</v>
      </c>
      <c r="I138" s="312" t="str">
        <f t="shared" ref="I138:I140" si="20">G138/R138</f>
        <v>#DIV/0!</v>
      </c>
      <c r="J138" s="313">
        <v>17.0</v>
      </c>
      <c r="K138" s="314">
        <f t="shared" ref="K138:K187" si="21">J138/G138</f>
        <v>0.1140939597</v>
      </c>
      <c r="L138" s="315">
        <f t="shared" ref="L138:L187" si="22">Q138-J138</f>
        <v>-17</v>
      </c>
      <c r="M138" s="316">
        <f t="shared" ref="M138:M187" si="23">Q138/J138-1</f>
        <v>-1</v>
      </c>
      <c r="N138" s="331">
        <v>169.0</v>
      </c>
      <c r="O138" s="318" t="s">
        <v>112</v>
      </c>
      <c r="P138" s="318" t="s">
        <v>111</v>
      </c>
      <c r="Q138" s="300"/>
      <c r="R138" s="301"/>
    </row>
    <row r="139" ht="14.25" customHeight="1" outlineLevel="1">
      <c r="B139" s="327"/>
      <c r="D139" s="336"/>
      <c r="E139" s="309" t="s">
        <v>160</v>
      </c>
      <c r="F139" s="337">
        <v>30.0</v>
      </c>
      <c r="G139" s="301">
        <v>149.0</v>
      </c>
      <c r="H139" s="301">
        <v>119.0</v>
      </c>
      <c r="I139" s="312" t="str">
        <f t="shared" si="20"/>
        <v>#DIV/0!</v>
      </c>
      <c r="J139" s="313">
        <v>27.0</v>
      </c>
      <c r="K139" s="314">
        <f t="shared" si="21"/>
        <v>0.1812080537</v>
      </c>
      <c r="L139" s="315">
        <f t="shared" si="22"/>
        <v>-27</v>
      </c>
      <c r="M139" s="316">
        <f t="shared" si="23"/>
        <v>-1</v>
      </c>
      <c r="N139" s="331"/>
      <c r="O139" s="318"/>
      <c r="P139" s="318"/>
      <c r="Q139" s="300"/>
      <c r="R139" s="301"/>
    </row>
    <row r="140" ht="14.25" customHeight="1" outlineLevel="1">
      <c r="B140" s="327"/>
      <c r="D140" s="336"/>
      <c r="E140" s="309" t="s">
        <v>509</v>
      </c>
      <c r="F140" s="337">
        <v>30.0</v>
      </c>
      <c r="G140" s="301">
        <v>159.0</v>
      </c>
      <c r="H140" s="301">
        <v>139.0</v>
      </c>
      <c r="I140" s="312" t="str">
        <f t="shared" si="20"/>
        <v>#DIV/0!</v>
      </c>
      <c r="J140" s="313">
        <v>21.0</v>
      </c>
      <c r="K140" s="314">
        <f t="shared" si="21"/>
        <v>0.1320754717</v>
      </c>
      <c r="L140" s="315">
        <f t="shared" si="22"/>
        <v>-21</v>
      </c>
      <c r="M140" s="316">
        <f t="shared" si="23"/>
        <v>-1</v>
      </c>
      <c r="N140" s="331"/>
      <c r="O140" s="318"/>
      <c r="P140" s="318"/>
      <c r="Q140" s="300"/>
      <c r="R140" s="301"/>
    </row>
    <row r="141" ht="14.25" customHeight="1" outlineLevel="1">
      <c r="B141" s="327"/>
      <c r="D141" s="336"/>
      <c r="E141" s="309" t="s">
        <v>510</v>
      </c>
      <c r="F141" s="337">
        <v>30.0</v>
      </c>
      <c r="G141" s="301">
        <v>159.0</v>
      </c>
      <c r="H141" s="301">
        <v>139.0</v>
      </c>
      <c r="I141" s="312"/>
      <c r="J141" s="313">
        <v>20.0</v>
      </c>
      <c r="K141" s="314">
        <f t="shared" si="21"/>
        <v>0.1257861635</v>
      </c>
      <c r="L141" s="315">
        <f t="shared" si="22"/>
        <v>-20</v>
      </c>
      <c r="M141" s="316">
        <f t="shared" si="23"/>
        <v>-1</v>
      </c>
      <c r="N141" s="331"/>
      <c r="O141" s="318"/>
      <c r="P141" s="318" t="s">
        <v>111</v>
      </c>
      <c r="Q141" s="300"/>
      <c r="R141" s="301"/>
    </row>
    <row r="142" ht="14.25" customHeight="1" outlineLevel="1">
      <c r="B142" s="327"/>
      <c r="C142" s="327"/>
      <c r="D142" s="336"/>
      <c r="E142" s="309" t="s">
        <v>114</v>
      </c>
      <c r="F142" s="337">
        <v>30.0</v>
      </c>
      <c r="G142" s="301">
        <v>140.0</v>
      </c>
      <c r="H142" s="301"/>
      <c r="I142" s="312"/>
      <c r="J142" s="313">
        <v>20.0</v>
      </c>
      <c r="K142" s="314">
        <f t="shared" si="21"/>
        <v>0.1428571429</v>
      </c>
      <c r="L142" s="315">
        <f t="shared" si="22"/>
        <v>-20</v>
      </c>
      <c r="M142" s="316">
        <f t="shared" si="23"/>
        <v>-1</v>
      </c>
      <c r="N142" s="331"/>
      <c r="O142" s="318"/>
      <c r="P142" s="318"/>
      <c r="Q142" s="300"/>
      <c r="R142" s="301"/>
    </row>
    <row r="143" ht="14.25" customHeight="1" outlineLevel="1">
      <c r="A143" s="327" t="s">
        <v>559</v>
      </c>
      <c r="B143" s="327"/>
      <c r="C143" s="327" t="s">
        <v>557</v>
      </c>
      <c r="D143" s="336"/>
      <c r="E143" s="309" t="s">
        <v>159</v>
      </c>
      <c r="F143" s="337">
        <v>60.0</v>
      </c>
      <c r="G143" s="301">
        <v>219.0</v>
      </c>
      <c r="H143" s="301">
        <v>219.0</v>
      </c>
      <c r="I143" s="312" t="str">
        <f>G143/R143</f>
        <v>#DIV/0!</v>
      </c>
      <c r="J143" s="313">
        <v>19.0</v>
      </c>
      <c r="K143" s="314">
        <f t="shared" si="21"/>
        <v>0.08675799087</v>
      </c>
      <c r="L143" s="315">
        <f t="shared" si="22"/>
        <v>-19</v>
      </c>
      <c r="M143" s="316">
        <f t="shared" si="23"/>
        <v>-1</v>
      </c>
      <c r="N143" s="331">
        <v>239.0</v>
      </c>
      <c r="O143" s="318" t="s">
        <v>112</v>
      </c>
      <c r="P143" s="318" t="s">
        <v>111</v>
      </c>
      <c r="Q143" s="300"/>
      <c r="R143" s="301"/>
    </row>
    <row r="144" ht="14.25" customHeight="1" outlineLevel="1">
      <c r="B144" s="327"/>
      <c r="D144" s="336"/>
      <c r="E144" s="309" t="s">
        <v>160</v>
      </c>
      <c r="F144" s="337">
        <v>60.0</v>
      </c>
      <c r="G144" s="301">
        <v>219.0</v>
      </c>
      <c r="H144" s="301">
        <v>199.0</v>
      </c>
      <c r="I144" s="312"/>
      <c r="J144" s="313">
        <v>30.0</v>
      </c>
      <c r="K144" s="314">
        <f t="shared" si="21"/>
        <v>0.1369863014</v>
      </c>
      <c r="L144" s="315">
        <f t="shared" si="22"/>
        <v>-30</v>
      </c>
      <c r="M144" s="316">
        <f t="shared" si="23"/>
        <v>-1</v>
      </c>
      <c r="N144" s="331"/>
      <c r="O144" s="318"/>
      <c r="P144" s="318"/>
      <c r="Q144" s="300"/>
      <c r="R144" s="301"/>
    </row>
    <row r="145" ht="14.25" customHeight="1" outlineLevel="1">
      <c r="B145" s="327"/>
      <c r="D145" s="336"/>
      <c r="E145" s="309" t="s">
        <v>509</v>
      </c>
      <c r="F145" s="337">
        <v>60.0</v>
      </c>
      <c r="G145" s="301">
        <v>229.0</v>
      </c>
      <c r="H145" s="301">
        <v>229.0</v>
      </c>
      <c r="I145" s="312"/>
      <c r="J145" s="313">
        <v>24.0</v>
      </c>
      <c r="K145" s="314">
        <f t="shared" si="21"/>
        <v>0.1048034934</v>
      </c>
      <c r="L145" s="315">
        <f t="shared" si="22"/>
        <v>-24</v>
      </c>
      <c r="M145" s="316">
        <f t="shared" si="23"/>
        <v>-1</v>
      </c>
      <c r="N145" s="331"/>
      <c r="O145" s="318"/>
      <c r="P145" s="318"/>
      <c r="Q145" s="300"/>
      <c r="R145" s="301"/>
    </row>
    <row r="146" ht="14.25" customHeight="1" outlineLevel="1">
      <c r="B146" s="327"/>
      <c r="D146" s="336"/>
      <c r="E146" s="309" t="s">
        <v>510</v>
      </c>
      <c r="F146" s="337">
        <v>60.0</v>
      </c>
      <c r="G146" s="301">
        <v>229.0</v>
      </c>
      <c r="H146" s="301">
        <v>229.0</v>
      </c>
      <c r="I146" s="312"/>
      <c r="J146" s="313">
        <v>22.0</v>
      </c>
      <c r="K146" s="314">
        <f t="shared" si="21"/>
        <v>0.096069869</v>
      </c>
      <c r="L146" s="315">
        <f t="shared" si="22"/>
        <v>-22</v>
      </c>
      <c r="M146" s="316">
        <f t="shared" si="23"/>
        <v>-1</v>
      </c>
      <c r="N146" s="331"/>
      <c r="O146" s="318"/>
      <c r="P146" s="318" t="s">
        <v>111</v>
      </c>
      <c r="Q146" s="300"/>
      <c r="R146" s="301"/>
    </row>
    <row r="147" ht="14.25" customHeight="1" outlineLevel="1">
      <c r="B147" s="327"/>
      <c r="C147" s="327"/>
      <c r="D147" s="336"/>
      <c r="E147" s="309" t="s">
        <v>114</v>
      </c>
      <c r="F147" s="337">
        <v>60.0</v>
      </c>
      <c r="G147" s="301">
        <v>249.0</v>
      </c>
      <c r="H147" s="301"/>
      <c r="I147" s="312"/>
      <c r="J147" s="313">
        <v>22.0</v>
      </c>
      <c r="K147" s="314">
        <f t="shared" si="21"/>
        <v>0.08835341365</v>
      </c>
      <c r="L147" s="315">
        <f t="shared" si="22"/>
        <v>-22</v>
      </c>
      <c r="M147" s="316">
        <f t="shared" si="23"/>
        <v>-1</v>
      </c>
      <c r="N147" s="331"/>
      <c r="O147" s="318"/>
      <c r="P147" s="318"/>
      <c r="Q147" s="300"/>
      <c r="R147" s="301"/>
    </row>
    <row r="148" ht="14.25" customHeight="1" outlineLevel="1">
      <c r="A148" s="327" t="s">
        <v>560</v>
      </c>
      <c r="B148" s="327"/>
      <c r="C148" s="327" t="s">
        <v>561</v>
      </c>
      <c r="D148" s="336" t="s">
        <v>558</v>
      </c>
      <c r="E148" s="309" t="s">
        <v>159</v>
      </c>
      <c r="F148" s="339">
        <v>180.0</v>
      </c>
      <c r="G148" s="301">
        <v>179.0</v>
      </c>
      <c r="H148" s="301">
        <v>149.0</v>
      </c>
      <c r="I148" s="312" t="str">
        <f>G148/R148</f>
        <v>#DIV/0!</v>
      </c>
      <c r="J148" s="313">
        <v>18.0</v>
      </c>
      <c r="K148" s="314">
        <f t="shared" si="21"/>
        <v>0.1005586592</v>
      </c>
      <c r="L148" s="315">
        <f t="shared" si="22"/>
        <v>-18</v>
      </c>
      <c r="M148" s="316">
        <f t="shared" si="23"/>
        <v>-1</v>
      </c>
      <c r="N148" s="317">
        <v>199.0</v>
      </c>
      <c r="O148" s="318" t="s">
        <v>112</v>
      </c>
      <c r="P148" s="318" t="s">
        <v>111</v>
      </c>
      <c r="Q148" s="300"/>
      <c r="R148" s="301"/>
    </row>
    <row r="149" ht="14.25" customHeight="1" outlineLevel="1">
      <c r="B149" s="327"/>
      <c r="D149" s="336"/>
      <c r="E149" s="309" t="s">
        <v>160</v>
      </c>
      <c r="F149" s="339">
        <v>180.0</v>
      </c>
      <c r="G149" s="301">
        <v>179.0</v>
      </c>
      <c r="H149" s="301">
        <v>139.0</v>
      </c>
      <c r="I149" s="312"/>
      <c r="J149" s="313">
        <v>28.0</v>
      </c>
      <c r="K149" s="314">
        <f t="shared" si="21"/>
        <v>0.156424581</v>
      </c>
      <c r="L149" s="315">
        <f t="shared" si="22"/>
        <v>-28</v>
      </c>
      <c r="M149" s="316">
        <f t="shared" si="23"/>
        <v>-1</v>
      </c>
      <c r="N149" s="317"/>
      <c r="O149" s="318"/>
      <c r="P149" s="318"/>
      <c r="Q149" s="300"/>
      <c r="R149" s="301"/>
    </row>
    <row r="150" ht="14.25" customHeight="1" outlineLevel="1">
      <c r="B150" s="327"/>
      <c r="D150" s="336"/>
      <c r="E150" s="309" t="s">
        <v>509</v>
      </c>
      <c r="F150" s="339">
        <v>180.0</v>
      </c>
      <c r="G150" s="301">
        <v>189.0</v>
      </c>
      <c r="H150" s="301">
        <v>179.0</v>
      </c>
      <c r="I150" s="312"/>
      <c r="J150" s="313">
        <v>22.0</v>
      </c>
      <c r="K150" s="314">
        <f t="shared" si="21"/>
        <v>0.1164021164</v>
      </c>
      <c r="L150" s="315">
        <f t="shared" si="22"/>
        <v>-22</v>
      </c>
      <c r="M150" s="316">
        <f t="shared" si="23"/>
        <v>-1</v>
      </c>
      <c r="N150" s="317"/>
      <c r="O150" s="318"/>
      <c r="P150" s="318"/>
      <c r="Q150" s="300"/>
      <c r="R150" s="301"/>
    </row>
    <row r="151" ht="14.25" customHeight="1" outlineLevel="1">
      <c r="B151" s="327"/>
      <c r="D151" s="336"/>
      <c r="E151" s="309" t="s">
        <v>510</v>
      </c>
      <c r="F151" s="339">
        <v>180.0</v>
      </c>
      <c r="G151" s="301">
        <v>189.0</v>
      </c>
      <c r="H151" s="301">
        <v>159.0</v>
      </c>
      <c r="I151" s="312"/>
      <c r="J151" s="313">
        <v>20.0</v>
      </c>
      <c r="K151" s="314">
        <f t="shared" si="21"/>
        <v>0.1058201058</v>
      </c>
      <c r="L151" s="315">
        <f t="shared" si="22"/>
        <v>-20</v>
      </c>
      <c r="M151" s="316">
        <f t="shared" si="23"/>
        <v>-1</v>
      </c>
      <c r="N151" s="317"/>
      <c r="O151" s="318"/>
      <c r="P151" s="318" t="s">
        <v>111</v>
      </c>
      <c r="Q151" s="300"/>
      <c r="R151" s="301"/>
    </row>
    <row r="152" ht="14.25" customHeight="1" outlineLevel="1">
      <c r="B152" s="327"/>
      <c r="C152" s="327"/>
      <c r="D152" s="336"/>
      <c r="E152" s="309" t="s">
        <v>114</v>
      </c>
      <c r="F152" s="339">
        <v>180.0</v>
      </c>
      <c r="G152" s="301">
        <v>239.0</v>
      </c>
      <c r="H152" s="301"/>
      <c r="I152" s="312"/>
      <c r="J152" s="313">
        <v>20.0</v>
      </c>
      <c r="K152" s="314">
        <f t="shared" si="21"/>
        <v>0.08368200837</v>
      </c>
      <c r="L152" s="315">
        <f t="shared" si="22"/>
        <v>-20</v>
      </c>
      <c r="M152" s="316">
        <f t="shared" si="23"/>
        <v>-1</v>
      </c>
      <c r="N152" s="317"/>
      <c r="O152" s="318"/>
      <c r="P152" s="318"/>
      <c r="Q152" s="300"/>
      <c r="R152" s="301"/>
    </row>
    <row r="153" ht="14.25" customHeight="1" outlineLevel="1">
      <c r="A153" s="327" t="s">
        <v>562</v>
      </c>
      <c r="B153" s="327"/>
      <c r="C153" s="327" t="s">
        <v>561</v>
      </c>
      <c r="D153" s="336"/>
      <c r="E153" s="309" t="s">
        <v>159</v>
      </c>
      <c r="F153" s="339">
        <v>340.0</v>
      </c>
      <c r="G153" s="301">
        <v>279.0</v>
      </c>
      <c r="H153" s="301">
        <v>249.0</v>
      </c>
      <c r="I153" s="312" t="str">
        <f>G153/R153</f>
        <v>#DIV/0!</v>
      </c>
      <c r="J153" s="313">
        <v>24.0</v>
      </c>
      <c r="K153" s="314">
        <f t="shared" si="21"/>
        <v>0.08602150538</v>
      </c>
      <c r="L153" s="315">
        <f t="shared" si="22"/>
        <v>-24</v>
      </c>
      <c r="M153" s="316">
        <f t="shared" si="23"/>
        <v>-1</v>
      </c>
      <c r="N153" s="317">
        <v>299.0</v>
      </c>
      <c r="O153" s="318" t="s">
        <v>112</v>
      </c>
      <c r="P153" s="318" t="s">
        <v>111</v>
      </c>
      <c r="Q153" s="300"/>
      <c r="R153" s="301"/>
    </row>
    <row r="154" ht="14.25" customHeight="1" outlineLevel="1">
      <c r="B154" s="327"/>
      <c r="D154" s="336"/>
      <c r="E154" s="309" t="s">
        <v>160</v>
      </c>
      <c r="F154" s="339">
        <v>340.0</v>
      </c>
      <c r="G154" s="301">
        <v>279.0</v>
      </c>
      <c r="H154" s="301">
        <v>239.0</v>
      </c>
      <c r="I154" s="312"/>
      <c r="J154" s="313">
        <v>39.0</v>
      </c>
      <c r="K154" s="314">
        <f t="shared" si="21"/>
        <v>0.1397849462</v>
      </c>
      <c r="L154" s="315">
        <f t="shared" si="22"/>
        <v>-39</v>
      </c>
      <c r="M154" s="316">
        <f t="shared" si="23"/>
        <v>-1</v>
      </c>
      <c r="N154" s="317"/>
      <c r="O154" s="318"/>
      <c r="P154" s="318"/>
      <c r="Q154" s="300"/>
      <c r="R154" s="301"/>
    </row>
    <row r="155" ht="14.25" customHeight="1" outlineLevel="1">
      <c r="B155" s="327"/>
      <c r="D155" s="336"/>
      <c r="E155" s="309" t="s">
        <v>509</v>
      </c>
      <c r="F155" s="339">
        <v>340.0</v>
      </c>
      <c r="G155" s="301">
        <v>289.0</v>
      </c>
      <c r="H155" s="301">
        <v>279.0</v>
      </c>
      <c r="I155" s="312"/>
      <c r="J155" s="313">
        <v>30.0</v>
      </c>
      <c r="K155" s="314">
        <f t="shared" si="21"/>
        <v>0.1038062284</v>
      </c>
      <c r="L155" s="315">
        <f t="shared" si="22"/>
        <v>-30</v>
      </c>
      <c r="M155" s="316">
        <f t="shared" si="23"/>
        <v>-1</v>
      </c>
      <c r="N155" s="317"/>
      <c r="O155" s="318"/>
      <c r="P155" s="318"/>
      <c r="Q155" s="300"/>
      <c r="R155" s="301"/>
    </row>
    <row r="156" ht="14.25" customHeight="1" outlineLevel="1">
      <c r="B156" s="327"/>
      <c r="D156" s="336"/>
      <c r="E156" s="309" t="s">
        <v>510</v>
      </c>
      <c r="F156" s="339">
        <v>340.0</v>
      </c>
      <c r="G156" s="301">
        <v>289.0</v>
      </c>
      <c r="H156" s="301">
        <v>259.0</v>
      </c>
      <c r="I156" s="312"/>
      <c r="J156" s="313">
        <v>29.0</v>
      </c>
      <c r="K156" s="314">
        <f t="shared" si="21"/>
        <v>0.1003460208</v>
      </c>
      <c r="L156" s="315">
        <f t="shared" si="22"/>
        <v>-29</v>
      </c>
      <c r="M156" s="316">
        <f t="shared" si="23"/>
        <v>-1</v>
      </c>
      <c r="N156" s="317"/>
      <c r="O156" s="318"/>
      <c r="P156" s="318" t="s">
        <v>111</v>
      </c>
      <c r="Q156" s="300"/>
      <c r="R156" s="301"/>
    </row>
    <row r="157" ht="14.25" customHeight="1" outlineLevel="1">
      <c r="B157" s="327"/>
      <c r="C157" s="327"/>
      <c r="D157" s="327"/>
      <c r="E157" s="309" t="s">
        <v>114</v>
      </c>
      <c r="F157" s="339">
        <v>340.0</v>
      </c>
      <c r="G157" s="301">
        <v>399.0</v>
      </c>
      <c r="H157" s="301"/>
      <c r="I157" s="312"/>
      <c r="J157" s="313">
        <v>29.0</v>
      </c>
      <c r="K157" s="314">
        <f t="shared" si="21"/>
        <v>0.07268170426</v>
      </c>
      <c r="L157" s="315">
        <f t="shared" si="22"/>
        <v>-29</v>
      </c>
      <c r="M157" s="316">
        <f t="shared" si="23"/>
        <v>-1</v>
      </c>
      <c r="N157" s="317"/>
      <c r="O157" s="318"/>
      <c r="P157" s="318"/>
      <c r="Q157" s="300"/>
      <c r="R157" s="301"/>
    </row>
    <row r="158" ht="14.25" customHeight="1" outlineLevel="1">
      <c r="A158" s="327" t="s">
        <v>563</v>
      </c>
      <c r="B158" s="327" t="s">
        <v>564</v>
      </c>
      <c r="C158" s="327" t="s">
        <v>565</v>
      </c>
      <c r="D158" s="327" t="s">
        <v>564</v>
      </c>
      <c r="E158" s="309" t="s">
        <v>159</v>
      </c>
      <c r="F158" s="339">
        <v>200.0</v>
      </c>
      <c r="G158" s="301">
        <v>239.0</v>
      </c>
      <c r="H158" s="301">
        <v>189.0</v>
      </c>
      <c r="I158" s="312" t="str">
        <f>G158/R158</f>
        <v>#DIV/0!</v>
      </c>
      <c r="J158" s="313">
        <v>37.0</v>
      </c>
      <c r="K158" s="314">
        <f t="shared" si="21"/>
        <v>0.1548117155</v>
      </c>
      <c r="L158" s="315">
        <f t="shared" si="22"/>
        <v>-37</v>
      </c>
      <c r="M158" s="316">
        <f t="shared" si="23"/>
        <v>-1</v>
      </c>
      <c r="N158" s="317">
        <v>259.0</v>
      </c>
      <c r="O158" s="318" t="s">
        <v>112</v>
      </c>
      <c r="P158" s="318" t="s">
        <v>111</v>
      </c>
      <c r="Q158" s="300"/>
      <c r="R158" s="301"/>
    </row>
    <row r="159" ht="14.25" customHeight="1" outlineLevel="1">
      <c r="E159" s="309" t="s">
        <v>160</v>
      </c>
      <c r="F159" s="339">
        <v>200.0</v>
      </c>
      <c r="G159" s="301">
        <v>239.0</v>
      </c>
      <c r="H159" s="301">
        <v>169.0</v>
      </c>
      <c r="I159" s="312"/>
      <c r="J159" s="313">
        <v>45.0</v>
      </c>
      <c r="K159" s="314">
        <f t="shared" si="21"/>
        <v>0.1882845188</v>
      </c>
      <c r="L159" s="315">
        <f t="shared" si="22"/>
        <v>-45</v>
      </c>
      <c r="M159" s="316">
        <f t="shared" si="23"/>
        <v>-1</v>
      </c>
      <c r="N159" s="317"/>
      <c r="O159" s="318"/>
      <c r="P159" s="318"/>
      <c r="Q159" s="300"/>
      <c r="R159" s="301"/>
    </row>
    <row r="160" ht="14.25" customHeight="1" outlineLevel="1">
      <c r="E160" s="309" t="s">
        <v>509</v>
      </c>
      <c r="F160" s="339">
        <v>200.0</v>
      </c>
      <c r="G160" s="301">
        <v>249.0</v>
      </c>
      <c r="H160" s="301">
        <v>219.0</v>
      </c>
      <c r="I160" s="312"/>
      <c r="J160" s="313">
        <v>42.0</v>
      </c>
      <c r="K160" s="314">
        <f t="shared" si="21"/>
        <v>0.1686746988</v>
      </c>
      <c r="L160" s="315">
        <f t="shared" si="22"/>
        <v>-42</v>
      </c>
      <c r="M160" s="316">
        <f t="shared" si="23"/>
        <v>-1</v>
      </c>
      <c r="N160" s="317"/>
      <c r="O160" s="318"/>
      <c r="P160" s="318"/>
      <c r="Q160" s="300"/>
      <c r="R160" s="301"/>
    </row>
    <row r="161" ht="14.25" customHeight="1" outlineLevel="1">
      <c r="E161" s="309" t="s">
        <v>510</v>
      </c>
      <c r="F161" s="339">
        <v>200.0</v>
      </c>
      <c r="G161" s="301">
        <v>249.0</v>
      </c>
      <c r="H161" s="301">
        <v>199.0</v>
      </c>
      <c r="I161" s="312"/>
      <c r="J161" s="313">
        <v>39.0</v>
      </c>
      <c r="K161" s="314">
        <f t="shared" si="21"/>
        <v>0.156626506</v>
      </c>
      <c r="L161" s="315">
        <f t="shared" si="22"/>
        <v>-39</v>
      </c>
      <c r="M161" s="316">
        <f t="shared" si="23"/>
        <v>-1</v>
      </c>
      <c r="N161" s="317"/>
      <c r="O161" s="318"/>
      <c r="P161" s="318" t="s">
        <v>111</v>
      </c>
      <c r="Q161" s="300"/>
      <c r="R161" s="301"/>
    </row>
    <row r="162" ht="14.25" customHeight="1" outlineLevel="1">
      <c r="B162" s="327"/>
      <c r="C162" s="327"/>
      <c r="D162" s="327"/>
      <c r="E162" s="309" t="s">
        <v>114</v>
      </c>
      <c r="F162" s="339">
        <v>200.0</v>
      </c>
      <c r="G162" s="301">
        <v>299.0</v>
      </c>
      <c r="H162" s="301"/>
      <c r="I162" s="312"/>
      <c r="J162" s="313">
        <v>39.0</v>
      </c>
      <c r="K162" s="314">
        <f t="shared" si="21"/>
        <v>0.1304347826</v>
      </c>
      <c r="L162" s="315">
        <f t="shared" si="22"/>
        <v>-39</v>
      </c>
      <c r="M162" s="316">
        <f t="shared" si="23"/>
        <v>-1</v>
      </c>
      <c r="N162" s="317"/>
      <c r="O162" s="318"/>
      <c r="P162" s="318"/>
      <c r="Q162" s="300"/>
      <c r="R162" s="301"/>
    </row>
    <row r="163" ht="14.25" customHeight="1" outlineLevel="1">
      <c r="A163" s="327" t="s">
        <v>566</v>
      </c>
      <c r="B163" s="327" t="s">
        <v>567</v>
      </c>
      <c r="C163" s="327" t="s">
        <v>565</v>
      </c>
      <c r="D163" s="327" t="s">
        <v>567</v>
      </c>
      <c r="E163" s="309" t="s">
        <v>159</v>
      </c>
      <c r="F163" s="339">
        <v>340.0</v>
      </c>
      <c r="G163" s="301">
        <v>349.0</v>
      </c>
      <c r="H163" s="301">
        <v>299.0</v>
      </c>
      <c r="I163" s="312" t="str">
        <f>G163/R163</f>
        <v>#DIV/0!</v>
      </c>
      <c r="J163" s="313">
        <v>50.0</v>
      </c>
      <c r="K163" s="314">
        <f t="shared" si="21"/>
        <v>0.1432664756</v>
      </c>
      <c r="L163" s="315">
        <f t="shared" si="22"/>
        <v>-50</v>
      </c>
      <c r="M163" s="316">
        <f t="shared" si="23"/>
        <v>-1</v>
      </c>
      <c r="N163" s="317">
        <v>269.0</v>
      </c>
      <c r="O163" s="318" t="s">
        <v>112</v>
      </c>
      <c r="P163" s="318" t="s">
        <v>111</v>
      </c>
      <c r="Q163" s="300"/>
      <c r="R163" s="301"/>
    </row>
    <row r="164" ht="14.25" customHeight="1" outlineLevel="1">
      <c r="E164" s="309" t="s">
        <v>160</v>
      </c>
      <c r="F164" s="339">
        <v>340.0</v>
      </c>
      <c r="G164" s="301">
        <v>349.0</v>
      </c>
      <c r="H164" s="301">
        <v>289.0</v>
      </c>
      <c r="I164" s="312"/>
      <c r="J164" s="313">
        <v>63.0</v>
      </c>
      <c r="K164" s="314">
        <f t="shared" si="21"/>
        <v>0.1805157593</v>
      </c>
      <c r="L164" s="315">
        <f t="shared" si="22"/>
        <v>-63</v>
      </c>
      <c r="M164" s="316">
        <f t="shared" si="23"/>
        <v>-1</v>
      </c>
      <c r="N164" s="317"/>
      <c r="O164" s="318"/>
      <c r="P164" s="318"/>
      <c r="Q164" s="300"/>
      <c r="R164" s="301"/>
    </row>
    <row r="165" ht="14.25" customHeight="1" outlineLevel="1">
      <c r="E165" s="309" t="s">
        <v>509</v>
      </c>
      <c r="F165" s="339">
        <v>340.0</v>
      </c>
      <c r="G165" s="301">
        <v>369.0</v>
      </c>
      <c r="H165" s="301">
        <v>349.0</v>
      </c>
      <c r="I165" s="312"/>
      <c r="J165" s="313">
        <v>56.0</v>
      </c>
      <c r="K165" s="314">
        <f t="shared" si="21"/>
        <v>0.1517615176</v>
      </c>
      <c r="L165" s="315">
        <f t="shared" si="22"/>
        <v>-56</v>
      </c>
      <c r="M165" s="316">
        <f t="shared" si="23"/>
        <v>-1</v>
      </c>
      <c r="N165" s="317"/>
      <c r="O165" s="318"/>
      <c r="P165" s="318"/>
      <c r="Q165" s="300"/>
      <c r="R165" s="301"/>
    </row>
    <row r="166" ht="14.25" customHeight="1" outlineLevel="1">
      <c r="E166" s="309" t="s">
        <v>510</v>
      </c>
      <c r="F166" s="339">
        <v>340.0</v>
      </c>
      <c r="G166" s="301">
        <v>369.0</v>
      </c>
      <c r="H166" s="301">
        <v>329.0</v>
      </c>
      <c r="I166" s="312"/>
      <c r="J166" s="313">
        <v>53.0</v>
      </c>
      <c r="K166" s="314">
        <f t="shared" si="21"/>
        <v>0.1436314363</v>
      </c>
      <c r="L166" s="315">
        <f t="shared" si="22"/>
        <v>-53</v>
      </c>
      <c r="M166" s="316">
        <f t="shared" si="23"/>
        <v>-1</v>
      </c>
      <c r="N166" s="317"/>
      <c r="O166" s="318"/>
      <c r="P166" s="318" t="s">
        <v>111</v>
      </c>
      <c r="Q166" s="300"/>
      <c r="R166" s="301"/>
    </row>
    <row r="167" ht="14.25" customHeight="1" outlineLevel="1">
      <c r="B167" s="327"/>
      <c r="C167" s="327"/>
      <c r="D167" s="327"/>
      <c r="E167" s="309" t="s">
        <v>114</v>
      </c>
      <c r="F167" s="339">
        <v>340.0</v>
      </c>
      <c r="G167" s="301">
        <v>449.0</v>
      </c>
      <c r="H167" s="301"/>
      <c r="I167" s="312"/>
      <c r="J167" s="313">
        <v>53.0</v>
      </c>
      <c r="K167" s="314">
        <f t="shared" si="21"/>
        <v>0.1180400891</v>
      </c>
      <c r="L167" s="315">
        <f t="shared" si="22"/>
        <v>-53</v>
      </c>
      <c r="M167" s="316">
        <f t="shared" si="23"/>
        <v>-1</v>
      </c>
      <c r="N167" s="317"/>
      <c r="O167" s="318"/>
      <c r="P167" s="318"/>
      <c r="Q167" s="300"/>
      <c r="R167" s="301"/>
    </row>
    <row r="168" ht="14.25" customHeight="1" outlineLevel="1">
      <c r="A168" s="327" t="s">
        <v>568</v>
      </c>
      <c r="B168" s="327"/>
      <c r="C168" s="327" t="s">
        <v>569</v>
      </c>
      <c r="D168" s="336"/>
      <c r="E168" s="309" t="s">
        <v>159</v>
      </c>
      <c r="F168" s="339">
        <v>200.0</v>
      </c>
      <c r="G168" s="301">
        <v>239.0</v>
      </c>
      <c r="H168" s="301">
        <v>189.0</v>
      </c>
      <c r="I168" s="312" t="str">
        <f>G168/R168</f>
        <v>#DIV/0!</v>
      </c>
      <c r="J168" s="313">
        <v>37.0</v>
      </c>
      <c r="K168" s="314">
        <f t="shared" si="21"/>
        <v>0.1548117155</v>
      </c>
      <c r="L168" s="315">
        <f t="shared" si="22"/>
        <v>-37</v>
      </c>
      <c r="M168" s="316">
        <f t="shared" si="23"/>
        <v>-1</v>
      </c>
      <c r="N168" s="317">
        <v>249.0</v>
      </c>
      <c r="O168" s="318" t="s">
        <v>112</v>
      </c>
      <c r="P168" s="318" t="s">
        <v>111</v>
      </c>
      <c r="Q168" s="300"/>
      <c r="R168" s="301"/>
    </row>
    <row r="169" ht="14.25" customHeight="1" outlineLevel="1">
      <c r="B169" s="327"/>
      <c r="D169" s="336"/>
      <c r="E169" s="309" t="s">
        <v>160</v>
      </c>
      <c r="F169" s="339">
        <v>200.0</v>
      </c>
      <c r="G169" s="301">
        <v>239.0</v>
      </c>
      <c r="H169" s="301">
        <v>169.0</v>
      </c>
      <c r="I169" s="312"/>
      <c r="J169" s="313">
        <v>45.0</v>
      </c>
      <c r="K169" s="314">
        <f t="shared" si="21"/>
        <v>0.1882845188</v>
      </c>
      <c r="L169" s="315">
        <f t="shared" si="22"/>
        <v>-45</v>
      </c>
      <c r="M169" s="316">
        <f t="shared" si="23"/>
        <v>-1</v>
      </c>
      <c r="N169" s="317"/>
      <c r="O169" s="318"/>
      <c r="P169" s="318"/>
      <c r="Q169" s="300"/>
      <c r="R169" s="301"/>
    </row>
    <row r="170" ht="14.25" customHeight="1" outlineLevel="1">
      <c r="B170" s="327"/>
      <c r="D170" s="336"/>
      <c r="E170" s="309" t="s">
        <v>509</v>
      </c>
      <c r="F170" s="339">
        <v>200.0</v>
      </c>
      <c r="G170" s="301">
        <v>249.0</v>
      </c>
      <c r="H170" s="301">
        <v>219.0</v>
      </c>
      <c r="I170" s="312"/>
      <c r="J170" s="313">
        <v>42.0</v>
      </c>
      <c r="K170" s="314">
        <f t="shared" si="21"/>
        <v>0.1686746988</v>
      </c>
      <c r="L170" s="315">
        <f t="shared" si="22"/>
        <v>-42</v>
      </c>
      <c r="M170" s="316">
        <f t="shared" si="23"/>
        <v>-1</v>
      </c>
      <c r="N170" s="317"/>
      <c r="O170" s="318"/>
      <c r="P170" s="318"/>
      <c r="Q170" s="300"/>
      <c r="R170" s="301"/>
    </row>
    <row r="171" ht="14.25" customHeight="1" outlineLevel="1">
      <c r="B171" s="327"/>
      <c r="D171" s="336"/>
      <c r="E171" s="309" t="s">
        <v>510</v>
      </c>
      <c r="F171" s="339">
        <v>200.0</v>
      </c>
      <c r="G171" s="301">
        <v>249.0</v>
      </c>
      <c r="H171" s="301">
        <v>199.0</v>
      </c>
      <c r="I171" s="312"/>
      <c r="J171" s="313">
        <v>39.0</v>
      </c>
      <c r="K171" s="314">
        <f t="shared" si="21"/>
        <v>0.156626506</v>
      </c>
      <c r="L171" s="315">
        <f t="shared" si="22"/>
        <v>-39</v>
      </c>
      <c r="M171" s="316">
        <f t="shared" si="23"/>
        <v>-1</v>
      </c>
      <c r="N171" s="317"/>
      <c r="O171" s="318"/>
      <c r="P171" s="318" t="s">
        <v>111</v>
      </c>
      <c r="Q171" s="300"/>
      <c r="R171" s="301"/>
    </row>
    <row r="172" ht="14.25" customHeight="1" outlineLevel="1">
      <c r="B172" s="327"/>
      <c r="C172" s="327"/>
      <c r="D172" s="336"/>
      <c r="E172" s="309" t="s">
        <v>114</v>
      </c>
      <c r="F172" s="339">
        <v>200.0</v>
      </c>
      <c r="G172" s="301">
        <v>299.0</v>
      </c>
      <c r="H172" s="301"/>
      <c r="I172" s="312"/>
      <c r="J172" s="313">
        <v>39.0</v>
      </c>
      <c r="K172" s="314">
        <f t="shared" si="21"/>
        <v>0.1304347826</v>
      </c>
      <c r="L172" s="315">
        <f t="shared" si="22"/>
        <v>-39</v>
      </c>
      <c r="M172" s="316">
        <f t="shared" si="23"/>
        <v>-1</v>
      </c>
      <c r="N172" s="317"/>
      <c r="O172" s="318"/>
      <c r="P172" s="318"/>
      <c r="Q172" s="300"/>
      <c r="R172" s="301"/>
    </row>
    <row r="173" ht="14.25" customHeight="1" outlineLevel="1">
      <c r="A173" s="327" t="s">
        <v>570</v>
      </c>
      <c r="B173" s="327"/>
      <c r="C173" s="327" t="s">
        <v>569</v>
      </c>
      <c r="D173" s="336"/>
      <c r="E173" s="309" t="s">
        <v>159</v>
      </c>
      <c r="F173" s="339">
        <v>400.0</v>
      </c>
      <c r="G173" s="301">
        <v>359.0</v>
      </c>
      <c r="H173" s="301">
        <v>299.0</v>
      </c>
      <c r="I173" s="312" t="str">
        <f>G173/R173</f>
        <v>#DIV/0!</v>
      </c>
      <c r="J173" s="313">
        <v>54.0</v>
      </c>
      <c r="K173" s="314">
        <f t="shared" si="21"/>
        <v>0.1504178273</v>
      </c>
      <c r="L173" s="315">
        <f t="shared" si="22"/>
        <v>-54</v>
      </c>
      <c r="M173" s="316">
        <f t="shared" si="23"/>
        <v>-1</v>
      </c>
      <c r="N173" s="317">
        <v>379.0</v>
      </c>
      <c r="O173" s="318" t="s">
        <v>112</v>
      </c>
      <c r="P173" s="318" t="s">
        <v>111</v>
      </c>
      <c r="Q173" s="300"/>
      <c r="R173" s="301"/>
    </row>
    <row r="174" ht="14.25" customHeight="1" outlineLevel="1">
      <c r="B174" s="327"/>
      <c r="D174" s="336"/>
      <c r="E174" s="309" t="s">
        <v>160</v>
      </c>
      <c r="F174" s="339">
        <v>400.0</v>
      </c>
      <c r="G174" s="301">
        <v>359.0</v>
      </c>
      <c r="H174" s="301">
        <v>289.0</v>
      </c>
      <c r="I174" s="312"/>
      <c r="J174" s="313">
        <v>67.0</v>
      </c>
      <c r="K174" s="314">
        <f t="shared" si="21"/>
        <v>0.1866295265</v>
      </c>
      <c r="L174" s="315">
        <f t="shared" si="22"/>
        <v>-67</v>
      </c>
      <c r="M174" s="316">
        <f t="shared" si="23"/>
        <v>-1</v>
      </c>
      <c r="N174" s="317"/>
      <c r="O174" s="318"/>
      <c r="P174" s="318"/>
      <c r="Q174" s="300"/>
      <c r="R174" s="301"/>
    </row>
    <row r="175" ht="14.25" customHeight="1" outlineLevel="1">
      <c r="B175" s="327"/>
      <c r="D175" s="336"/>
      <c r="E175" s="309" t="s">
        <v>509</v>
      </c>
      <c r="F175" s="339">
        <v>400.0</v>
      </c>
      <c r="G175" s="301">
        <v>379.0</v>
      </c>
      <c r="H175" s="301">
        <v>349.0</v>
      </c>
      <c r="I175" s="312"/>
      <c r="J175" s="313">
        <v>62.0</v>
      </c>
      <c r="K175" s="314">
        <f t="shared" si="21"/>
        <v>0.1635883905</v>
      </c>
      <c r="L175" s="315">
        <f t="shared" si="22"/>
        <v>-62</v>
      </c>
      <c r="M175" s="316">
        <f t="shared" si="23"/>
        <v>-1</v>
      </c>
      <c r="N175" s="317"/>
      <c r="O175" s="318"/>
      <c r="P175" s="318"/>
      <c r="Q175" s="300"/>
      <c r="R175" s="301"/>
    </row>
    <row r="176" ht="14.25" customHeight="1" outlineLevel="1">
      <c r="B176" s="327"/>
      <c r="D176" s="336"/>
      <c r="E176" s="309" t="s">
        <v>510</v>
      </c>
      <c r="F176" s="339">
        <v>400.0</v>
      </c>
      <c r="G176" s="301">
        <v>379.0</v>
      </c>
      <c r="H176" s="301">
        <v>329.0</v>
      </c>
      <c r="I176" s="312"/>
      <c r="J176" s="313">
        <v>58.0</v>
      </c>
      <c r="K176" s="314">
        <f t="shared" si="21"/>
        <v>0.1530343008</v>
      </c>
      <c r="L176" s="315">
        <f t="shared" si="22"/>
        <v>-58</v>
      </c>
      <c r="M176" s="316">
        <f t="shared" si="23"/>
        <v>-1</v>
      </c>
      <c r="N176" s="317"/>
      <c r="O176" s="318"/>
      <c r="P176" s="318" t="s">
        <v>111</v>
      </c>
      <c r="Q176" s="300"/>
      <c r="R176" s="301"/>
    </row>
    <row r="177" ht="14.25" customHeight="1" outlineLevel="1">
      <c r="B177" s="327"/>
      <c r="C177" s="327"/>
      <c r="D177" s="336"/>
      <c r="E177" s="309" t="s">
        <v>114</v>
      </c>
      <c r="F177" s="339">
        <v>400.0</v>
      </c>
      <c r="G177" s="301">
        <v>469.0</v>
      </c>
      <c r="H177" s="301"/>
      <c r="I177" s="312"/>
      <c r="J177" s="313">
        <v>58.0</v>
      </c>
      <c r="K177" s="314">
        <f t="shared" si="21"/>
        <v>0.1236673774</v>
      </c>
      <c r="L177" s="315">
        <f t="shared" si="22"/>
        <v>-58</v>
      </c>
      <c r="M177" s="316">
        <f t="shared" si="23"/>
        <v>-1</v>
      </c>
      <c r="N177" s="317"/>
      <c r="O177" s="318"/>
      <c r="P177" s="318"/>
      <c r="Q177" s="300"/>
      <c r="R177" s="301"/>
    </row>
    <row r="178" ht="14.25" customHeight="1" outlineLevel="1">
      <c r="A178" s="327" t="s">
        <v>571</v>
      </c>
      <c r="B178" s="327"/>
      <c r="C178" s="327" t="s">
        <v>572</v>
      </c>
      <c r="D178" s="336"/>
      <c r="E178" s="309" t="s">
        <v>159</v>
      </c>
      <c r="F178" s="339">
        <v>200.0</v>
      </c>
      <c r="G178" s="301">
        <v>329.0</v>
      </c>
      <c r="H178" s="301">
        <v>289.0</v>
      </c>
      <c r="I178" s="312" t="str">
        <f>G178/R178</f>
        <v>#DIV/0!</v>
      </c>
      <c r="J178" s="313">
        <v>58.0</v>
      </c>
      <c r="K178" s="314">
        <f t="shared" si="21"/>
        <v>0.1762917933</v>
      </c>
      <c r="L178" s="315">
        <f t="shared" si="22"/>
        <v>-58</v>
      </c>
      <c r="M178" s="316">
        <f t="shared" si="23"/>
        <v>-1</v>
      </c>
      <c r="N178" s="317">
        <v>349.0</v>
      </c>
      <c r="O178" s="318" t="s">
        <v>112</v>
      </c>
      <c r="P178" s="318" t="s">
        <v>111</v>
      </c>
      <c r="Q178" s="300"/>
      <c r="R178" s="301"/>
    </row>
    <row r="179" ht="14.25" customHeight="1" outlineLevel="1">
      <c r="B179" s="327"/>
      <c r="D179" s="336"/>
      <c r="E179" s="309" t="s">
        <v>160</v>
      </c>
      <c r="F179" s="339">
        <v>200.0</v>
      </c>
      <c r="G179" s="301">
        <v>329.0</v>
      </c>
      <c r="H179" s="301">
        <v>279.0</v>
      </c>
      <c r="I179" s="312"/>
      <c r="J179" s="313">
        <v>71.0</v>
      </c>
      <c r="K179" s="314">
        <f t="shared" si="21"/>
        <v>0.2158054711</v>
      </c>
      <c r="L179" s="315">
        <f t="shared" si="22"/>
        <v>-71</v>
      </c>
      <c r="M179" s="316">
        <f t="shared" si="23"/>
        <v>-1</v>
      </c>
      <c r="N179" s="317"/>
      <c r="O179" s="318"/>
      <c r="P179" s="318"/>
      <c r="Q179" s="300"/>
      <c r="R179" s="301"/>
    </row>
    <row r="180" ht="14.25" customHeight="1" outlineLevel="1">
      <c r="B180" s="327"/>
      <c r="D180" s="336"/>
      <c r="E180" s="309" t="s">
        <v>509</v>
      </c>
      <c r="F180" s="339">
        <v>200.0</v>
      </c>
      <c r="G180" s="301">
        <v>349.0</v>
      </c>
      <c r="H180" s="301">
        <v>319.0</v>
      </c>
      <c r="I180" s="312"/>
      <c r="J180" s="313">
        <v>63.0</v>
      </c>
      <c r="K180" s="314">
        <f t="shared" si="21"/>
        <v>0.1805157593</v>
      </c>
      <c r="L180" s="315">
        <f t="shared" si="22"/>
        <v>-63</v>
      </c>
      <c r="M180" s="316">
        <f t="shared" si="23"/>
        <v>-1</v>
      </c>
      <c r="N180" s="317"/>
      <c r="O180" s="318"/>
      <c r="P180" s="318"/>
      <c r="Q180" s="300"/>
      <c r="R180" s="301"/>
    </row>
    <row r="181" ht="14.25" customHeight="1" outlineLevel="1">
      <c r="B181" s="327"/>
      <c r="D181" s="336"/>
      <c r="E181" s="309" t="s">
        <v>510</v>
      </c>
      <c r="F181" s="339">
        <v>200.0</v>
      </c>
      <c r="G181" s="301">
        <v>349.0</v>
      </c>
      <c r="H181" s="301">
        <v>299.0</v>
      </c>
      <c r="I181" s="312"/>
      <c r="J181" s="313">
        <v>61.0</v>
      </c>
      <c r="K181" s="314">
        <f t="shared" si="21"/>
        <v>0.1747851003</v>
      </c>
      <c r="L181" s="315">
        <f t="shared" si="22"/>
        <v>-61</v>
      </c>
      <c r="M181" s="316">
        <f t="shared" si="23"/>
        <v>-1</v>
      </c>
      <c r="N181" s="317"/>
      <c r="O181" s="318"/>
      <c r="P181" s="318" t="s">
        <v>111</v>
      </c>
      <c r="Q181" s="300"/>
      <c r="R181" s="301"/>
    </row>
    <row r="182" ht="14.25" customHeight="1" outlineLevel="1">
      <c r="B182" s="327"/>
      <c r="C182" s="327"/>
      <c r="D182" s="336"/>
      <c r="E182" s="309" t="s">
        <v>114</v>
      </c>
      <c r="F182" s="339">
        <v>200.0</v>
      </c>
      <c r="G182" s="301">
        <v>399.0</v>
      </c>
      <c r="H182" s="301"/>
      <c r="I182" s="312"/>
      <c r="J182" s="313">
        <v>61.0</v>
      </c>
      <c r="K182" s="314">
        <f t="shared" si="21"/>
        <v>0.1528822055</v>
      </c>
      <c r="L182" s="315">
        <f t="shared" si="22"/>
        <v>-61</v>
      </c>
      <c r="M182" s="316">
        <f t="shared" si="23"/>
        <v>-1</v>
      </c>
      <c r="N182" s="317"/>
      <c r="O182" s="318"/>
      <c r="P182" s="318"/>
      <c r="Q182" s="300"/>
      <c r="R182" s="301"/>
    </row>
    <row r="183" ht="14.25" customHeight="1" outlineLevel="1">
      <c r="A183" s="327" t="s">
        <v>573</v>
      </c>
      <c r="B183" s="327"/>
      <c r="C183" s="327" t="s">
        <v>572</v>
      </c>
      <c r="D183" s="336"/>
      <c r="E183" s="309" t="s">
        <v>159</v>
      </c>
      <c r="F183" s="339">
        <v>400.0</v>
      </c>
      <c r="G183" s="311">
        <v>469.0</v>
      </c>
      <c r="H183" s="311">
        <v>439.0</v>
      </c>
      <c r="I183" s="312" t="str">
        <f>G183/R183</f>
        <v>#DIV/0!</v>
      </c>
      <c r="J183" s="313">
        <v>100.0</v>
      </c>
      <c r="K183" s="314">
        <f t="shared" si="21"/>
        <v>0.2132196162</v>
      </c>
      <c r="L183" s="315">
        <f t="shared" si="22"/>
        <v>-100</v>
      </c>
      <c r="M183" s="316">
        <f t="shared" si="23"/>
        <v>-1</v>
      </c>
      <c r="N183" s="317">
        <v>489.0</v>
      </c>
      <c r="O183" s="318" t="s">
        <v>112</v>
      </c>
      <c r="P183" s="318" t="s">
        <v>111</v>
      </c>
      <c r="Q183" s="319"/>
      <c r="R183" s="311"/>
    </row>
    <row r="184" ht="14.25" customHeight="1" outlineLevel="1">
      <c r="B184" s="327"/>
      <c r="D184" s="336"/>
      <c r="E184" s="309" t="s">
        <v>160</v>
      </c>
      <c r="F184" s="339">
        <v>400.0</v>
      </c>
      <c r="G184" s="311">
        <v>469.0</v>
      </c>
      <c r="H184" s="311">
        <v>429.0</v>
      </c>
      <c r="I184" s="312"/>
      <c r="J184" s="313">
        <v>123.0</v>
      </c>
      <c r="K184" s="314">
        <f t="shared" si="21"/>
        <v>0.2622601279</v>
      </c>
      <c r="L184" s="315">
        <f t="shared" si="22"/>
        <v>-123</v>
      </c>
      <c r="M184" s="316">
        <f t="shared" si="23"/>
        <v>-1</v>
      </c>
      <c r="N184" s="317"/>
      <c r="O184" s="318"/>
      <c r="P184" s="318"/>
      <c r="Q184" s="319"/>
      <c r="R184" s="311"/>
    </row>
    <row r="185" ht="14.25" customHeight="1" outlineLevel="1">
      <c r="B185" s="327"/>
      <c r="D185" s="336"/>
      <c r="E185" s="309" t="s">
        <v>509</v>
      </c>
      <c r="F185" s="339">
        <v>400.0</v>
      </c>
      <c r="G185" s="311">
        <v>489.0</v>
      </c>
      <c r="H185" s="311">
        <v>469.0</v>
      </c>
      <c r="I185" s="312"/>
      <c r="J185" s="313">
        <v>108.0</v>
      </c>
      <c r="K185" s="314">
        <f t="shared" si="21"/>
        <v>0.2208588957</v>
      </c>
      <c r="L185" s="315">
        <f t="shared" si="22"/>
        <v>-108</v>
      </c>
      <c r="M185" s="316">
        <f t="shared" si="23"/>
        <v>-1</v>
      </c>
      <c r="N185" s="317"/>
      <c r="O185" s="318"/>
      <c r="P185" s="318"/>
      <c r="Q185" s="319"/>
      <c r="R185" s="311"/>
    </row>
    <row r="186" ht="14.25" customHeight="1" outlineLevel="1">
      <c r="B186" s="327"/>
      <c r="D186" s="336"/>
      <c r="E186" s="309" t="s">
        <v>510</v>
      </c>
      <c r="F186" s="339">
        <v>400.0</v>
      </c>
      <c r="G186" s="311">
        <v>489.0</v>
      </c>
      <c r="H186" s="311">
        <v>449.0</v>
      </c>
      <c r="I186" s="312"/>
      <c r="J186" s="313">
        <v>106.0</v>
      </c>
      <c r="K186" s="314">
        <f t="shared" si="21"/>
        <v>0.2167689162</v>
      </c>
      <c r="L186" s="315">
        <f t="shared" si="22"/>
        <v>-106</v>
      </c>
      <c r="M186" s="316">
        <f t="shared" si="23"/>
        <v>-1</v>
      </c>
      <c r="N186" s="317"/>
      <c r="O186" s="318"/>
      <c r="P186" s="318" t="s">
        <v>111</v>
      </c>
      <c r="Q186" s="319"/>
      <c r="R186" s="311"/>
    </row>
    <row r="187" ht="14.25" customHeight="1" outlineLevel="1">
      <c r="B187" s="327"/>
      <c r="C187" s="327"/>
      <c r="D187" s="336"/>
      <c r="E187" s="309" t="s">
        <v>114</v>
      </c>
      <c r="F187" s="339">
        <v>400.0</v>
      </c>
      <c r="G187" s="311">
        <v>549.0</v>
      </c>
      <c r="H187" s="311"/>
      <c r="I187" s="312"/>
      <c r="J187" s="313">
        <v>106.0</v>
      </c>
      <c r="K187" s="314">
        <f t="shared" si="21"/>
        <v>0.1930783242</v>
      </c>
      <c r="L187" s="315">
        <f t="shared" si="22"/>
        <v>-106</v>
      </c>
      <c r="M187" s="316">
        <f t="shared" si="23"/>
        <v>-1</v>
      </c>
      <c r="N187" s="317"/>
      <c r="O187" s="318"/>
      <c r="P187" s="318"/>
      <c r="Q187" s="319"/>
      <c r="R187" s="311"/>
    </row>
    <row r="188" ht="14.25" customHeight="1">
      <c r="A188" s="288" t="s">
        <v>574</v>
      </c>
      <c r="B188" s="289" t="s">
        <v>575</v>
      </c>
      <c r="C188" s="289" t="s">
        <v>576</v>
      </c>
      <c r="D188" s="291" t="s">
        <v>577</v>
      </c>
      <c r="E188" s="322" t="s">
        <v>159</v>
      </c>
      <c r="F188" s="323"/>
      <c r="G188" s="294"/>
      <c r="H188" s="294"/>
      <c r="I188" s="324"/>
      <c r="J188" s="325"/>
      <c r="K188" s="297"/>
      <c r="L188" s="326"/>
      <c r="M188" s="297"/>
      <c r="N188" s="299"/>
      <c r="O188" s="290"/>
      <c r="P188" s="290"/>
      <c r="Q188" s="300"/>
      <c r="R188" s="301"/>
    </row>
    <row r="189" ht="14.25" customHeight="1">
      <c r="D189" s="291"/>
      <c r="E189" s="322" t="s">
        <v>160</v>
      </c>
      <c r="F189" s="323"/>
      <c r="G189" s="294"/>
      <c r="H189" s="294"/>
      <c r="I189" s="324"/>
      <c r="J189" s="325"/>
      <c r="K189" s="297"/>
      <c r="L189" s="326"/>
      <c r="M189" s="297"/>
      <c r="N189" s="299"/>
      <c r="O189" s="290"/>
      <c r="P189" s="290"/>
      <c r="Q189" s="300"/>
      <c r="R189" s="301"/>
    </row>
    <row r="190" ht="14.25" customHeight="1">
      <c r="D190" s="291"/>
      <c r="E190" s="322" t="s">
        <v>509</v>
      </c>
      <c r="F190" s="323"/>
      <c r="G190" s="294"/>
      <c r="H190" s="294"/>
      <c r="I190" s="324"/>
      <c r="J190" s="325"/>
      <c r="K190" s="297"/>
      <c r="L190" s="326"/>
      <c r="M190" s="297"/>
      <c r="N190" s="299"/>
      <c r="O190" s="290"/>
      <c r="P190" s="290"/>
      <c r="Q190" s="300"/>
      <c r="R190" s="301"/>
    </row>
    <row r="191" ht="14.25" customHeight="1">
      <c r="D191" s="291"/>
      <c r="E191" s="322" t="s">
        <v>510</v>
      </c>
      <c r="F191" s="323"/>
      <c r="G191" s="294"/>
      <c r="H191" s="294"/>
      <c r="I191" s="324"/>
      <c r="J191" s="325"/>
      <c r="K191" s="297"/>
      <c r="L191" s="326"/>
      <c r="M191" s="297"/>
      <c r="N191" s="299"/>
      <c r="O191" s="290"/>
      <c r="P191" s="290"/>
      <c r="Q191" s="300"/>
      <c r="R191" s="301"/>
    </row>
    <row r="192" ht="14.25" customHeight="1">
      <c r="B192" s="289"/>
      <c r="C192" s="289"/>
      <c r="D192" s="291"/>
      <c r="E192" s="322" t="s">
        <v>114</v>
      </c>
      <c r="F192" s="323"/>
      <c r="G192" s="294"/>
      <c r="H192" s="294"/>
      <c r="I192" s="324"/>
      <c r="J192" s="325"/>
      <c r="K192" s="297"/>
      <c r="L192" s="326"/>
      <c r="M192" s="297"/>
      <c r="N192" s="299"/>
      <c r="O192" s="290"/>
      <c r="P192" s="290"/>
      <c r="Q192" s="300"/>
      <c r="R192" s="301"/>
    </row>
    <row r="193" ht="14.25" customHeight="1" outlineLevel="1">
      <c r="A193" s="327" t="s">
        <v>578</v>
      </c>
      <c r="B193" s="327" t="s">
        <v>564</v>
      </c>
      <c r="C193" s="327" t="s">
        <v>578</v>
      </c>
      <c r="D193" s="336"/>
      <c r="E193" s="309" t="s">
        <v>159</v>
      </c>
      <c r="F193" s="337">
        <v>200.0</v>
      </c>
      <c r="G193" s="301">
        <v>339.0</v>
      </c>
      <c r="H193" s="301">
        <v>299.0</v>
      </c>
      <c r="I193" s="312" t="str">
        <f>G193/R193</f>
        <v>#DIV/0!</v>
      </c>
      <c r="J193" s="313">
        <v>56.0</v>
      </c>
      <c r="K193" s="314">
        <f t="shared" ref="K193:K212" si="24">J193/G193</f>
        <v>0.1651917404</v>
      </c>
      <c r="L193" s="315">
        <f t="shared" ref="L193:L212" si="25">Q193-J193</f>
        <v>-56</v>
      </c>
      <c r="M193" s="316">
        <f t="shared" ref="M193:M212" si="26">Q193/J193-1</f>
        <v>-1</v>
      </c>
      <c r="N193" s="331">
        <v>359.0</v>
      </c>
      <c r="O193" s="318" t="s">
        <v>112</v>
      </c>
      <c r="P193" s="318" t="s">
        <v>111</v>
      </c>
      <c r="Q193" s="300"/>
      <c r="R193" s="301"/>
    </row>
    <row r="194" ht="14.25" customHeight="1" outlineLevel="1">
      <c r="D194" s="336"/>
      <c r="E194" s="309" t="s">
        <v>160</v>
      </c>
      <c r="F194" s="337">
        <v>200.0</v>
      </c>
      <c r="G194" s="301">
        <v>339.0</v>
      </c>
      <c r="H194" s="301"/>
      <c r="I194" s="312"/>
      <c r="J194" s="313">
        <v>94.0</v>
      </c>
      <c r="K194" s="314">
        <f t="shared" si="24"/>
        <v>0.2772861357</v>
      </c>
      <c r="L194" s="315">
        <f t="shared" si="25"/>
        <v>-94</v>
      </c>
      <c r="M194" s="316">
        <f t="shared" si="26"/>
        <v>-1</v>
      </c>
      <c r="N194" s="331"/>
      <c r="O194" s="318"/>
      <c r="P194" s="318"/>
      <c r="Q194" s="300"/>
      <c r="R194" s="301"/>
    </row>
    <row r="195" ht="14.25" customHeight="1" outlineLevel="1">
      <c r="D195" s="336"/>
      <c r="E195" s="309" t="s">
        <v>509</v>
      </c>
      <c r="F195" s="337">
        <v>200.0</v>
      </c>
      <c r="G195" s="301">
        <v>349.0</v>
      </c>
      <c r="H195" s="301"/>
      <c r="I195" s="312"/>
      <c r="J195" s="313">
        <v>62.0</v>
      </c>
      <c r="K195" s="314">
        <f t="shared" si="24"/>
        <v>0.1776504298</v>
      </c>
      <c r="L195" s="315">
        <f t="shared" si="25"/>
        <v>-62</v>
      </c>
      <c r="M195" s="316">
        <f t="shared" si="26"/>
        <v>-1</v>
      </c>
      <c r="N195" s="331"/>
      <c r="O195" s="318"/>
      <c r="P195" s="318"/>
      <c r="Q195" s="300"/>
      <c r="R195" s="301"/>
    </row>
    <row r="196" ht="14.25" customHeight="1" outlineLevel="1">
      <c r="D196" s="336"/>
      <c r="E196" s="309" t="s">
        <v>510</v>
      </c>
      <c r="F196" s="337">
        <v>200.0</v>
      </c>
      <c r="G196" s="301">
        <v>349.0</v>
      </c>
      <c r="H196" s="301"/>
      <c r="I196" s="312"/>
      <c r="J196" s="313">
        <v>65.0</v>
      </c>
      <c r="K196" s="314">
        <f t="shared" si="24"/>
        <v>0.1862464183</v>
      </c>
      <c r="L196" s="315">
        <f t="shared" si="25"/>
        <v>-65</v>
      </c>
      <c r="M196" s="316">
        <f t="shared" si="26"/>
        <v>-1</v>
      </c>
      <c r="N196" s="331"/>
      <c r="O196" s="318"/>
      <c r="P196" s="318"/>
      <c r="Q196" s="300"/>
      <c r="R196" s="301"/>
    </row>
    <row r="197" ht="14.25" customHeight="1" outlineLevel="1">
      <c r="B197" s="327"/>
      <c r="C197" s="327"/>
      <c r="D197" s="336"/>
      <c r="E197" s="309" t="s">
        <v>114</v>
      </c>
      <c r="F197" s="337">
        <v>200.0</v>
      </c>
      <c r="G197" s="301">
        <v>399.0</v>
      </c>
      <c r="H197" s="301"/>
      <c r="I197" s="312"/>
      <c r="J197" s="313">
        <v>65.0</v>
      </c>
      <c r="K197" s="314">
        <f t="shared" si="24"/>
        <v>0.1629072682</v>
      </c>
      <c r="L197" s="315">
        <f t="shared" si="25"/>
        <v>-65</v>
      </c>
      <c r="M197" s="316">
        <f t="shared" si="26"/>
        <v>-1</v>
      </c>
      <c r="N197" s="331"/>
      <c r="O197" s="318"/>
      <c r="P197" s="318"/>
      <c r="Q197" s="300"/>
      <c r="R197" s="301"/>
    </row>
    <row r="198" ht="14.25" customHeight="1" outlineLevel="1">
      <c r="A198" s="327" t="s">
        <v>579</v>
      </c>
      <c r="B198" s="327" t="s">
        <v>567</v>
      </c>
      <c r="C198" s="327" t="s">
        <v>579</v>
      </c>
      <c r="D198" s="336"/>
      <c r="E198" s="309" t="s">
        <v>159</v>
      </c>
      <c r="F198" s="337">
        <v>340.0</v>
      </c>
      <c r="G198" s="301">
        <v>449.0</v>
      </c>
      <c r="H198" s="301">
        <v>399.0</v>
      </c>
      <c r="I198" s="312" t="str">
        <f>G198/R198</f>
        <v>#DIV/0!</v>
      </c>
      <c r="J198" s="313">
        <v>90.0</v>
      </c>
      <c r="K198" s="314">
        <f t="shared" si="24"/>
        <v>0.2004454343</v>
      </c>
      <c r="L198" s="315">
        <f t="shared" si="25"/>
        <v>-90</v>
      </c>
      <c r="M198" s="316">
        <f t="shared" si="26"/>
        <v>-1</v>
      </c>
      <c r="N198" s="331">
        <v>469.0</v>
      </c>
      <c r="O198" s="318" t="s">
        <v>112</v>
      </c>
      <c r="P198" s="318" t="s">
        <v>111</v>
      </c>
      <c r="Q198" s="300"/>
      <c r="R198" s="301"/>
    </row>
    <row r="199" ht="14.25" customHeight="1" outlineLevel="1">
      <c r="D199" s="336"/>
      <c r="E199" s="309" t="s">
        <v>160</v>
      </c>
      <c r="F199" s="337">
        <v>340.0</v>
      </c>
      <c r="G199" s="301">
        <v>449.0</v>
      </c>
      <c r="H199" s="301"/>
      <c r="I199" s="312"/>
      <c r="J199" s="313">
        <v>125.0</v>
      </c>
      <c r="K199" s="314">
        <f t="shared" si="24"/>
        <v>0.2783964365</v>
      </c>
      <c r="L199" s="315">
        <f t="shared" si="25"/>
        <v>-125</v>
      </c>
      <c r="M199" s="316">
        <f t="shared" si="26"/>
        <v>-1</v>
      </c>
      <c r="N199" s="331"/>
      <c r="O199" s="318"/>
      <c r="P199" s="318"/>
      <c r="Q199" s="300"/>
      <c r="R199" s="301"/>
    </row>
    <row r="200" ht="14.25" customHeight="1" outlineLevel="1">
      <c r="D200" s="336"/>
      <c r="E200" s="309" t="s">
        <v>509</v>
      </c>
      <c r="F200" s="337">
        <v>340.0</v>
      </c>
      <c r="G200" s="301">
        <v>469.0</v>
      </c>
      <c r="H200" s="301"/>
      <c r="I200" s="312"/>
      <c r="J200" s="313">
        <v>94.0</v>
      </c>
      <c r="K200" s="314">
        <f t="shared" si="24"/>
        <v>0.2004264392</v>
      </c>
      <c r="L200" s="315">
        <f t="shared" si="25"/>
        <v>-94</v>
      </c>
      <c r="M200" s="316">
        <f t="shared" si="26"/>
        <v>-1</v>
      </c>
      <c r="N200" s="331"/>
      <c r="O200" s="318"/>
      <c r="P200" s="318"/>
      <c r="Q200" s="300"/>
      <c r="R200" s="301"/>
    </row>
    <row r="201" ht="14.25" customHeight="1" outlineLevel="1">
      <c r="D201" s="336"/>
      <c r="E201" s="309" t="s">
        <v>510</v>
      </c>
      <c r="F201" s="337">
        <v>340.0</v>
      </c>
      <c r="G201" s="301">
        <v>469.0</v>
      </c>
      <c r="H201" s="301"/>
      <c r="I201" s="312"/>
      <c r="J201" s="313">
        <v>100.0</v>
      </c>
      <c r="K201" s="314">
        <f t="shared" si="24"/>
        <v>0.2132196162</v>
      </c>
      <c r="L201" s="315">
        <f t="shared" si="25"/>
        <v>-100</v>
      </c>
      <c r="M201" s="316">
        <f t="shared" si="26"/>
        <v>-1</v>
      </c>
      <c r="N201" s="331"/>
      <c r="O201" s="318"/>
      <c r="P201" s="318"/>
      <c r="Q201" s="300"/>
      <c r="R201" s="301"/>
    </row>
    <row r="202" ht="14.25" customHeight="1" outlineLevel="1">
      <c r="B202" s="327"/>
      <c r="C202" s="327"/>
      <c r="D202" s="336"/>
      <c r="E202" s="309" t="s">
        <v>114</v>
      </c>
      <c r="F202" s="337">
        <v>340.0</v>
      </c>
      <c r="G202" s="301">
        <v>549.0</v>
      </c>
      <c r="H202" s="301"/>
      <c r="I202" s="312"/>
      <c r="J202" s="313">
        <v>100.0</v>
      </c>
      <c r="K202" s="314">
        <f t="shared" si="24"/>
        <v>0.1821493625</v>
      </c>
      <c r="L202" s="315">
        <f t="shared" si="25"/>
        <v>-100</v>
      </c>
      <c r="M202" s="316">
        <f t="shared" si="26"/>
        <v>-1</v>
      </c>
      <c r="N202" s="331"/>
      <c r="O202" s="318"/>
      <c r="P202" s="318"/>
      <c r="Q202" s="300"/>
      <c r="R202" s="301"/>
    </row>
    <row r="203" ht="14.25" customHeight="1" outlineLevel="1">
      <c r="A203" s="327" t="s">
        <v>580</v>
      </c>
      <c r="B203" s="327"/>
      <c r="C203" s="327" t="s">
        <v>580</v>
      </c>
      <c r="D203" s="336"/>
      <c r="E203" s="309" t="s">
        <v>159</v>
      </c>
      <c r="F203" s="337">
        <v>200.0</v>
      </c>
      <c r="G203" s="301">
        <v>339.0</v>
      </c>
      <c r="H203" s="301">
        <v>299.0</v>
      </c>
      <c r="I203" s="312" t="str">
        <f>G203/R203</f>
        <v>#DIV/0!</v>
      </c>
      <c r="J203" s="313">
        <v>56.0</v>
      </c>
      <c r="K203" s="314">
        <f t="shared" si="24"/>
        <v>0.1651917404</v>
      </c>
      <c r="L203" s="315">
        <f t="shared" si="25"/>
        <v>-56</v>
      </c>
      <c r="M203" s="316">
        <f t="shared" si="26"/>
        <v>-1</v>
      </c>
      <c r="N203" s="331">
        <v>359.0</v>
      </c>
      <c r="O203" s="318" t="s">
        <v>112</v>
      </c>
      <c r="P203" s="318" t="s">
        <v>111</v>
      </c>
      <c r="Q203" s="300"/>
      <c r="R203" s="301"/>
    </row>
    <row r="204" ht="14.25" customHeight="1" outlineLevel="1">
      <c r="B204" s="327"/>
      <c r="D204" s="336"/>
      <c r="E204" s="309" t="s">
        <v>160</v>
      </c>
      <c r="F204" s="337">
        <v>200.0</v>
      </c>
      <c r="G204" s="301">
        <v>339.0</v>
      </c>
      <c r="H204" s="301"/>
      <c r="I204" s="312"/>
      <c r="J204" s="313">
        <v>99.0</v>
      </c>
      <c r="K204" s="314">
        <f t="shared" si="24"/>
        <v>0.2920353982</v>
      </c>
      <c r="L204" s="315">
        <f t="shared" si="25"/>
        <v>-99</v>
      </c>
      <c r="M204" s="316">
        <f t="shared" si="26"/>
        <v>-1</v>
      </c>
      <c r="N204" s="331"/>
      <c r="O204" s="318"/>
      <c r="P204" s="318"/>
      <c r="Q204" s="300"/>
      <c r="R204" s="301"/>
    </row>
    <row r="205" ht="14.25" customHeight="1" outlineLevel="1">
      <c r="B205" s="327"/>
      <c r="D205" s="336"/>
      <c r="E205" s="309" t="s">
        <v>509</v>
      </c>
      <c r="F205" s="337">
        <v>200.0</v>
      </c>
      <c r="G205" s="301">
        <v>349.0</v>
      </c>
      <c r="H205" s="301"/>
      <c r="I205" s="312"/>
      <c r="J205" s="313">
        <v>61.0</v>
      </c>
      <c r="K205" s="314">
        <f t="shared" si="24"/>
        <v>0.1747851003</v>
      </c>
      <c r="L205" s="315">
        <f t="shared" si="25"/>
        <v>-61</v>
      </c>
      <c r="M205" s="316">
        <f t="shared" si="26"/>
        <v>-1</v>
      </c>
      <c r="N205" s="331"/>
      <c r="O205" s="318"/>
      <c r="P205" s="318"/>
      <c r="Q205" s="300"/>
      <c r="R205" s="301"/>
    </row>
    <row r="206" ht="14.25" customHeight="1" outlineLevel="1">
      <c r="B206" s="327"/>
      <c r="D206" s="336"/>
      <c r="E206" s="309" t="s">
        <v>510</v>
      </c>
      <c r="F206" s="337">
        <v>200.0</v>
      </c>
      <c r="G206" s="301">
        <v>349.0</v>
      </c>
      <c r="H206" s="301"/>
      <c r="I206" s="312"/>
      <c r="J206" s="313">
        <v>59.0</v>
      </c>
      <c r="K206" s="314">
        <f t="shared" si="24"/>
        <v>0.1690544413</v>
      </c>
      <c r="L206" s="315">
        <f t="shared" si="25"/>
        <v>-59</v>
      </c>
      <c r="M206" s="316">
        <f t="shared" si="26"/>
        <v>-1</v>
      </c>
      <c r="N206" s="331"/>
      <c r="O206" s="318"/>
      <c r="P206" s="318"/>
      <c r="Q206" s="300"/>
      <c r="R206" s="301"/>
    </row>
    <row r="207" ht="14.25" customHeight="1" outlineLevel="1">
      <c r="B207" s="327"/>
      <c r="C207" s="327"/>
      <c r="D207" s="336"/>
      <c r="E207" s="309" t="s">
        <v>114</v>
      </c>
      <c r="F207" s="337">
        <v>200.0</v>
      </c>
      <c r="G207" s="301">
        <v>399.0</v>
      </c>
      <c r="H207" s="301"/>
      <c r="I207" s="312"/>
      <c r="J207" s="313">
        <v>59.0</v>
      </c>
      <c r="K207" s="314">
        <f t="shared" si="24"/>
        <v>0.1478696742</v>
      </c>
      <c r="L207" s="315">
        <f t="shared" si="25"/>
        <v>-59</v>
      </c>
      <c r="M207" s="316">
        <f t="shared" si="26"/>
        <v>-1</v>
      </c>
      <c r="N207" s="331"/>
      <c r="O207" s="318"/>
      <c r="P207" s="318"/>
      <c r="Q207" s="300"/>
      <c r="R207" s="301"/>
    </row>
    <row r="208" ht="14.25" customHeight="1" outlineLevel="1">
      <c r="A208" s="327" t="s">
        <v>581</v>
      </c>
      <c r="B208" s="327"/>
      <c r="C208" s="327" t="s">
        <v>581</v>
      </c>
      <c r="D208" s="336"/>
      <c r="E208" s="309" t="s">
        <v>159</v>
      </c>
      <c r="F208" s="337">
        <v>400.0</v>
      </c>
      <c r="G208" s="301">
        <v>459.0</v>
      </c>
      <c r="H208" s="301">
        <v>399.0</v>
      </c>
      <c r="I208" s="312" t="str">
        <f>G208/R208</f>
        <v>#DIV/0!</v>
      </c>
      <c r="J208" s="313">
        <v>94.0</v>
      </c>
      <c r="K208" s="314">
        <f t="shared" si="24"/>
        <v>0.2047930283</v>
      </c>
      <c r="L208" s="315">
        <f t="shared" si="25"/>
        <v>-94</v>
      </c>
      <c r="M208" s="316">
        <f t="shared" si="26"/>
        <v>-1</v>
      </c>
      <c r="N208" s="331">
        <v>479.0</v>
      </c>
      <c r="O208" s="318" t="s">
        <v>112</v>
      </c>
      <c r="P208" s="318" t="s">
        <v>111</v>
      </c>
      <c r="Q208" s="300"/>
      <c r="R208" s="301"/>
    </row>
    <row r="209" ht="14.25" customHeight="1" outlineLevel="1">
      <c r="B209" s="327"/>
      <c r="D209" s="336"/>
      <c r="E209" s="309" t="s">
        <v>160</v>
      </c>
      <c r="F209" s="337">
        <v>400.0</v>
      </c>
      <c r="G209" s="301">
        <v>459.0</v>
      </c>
      <c r="H209" s="301"/>
      <c r="I209" s="312"/>
      <c r="J209" s="313">
        <v>106.0</v>
      </c>
      <c r="K209" s="314">
        <f t="shared" si="24"/>
        <v>0.2309368192</v>
      </c>
      <c r="L209" s="315">
        <f t="shared" si="25"/>
        <v>-106</v>
      </c>
      <c r="M209" s="316">
        <f t="shared" si="26"/>
        <v>-1</v>
      </c>
      <c r="N209" s="331"/>
      <c r="O209" s="318"/>
      <c r="P209" s="318"/>
      <c r="Q209" s="300"/>
      <c r="R209" s="301"/>
    </row>
    <row r="210" ht="14.25" customHeight="1" outlineLevel="1">
      <c r="B210" s="327"/>
      <c r="D210" s="336"/>
      <c r="E210" s="309" t="s">
        <v>509</v>
      </c>
      <c r="F210" s="337">
        <v>400.0</v>
      </c>
      <c r="G210" s="301">
        <v>479.0</v>
      </c>
      <c r="H210" s="301"/>
      <c r="I210" s="312"/>
      <c r="J210" s="313">
        <v>91.0</v>
      </c>
      <c r="K210" s="314">
        <f t="shared" si="24"/>
        <v>0.1899791232</v>
      </c>
      <c r="L210" s="315">
        <f t="shared" si="25"/>
        <v>-91</v>
      </c>
      <c r="M210" s="316">
        <f t="shared" si="26"/>
        <v>-1</v>
      </c>
      <c r="N210" s="331"/>
      <c r="O210" s="318"/>
      <c r="P210" s="318"/>
      <c r="Q210" s="300"/>
      <c r="R210" s="301"/>
    </row>
    <row r="211" ht="14.25" customHeight="1" outlineLevel="1">
      <c r="B211" s="327"/>
      <c r="D211" s="336"/>
      <c r="E211" s="309" t="s">
        <v>510</v>
      </c>
      <c r="F211" s="337">
        <v>400.0</v>
      </c>
      <c r="G211" s="301">
        <v>479.0</v>
      </c>
      <c r="H211" s="301"/>
      <c r="I211" s="312"/>
      <c r="J211" s="313">
        <v>118.0</v>
      </c>
      <c r="K211" s="314">
        <f t="shared" si="24"/>
        <v>0.2463465553</v>
      </c>
      <c r="L211" s="315">
        <f t="shared" si="25"/>
        <v>-118</v>
      </c>
      <c r="M211" s="316">
        <f t="shared" si="26"/>
        <v>-1</v>
      </c>
      <c r="N211" s="331"/>
      <c r="O211" s="318"/>
      <c r="P211" s="318"/>
      <c r="Q211" s="300"/>
      <c r="R211" s="301"/>
    </row>
    <row r="212" ht="14.25" customHeight="1" outlineLevel="1">
      <c r="B212" s="327"/>
      <c r="C212" s="327"/>
      <c r="D212" s="336"/>
      <c r="E212" s="309" t="s">
        <v>114</v>
      </c>
      <c r="F212" s="337">
        <v>400.0</v>
      </c>
      <c r="G212" s="301">
        <v>569.0</v>
      </c>
      <c r="H212" s="301"/>
      <c r="I212" s="312"/>
      <c r="J212" s="313">
        <v>118.0</v>
      </c>
      <c r="K212" s="314">
        <f t="shared" si="24"/>
        <v>0.2073813708</v>
      </c>
      <c r="L212" s="315">
        <f t="shared" si="25"/>
        <v>-118</v>
      </c>
      <c r="M212" s="316">
        <f t="shared" si="26"/>
        <v>-1</v>
      </c>
      <c r="N212" s="331"/>
      <c r="O212" s="318"/>
      <c r="P212" s="318"/>
      <c r="Q212" s="300"/>
      <c r="R212" s="301"/>
    </row>
    <row r="213" ht="14.25" customHeight="1">
      <c r="A213" s="288" t="s">
        <v>582</v>
      </c>
      <c r="B213" s="289"/>
      <c r="C213" s="288" t="s">
        <v>582</v>
      </c>
      <c r="D213" s="291"/>
      <c r="E213" s="322" t="s">
        <v>159</v>
      </c>
      <c r="F213" s="323"/>
      <c r="G213" s="294"/>
      <c r="H213" s="294"/>
      <c r="I213" s="324"/>
      <c r="J213" s="325"/>
      <c r="K213" s="297"/>
      <c r="L213" s="326"/>
      <c r="M213" s="297"/>
      <c r="N213" s="299"/>
      <c r="O213" s="290"/>
      <c r="P213" s="290"/>
      <c r="Q213" s="300"/>
      <c r="R213" s="301"/>
    </row>
    <row r="214" ht="14.25" customHeight="1">
      <c r="B214" s="289"/>
      <c r="D214" s="291"/>
      <c r="E214" s="322" t="s">
        <v>160</v>
      </c>
      <c r="F214" s="323"/>
      <c r="G214" s="294"/>
      <c r="H214" s="294"/>
      <c r="I214" s="324"/>
      <c r="J214" s="325"/>
      <c r="K214" s="297"/>
      <c r="L214" s="326"/>
      <c r="M214" s="297"/>
      <c r="N214" s="299"/>
      <c r="O214" s="290"/>
      <c r="P214" s="290"/>
      <c r="Q214" s="300"/>
      <c r="R214" s="301"/>
    </row>
    <row r="215" ht="14.25" customHeight="1">
      <c r="B215" s="289"/>
      <c r="D215" s="291"/>
      <c r="E215" s="322" t="s">
        <v>509</v>
      </c>
      <c r="F215" s="323"/>
      <c r="G215" s="294"/>
      <c r="H215" s="294"/>
      <c r="I215" s="324"/>
      <c r="J215" s="325"/>
      <c r="K215" s="297"/>
      <c r="L215" s="326"/>
      <c r="M215" s="297"/>
      <c r="N215" s="299"/>
      <c r="O215" s="290"/>
      <c r="P215" s="290"/>
      <c r="Q215" s="300"/>
      <c r="R215" s="301"/>
    </row>
    <row r="216" ht="14.25" customHeight="1">
      <c r="B216" s="289"/>
      <c r="D216" s="291"/>
      <c r="E216" s="322" t="s">
        <v>510</v>
      </c>
      <c r="F216" s="323"/>
      <c r="G216" s="294"/>
      <c r="H216" s="294"/>
      <c r="I216" s="324"/>
      <c r="J216" s="325"/>
      <c r="K216" s="297"/>
      <c r="L216" s="326"/>
      <c r="M216" s="297"/>
      <c r="N216" s="299"/>
      <c r="O216" s="290"/>
      <c r="P216" s="290"/>
      <c r="Q216" s="300"/>
      <c r="R216" s="301"/>
    </row>
    <row r="217" ht="14.25" customHeight="1">
      <c r="B217" s="289"/>
      <c r="C217" s="288"/>
      <c r="D217" s="291"/>
      <c r="E217" s="322" t="s">
        <v>114</v>
      </c>
      <c r="F217" s="323"/>
      <c r="G217" s="294"/>
      <c r="H217" s="294"/>
      <c r="I217" s="324"/>
      <c r="J217" s="325"/>
      <c r="K217" s="297"/>
      <c r="L217" s="326"/>
      <c r="M217" s="297"/>
      <c r="N217" s="299"/>
      <c r="O217" s="290"/>
      <c r="P217" s="290"/>
      <c r="Q217" s="300"/>
      <c r="R217" s="301"/>
    </row>
    <row r="218" ht="14.25" customHeight="1" outlineLevel="1">
      <c r="A218" s="327" t="s">
        <v>546</v>
      </c>
      <c r="B218" s="327"/>
      <c r="C218" s="327" t="s">
        <v>546</v>
      </c>
      <c r="D218" s="336"/>
      <c r="E218" s="309" t="s">
        <v>159</v>
      </c>
      <c r="F218" s="337">
        <v>3.0</v>
      </c>
      <c r="G218" s="301">
        <v>59.0</v>
      </c>
      <c r="H218" s="301">
        <v>39.0</v>
      </c>
      <c r="I218" s="312" t="str">
        <f>G218/R218</f>
        <v>#DIV/0!</v>
      </c>
      <c r="J218" s="313">
        <v>6.0</v>
      </c>
      <c r="K218" s="314">
        <f t="shared" ref="K218:K227" si="27">J218/G218</f>
        <v>0.1016949153</v>
      </c>
      <c r="L218" s="315">
        <f t="shared" ref="L218:L227" si="28">Q218-J218</f>
        <v>-6</v>
      </c>
      <c r="M218" s="316">
        <f t="shared" ref="M218:M227" si="29">Q218/J218-1</f>
        <v>-1</v>
      </c>
      <c r="N218" s="331"/>
      <c r="O218" s="318" t="s">
        <v>112</v>
      </c>
      <c r="P218" s="318" t="s">
        <v>112</v>
      </c>
      <c r="Q218" s="300"/>
      <c r="R218" s="301"/>
    </row>
    <row r="219" ht="14.25" customHeight="1" outlineLevel="1">
      <c r="B219" s="327"/>
      <c r="D219" s="336"/>
      <c r="E219" s="309" t="s">
        <v>160</v>
      </c>
      <c r="F219" s="337">
        <v>3.0</v>
      </c>
      <c r="G219" s="301">
        <v>59.0</v>
      </c>
      <c r="H219" s="301">
        <v>39.0</v>
      </c>
      <c r="I219" s="312"/>
      <c r="J219" s="313">
        <v>6.0</v>
      </c>
      <c r="K219" s="314">
        <f t="shared" si="27"/>
        <v>0.1016949153</v>
      </c>
      <c r="L219" s="315">
        <f t="shared" si="28"/>
        <v>-6</v>
      </c>
      <c r="M219" s="316">
        <f t="shared" si="29"/>
        <v>-1</v>
      </c>
      <c r="N219" s="331"/>
      <c r="O219" s="318"/>
      <c r="P219" s="318"/>
      <c r="Q219" s="300"/>
      <c r="R219" s="301"/>
    </row>
    <row r="220" ht="14.25" customHeight="1" outlineLevel="1">
      <c r="B220" s="327"/>
      <c r="D220" s="336"/>
      <c r="E220" s="309" t="s">
        <v>509</v>
      </c>
      <c r="F220" s="337">
        <v>3.0</v>
      </c>
      <c r="G220" s="301">
        <v>59.0</v>
      </c>
      <c r="H220" s="301">
        <v>39.0</v>
      </c>
      <c r="I220" s="312"/>
      <c r="J220" s="313">
        <v>6.0</v>
      </c>
      <c r="K220" s="314">
        <f t="shared" si="27"/>
        <v>0.1016949153</v>
      </c>
      <c r="L220" s="315">
        <f t="shared" si="28"/>
        <v>-6</v>
      </c>
      <c r="M220" s="316">
        <f t="shared" si="29"/>
        <v>-1</v>
      </c>
      <c r="N220" s="331"/>
      <c r="O220" s="318"/>
      <c r="P220" s="318"/>
      <c r="Q220" s="300"/>
      <c r="R220" s="301"/>
    </row>
    <row r="221" ht="14.25" customHeight="1" outlineLevel="1">
      <c r="B221" s="327"/>
      <c r="D221" s="336"/>
      <c r="E221" s="309" t="s">
        <v>510</v>
      </c>
      <c r="F221" s="337">
        <v>3.0</v>
      </c>
      <c r="G221" s="301">
        <v>59.0</v>
      </c>
      <c r="H221" s="301">
        <v>39.0</v>
      </c>
      <c r="I221" s="312"/>
      <c r="J221" s="313">
        <v>6.0</v>
      </c>
      <c r="K221" s="314">
        <f t="shared" si="27"/>
        <v>0.1016949153</v>
      </c>
      <c r="L221" s="315">
        <f t="shared" si="28"/>
        <v>-6</v>
      </c>
      <c r="M221" s="316">
        <f t="shared" si="29"/>
        <v>-1</v>
      </c>
      <c r="N221" s="331"/>
      <c r="O221" s="318"/>
      <c r="P221" s="318"/>
      <c r="Q221" s="300"/>
      <c r="R221" s="301"/>
    </row>
    <row r="222" ht="14.25" customHeight="1" outlineLevel="1">
      <c r="B222" s="327"/>
      <c r="C222" s="327"/>
      <c r="D222" s="336"/>
      <c r="E222" s="309" t="s">
        <v>114</v>
      </c>
      <c r="F222" s="337">
        <v>3.0</v>
      </c>
      <c r="G222" s="301">
        <v>49.0</v>
      </c>
      <c r="H222" s="301"/>
      <c r="I222" s="312"/>
      <c r="J222" s="313">
        <v>6.0</v>
      </c>
      <c r="K222" s="314">
        <f t="shared" si="27"/>
        <v>0.1224489796</v>
      </c>
      <c r="L222" s="315">
        <f t="shared" si="28"/>
        <v>-6</v>
      </c>
      <c r="M222" s="316">
        <f t="shared" si="29"/>
        <v>-1</v>
      </c>
      <c r="N222" s="331"/>
      <c r="O222" s="318"/>
      <c r="P222" s="318"/>
      <c r="Q222" s="300"/>
      <c r="R222" s="301"/>
    </row>
    <row r="223" ht="14.25" customHeight="1" outlineLevel="1">
      <c r="A223" s="327" t="s">
        <v>583</v>
      </c>
      <c r="B223" s="327"/>
      <c r="C223" s="327" t="s">
        <v>583</v>
      </c>
      <c r="D223" s="336"/>
      <c r="E223" s="309" t="s">
        <v>159</v>
      </c>
      <c r="F223" s="337">
        <v>10.0</v>
      </c>
      <c r="G223" s="301">
        <v>59.0</v>
      </c>
      <c r="H223" s="301">
        <v>39.0</v>
      </c>
      <c r="I223" s="312" t="str">
        <f>G223/R223</f>
        <v>#DIV/0!</v>
      </c>
      <c r="J223" s="313">
        <v>15.0</v>
      </c>
      <c r="K223" s="314">
        <f t="shared" si="27"/>
        <v>0.2542372881</v>
      </c>
      <c r="L223" s="315">
        <f t="shared" si="28"/>
        <v>-15</v>
      </c>
      <c r="M223" s="316">
        <f t="shared" si="29"/>
        <v>-1</v>
      </c>
      <c r="N223" s="331"/>
      <c r="O223" s="318" t="s">
        <v>112</v>
      </c>
      <c r="P223" s="318" t="s">
        <v>112</v>
      </c>
      <c r="Q223" s="300"/>
      <c r="R223" s="301"/>
    </row>
    <row r="224" ht="14.25" customHeight="1" outlineLevel="1">
      <c r="B224" s="327"/>
      <c r="D224" s="336"/>
      <c r="E224" s="309" t="s">
        <v>160</v>
      </c>
      <c r="F224" s="337">
        <v>10.0</v>
      </c>
      <c r="G224" s="301">
        <v>59.0</v>
      </c>
      <c r="H224" s="301"/>
      <c r="I224" s="312"/>
      <c r="J224" s="313">
        <v>15.0</v>
      </c>
      <c r="K224" s="314">
        <f t="shared" si="27"/>
        <v>0.2542372881</v>
      </c>
      <c r="L224" s="315">
        <f t="shared" si="28"/>
        <v>-15</v>
      </c>
      <c r="M224" s="316">
        <f t="shared" si="29"/>
        <v>-1</v>
      </c>
      <c r="N224" s="331"/>
      <c r="O224" s="318"/>
      <c r="P224" s="318"/>
      <c r="Q224" s="300"/>
      <c r="R224" s="301"/>
    </row>
    <row r="225" ht="14.25" customHeight="1" outlineLevel="1">
      <c r="B225" s="327"/>
      <c r="D225" s="336"/>
      <c r="E225" s="309" t="s">
        <v>509</v>
      </c>
      <c r="F225" s="337">
        <v>10.0</v>
      </c>
      <c r="G225" s="301">
        <v>59.0</v>
      </c>
      <c r="H225" s="301"/>
      <c r="I225" s="312"/>
      <c r="J225" s="313">
        <v>15.0</v>
      </c>
      <c r="K225" s="314">
        <f t="shared" si="27"/>
        <v>0.2542372881</v>
      </c>
      <c r="L225" s="315">
        <f t="shared" si="28"/>
        <v>-15</v>
      </c>
      <c r="M225" s="316">
        <f t="shared" si="29"/>
        <v>-1</v>
      </c>
      <c r="N225" s="331"/>
      <c r="O225" s="318"/>
      <c r="P225" s="318"/>
      <c r="Q225" s="300"/>
      <c r="R225" s="301"/>
    </row>
    <row r="226" ht="14.25" customHeight="1" outlineLevel="1">
      <c r="B226" s="327"/>
      <c r="D226" s="336"/>
      <c r="E226" s="309" t="s">
        <v>510</v>
      </c>
      <c r="F226" s="337">
        <v>10.0</v>
      </c>
      <c r="G226" s="301">
        <v>59.0</v>
      </c>
      <c r="H226" s="301"/>
      <c r="I226" s="312"/>
      <c r="J226" s="313">
        <v>15.0</v>
      </c>
      <c r="K226" s="314">
        <f t="shared" si="27"/>
        <v>0.2542372881</v>
      </c>
      <c r="L226" s="315">
        <f t="shared" si="28"/>
        <v>-15</v>
      </c>
      <c r="M226" s="316">
        <f t="shared" si="29"/>
        <v>-1</v>
      </c>
      <c r="N226" s="331"/>
      <c r="O226" s="318"/>
      <c r="P226" s="318"/>
      <c r="Q226" s="300"/>
      <c r="R226" s="301"/>
    </row>
    <row r="227" ht="14.25" customHeight="1" outlineLevel="1">
      <c r="B227" s="327"/>
      <c r="C227" s="327"/>
      <c r="D227" s="336"/>
      <c r="E227" s="309" t="s">
        <v>114</v>
      </c>
      <c r="F227" s="337">
        <v>10.0</v>
      </c>
      <c r="G227" s="301">
        <v>69.0</v>
      </c>
      <c r="H227" s="301"/>
      <c r="I227" s="312"/>
      <c r="J227" s="313">
        <v>15.0</v>
      </c>
      <c r="K227" s="314">
        <f t="shared" si="27"/>
        <v>0.2173913043</v>
      </c>
      <c r="L227" s="315">
        <f t="shared" si="28"/>
        <v>-15</v>
      </c>
      <c r="M227" s="316">
        <f t="shared" si="29"/>
        <v>-1</v>
      </c>
      <c r="N227" s="331"/>
      <c r="O227" s="318"/>
      <c r="P227" s="318"/>
      <c r="Q227" s="300"/>
      <c r="R227" s="301"/>
    </row>
    <row r="228" ht="14.25" customHeight="1">
      <c r="A228" s="288" t="s">
        <v>584</v>
      </c>
      <c r="B228" s="289"/>
      <c r="C228" s="288" t="s">
        <v>584</v>
      </c>
      <c r="D228" s="340" t="s">
        <v>585</v>
      </c>
      <c r="E228" s="322" t="s">
        <v>159</v>
      </c>
      <c r="F228" s="323"/>
      <c r="G228" s="294"/>
      <c r="H228" s="294"/>
      <c r="I228" s="324"/>
      <c r="J228" s="325"/>
      <c r="K228" s="297"/>
      <c r="L228" s="326"/>
      <c r="M228" s="297"/>
      <c r="N228" s="299"/>
      <c r="O228" s="290"/>
      <c r="P228" s="290"/>
      <c r="Q228" s="300"/>
      <c r="R228" s="294"/>
    </row>
    <row r="229" ht="14.25" customHeight="1">
      <c r="B229" s="289"/>
      <c r="D229" s="305"/>
      <c r="E229" s="322" t="s">
        <v>160</v>
      </c>
      <c r="F229" s="323"/>
      <c r="G229" s="294"/>
      <c r="H229" s="294"/>
      <c r="I229" s="324"/>
      <c r="J229" s="325"/>
      <c r="K229" s="297"/>
      <c r="L229" s="326"/>
      <c r="M229" s="297"/>
      <c r="N229" s="299"/>
      <c r="O229" s="290"/>
      <c r="P229" s="290"/>
      <c r="Q229" s="300"/>
      <c r="R229" s="294"/>
    </row>
    <row r="230" ht="14.25" customHeight="1">
      <c r="B230" s="289"/>
      <c r="D230" s="305"/>
      <c r="E230" s="322" t="s">
        <v>509</v>
      </c>
      <c r="F230" s="323"/>
      <c r="G230" s="294"/>
      <c r="H230" s="294"/>
      <c r="I230" s="324"/>
      <c r="J230" s="325"/>
      <c r="K230" s="297"/>
      <c r="L230" s="326"/>
      <c r="M230" s="297"/>
      <c r="N230" s="299"/>
      <c r="O230" s="290"/>
      <c r="P230" s="290"/>
      <c r="Q230" s="300"/>
      <c r="R230" s="294"/>
    </row>
    <row r="231" ht="14.25" customHeight="1">
      <c r="B231" s="289"/>
      <c r="D231" s="305"/>
      <c r="E231" s="322" t="s">
        <v>510</v>
      </c>
      <c r="F231" s="323"/>
      <c r="G231" s="294"/>
      <c r="H231" s="294"/>
      <c r="I231" s="324"/>
      <c r="J231" s="325"/>
      <c r="K231" s="297"/>
      <c r="L231" s="326"/>
      <c r="M231" s="297"/>
      <c r="N231" s="299"/>
      <c r="O231" s="290"/>
      <c r="P231" s="290"/>
      <c r="Q231" s="300"/>
      <c r="R231" s="294"/>
    </row>
    <row r="232" ht="14.25" customHeight="1">
      <c r="B232" s="289"/>
      <c r="C232" s="288"/>
      <c r="D232" s="289"/>
      <c r="E232" s="322" t="s">
        <v>114</v>
      </c>
      <c r="F232" s="323"/>
      <c r="G232" s="294"/>
      <c r="H232" s="294"/>
      <c r="I232" s="324"/>
      <c r="J232" s="325"/>
      <c r="K232" s="297"/>
      <c r="L232" s="326"/>
      <c r="M232" s="297"/>
      <c r="N232" s="299"/>
      <c r="O232" s="290"/>
      <c r="P232" s="290"/>
      <c r="Q232" s="300"/>
      <c r="R232" s="294"/>
    </row>
    <row r="233" ht="14.25" customHeight="1" outlineLevel="1">
      <c r="A233" s="327" t="s">
        <v>586</v>
      </c>
      <c r="B233" s="327" t="s">
        <v>587</v>
      </c>
      <c r="C233" s="327" t="s">
        <v>588</v>
      </c>
      <c r="D233" s="327"/>
      <c r="E233" s="333" t="s">
        <v>159</v>
      </c>
      <c r="F233" s="337">
        <v>700.0</v>
      </c>
      <c r="G233" s="341">
        <v>499.0</v>
      </c>
      <c r="H233" s="341">
        <v>399.0</v>
      </c>
      <c r="I233" s="286" t="str">
        <f>G233/R233</f>
        <v>#DIV/0!</v>
      </c>
      <c r="J233" s="335">
        <v>56.0</v>
      </c>
      <c r="K233" s="332">
        <f t="shared" ref="K233:K282" si="30">J233/G233</f>
        <v>0.1122244489</v>
      </c>
      <c r="L233" s="319">
        <f t="shared" ref="L233:L282" si="31">Q233-J233</f>
        <v>-56</v>
      </c>
      <c r="M233" s="332">
        <f t="shared" ref="M233:M282" si="32">Q233/J233-1</f>
        <v>-1</v>
      </c>
      <c r="N233" s="331"/>
      <c r="O233" s="285" t="s">
        <v>112</v>
      </c>
      <c r="P233" s="285" t="s">
        <v>112</v>
      </c>
      <c r="Q233" s="300"/>
      <c r="R233" s="341"/>
    </row>
    <row r="234" ht="14.25" customHeight="1" outlineLevel="1">
      <c r="E234" s="333" t="s">
        <v>160</v>
      </c>
      <c r="F234" s="337">
        <v>700.0</v>
      </c>
      <c r="G234" s="341">
        <v>499.0</v>
      </c>
      <c r="H234" s="341"/>
      <c r="I234" s="286"/>
      <c r="J234" s="335">
        <v>56.0</v>
      </c>
      <c r="K234" s="332">
        <f t="shared" si="30"/>
        <v>0.1122244489</v>
      </c>
      <c r="L234" s="319">
        <f t="shared" si="31"/>
        <v>-56</v>
      </c>
      <c r="M234" s="332">
        <f t="shared" si="32"/>
        <v>-1</v>
      </c>
      <c r="N234" s="331"/>
      <c r="O234" s="285"/>
      <c r="P234" s="285"/>
      <c r="Q234" s="300"/>
      <c r="R234" s="341"/>
    </row>
    <row r="235" ht="14.25" customHeight="1" outlineLevel="1">
      <c r="E235" s="333" t="s">
        <v>509</v>
      </c>
      <c r="F235" s="337">
        <v>700.0</v>
      </c>
      <c r="G235" s="341">
        <v>549.0</v>
      </c>
      <c r="H235" s="341"/>
      <c r="I235" s="286"/>
      <c r="J235" s="335">
        <v>56.0</v>
      </c>
      <c r="K235" s="332">
        <f t="shared" si="30"/>
        <v>0.102003643</v>
      </c>
      <c r="L235" s="319">
        <f t="shared" si="31"/>
        <v>-56</v>
      </c>
      <c r="M235" s="332">
        <f t="shared" si="32"/>
        <v>-1</v>
      </c>
      <c r="N235" s="331"/>
      <c r="O235" s="285"/>
      <c r="P235" s="285"/>
      <c r="Q235" s="300"/>
      <c r="R235" s="341"/>
    </row>
    <row r="236" ht="14.25" customHeight="1" outlineLevel="1">
      <c r="E236" s="333" t="s">
        <v>510</v>
      </c>
      <c r="F236" s="337">
        <v>700.0</v>
      </c>
      <c r="G236" s="341">
        <v>549.0</v>
      </c>
      <c r="H236" s="341"/>
      <c r="I236" s="286"/>
      <c r="J236" s="335">
        <v>56.0</v>
      </c>
      <c r="K236" s="332">
        <f t="shared" si="30"/>
        <v>0.102003643</v>
      </c>
      <c r="L236" s="319">
        <f t="shared" si="31"/>
        <v>-56</v>
      </c>
      <c r="M236" s="332">
        <f t="shared" si="32"/>
        <v>-1</v>
      </c>
      <c r="N236" s="331"/>
      <c r="O236" s="285"/>
      <c r="P236" s="285"/>
      <c r="Q236" s="300"/>
      <c r="R236" s="341"/>
    </row>
    <row r="237" ht="14.25" customHeight="1" outlineLevel="1">
      <c r="B237" s="327"/>
      <c r="C237" s="327"/>
      <c r="D237" s="327"/>
      <c r="E237" s="333" t="s">
        <v>114</v>
      </c>
      <c r="F237" s="337">
        <v>700.0</v>
      </c>
      <c r="G237" s="341">
        <v>799.0</v>
      </c>
      <c r="H237" s="341"/>
      <c r="I237" s="286"/>
      <c r="J237" s="335">
        <v>56.0</v>
      </c>
      <c r="K237" s="332">
        <f t="shared" si="30"/>
        <v>0.07008760951</v>
      </c>
      <c r="L237" s="319">
        <f t="shared" si="31"/>
        <v>-56</v>
      </c>
      <c r="M237" s="332">
        <f t="shared" si="32"/>
        <v>-1</v>
      </c>
      <c r="N237" s="331"/>
      <c r="O237" s="285"/>
      <c r="P237" s="285"/>
      <c r="Q237" s="300"/>
      <c r="R237" s="341"/>
    </row>
    <row r="238" ht="16.5" customHeight="1" outlineLevel="1">
      <c r="A238" s="327" t="s">
        <v>586</v>
      </c>
      <c r="B238" s="327"/>
      <c r="C238" s="327" t="s">
        <v>588</v>
      </c>
      <c r="D238" s="327"/>
      <c r="E238" s="333" t="s">
        <v>159</v>
      </c>
      <c r="F238" s="339">
        <v>300.0</v>
      </c>
      <c r="G238" s="334">
        <v>299.0</v>
      </c>
      <c r="H238" s="334">
        <v>229.0</v>
      </c>
      <c r="I238" s="286" t="str">
        <f>G238/R238</f>
        <v>#DIV/0!</v>
      </c>
      <c r="J238" s="335">
        <v>26.0</v>
      </c>
      <c r="K238" s="332">
        <f t="shared" si="30"/>
        <v>0.08695652174</v>
      </c>
      <c r="L238" s="319">
        <f t="shared" si="31"/>
        <v>-26</v>
      </c>
      <c r="M238" s="332">
        <f t="shared" si="32"/>
        <v>-1</v>
      </c>
      <c r="N238" s="331">
        <v>319.0</v>
      </c>
      <c r="O238" s="285" t="s">
        <v>112</v>
      </c>
      <c r="P238" s="285" t="s">
        <v>111</v>
      </c>
      <c r="Q238" s="319"/>
      <c r="R238" s="334"/>
    </row>
    <row r="239" ht="16.5" customHeight="1" outlineLevel="1">
      <c r="E239" s="333" t="s">
        <v>160</v>
      </c>
      <c r="F239" s="339">
        <v>300.0</v>
      </c>
      <c r="G239" s="334">
        <v>299.0</v>
      </c>
      <c r="H239" s="334"/>
      <c r="I239" s="286"/>
      <c r="J239" s="335">
        <v>26.0</v>
      </c>
      <c r="K239" s="332">
        <f t="shared" si="30"/>
        <v>0.08695652174</v>
      </c>
      <c r="L239" s="319">
        <f t="shared" si="31"/>
        <v>-26</v>
      </c>
      <c r="M239" s="332">
        <f t="shared" si="32"/>
        <v>-1</v>
      </c>
      <c r="N239" s="331"/>
      <c r="O239" s="285"/>
      <c r="P239" s="285"/>
      <c r="Q239" s="319"/>
      <c r="R239" s="334"/>
    </row>
    <row r="240" ht="16.5" customHeight="1" outlineLevel="1">
      <c r="E240" s="333" t="s">
        <v>509</v>
      </c>
      <c r="F240" s="339">
        <v>300.0</v>
      </c>
      <c r="G240" s="334">
        <v>329.0</v>
      </c>
      <c r="H240" s="334"/>
      <c r="I240" s="286"/>
      <c r="J240" s="335">
        <v>26.0</v>
      </c>
      <c r="K240" s="332">
        <f t="shared" si="30"/>
        <v>0.07902735562</v>
      </c>
      <c r="L240" s="319">
        <f t="shared" si="31"/>
        <v>-26</v>
      </c>
      <c r="M240" s="332">
        <f t="shared" si="32"/>
        <v>-1</v>
      </c>
      <c r="N240" s="331"/>
      <c r="O240" s="285"/>
      <c r="P240" s="285"/>
      <c r="Q240" s="319"/>
      <c r="R240" s="334"/>
    </row>
    <row r="241" ht="16.5" customHeight="1" outlineLevel="1">
      <c r="E241" s="333" t="s">
        <v>510</v>
      </c>
      <c r="F241" s="339">
        <v>300.0</v>
      </c>
      <c r="G241" s="334">
        <v>329.0</v>
      </c>
      <c r="H241" s="334"/>
      <c r="I241" s="286"/>
      <c r="J241" s="335">
        <v>26.0</v>
      </c>
      <c r="K241" s="332">
        <f t="shared" si="30"/>
        <v>0.07902735562</v>
      </c>
      <c r="L241" s="319">
        <f t="shared" si="31"/>
        <v>-26</v>
      </c>
      <c r="M241" s="332">
        <f t="shared" si="32"/>
        <v>-1</v>
      </c>
      <c r="N241" s="331"/>
      <c r="O241" s="285"/>
      <c r="P241" s="285"/>
      <c r="Q241" s="319"/>
      <c r="R241" s="334"/>
    </row>
    <row r="242" ht="16.5" customHeight="1" outlineLevel="1">
      <c r="B242" s="327"/>
      <c r="C242" s="327"/>
      <c r="D242" s="327"/>
      <c r="E242" s="333" t="s">
        <v>114</v>
      </c>
      <c r="F242" s="339">
        <v>300.0</v>
      </c>
      <c r="G242" s="334">
        <v>399.0</v>
      </c>
      <c r="H242" s="334"/>
      <c r="I242" s="286"/>
      <c r="J242" s="335">
        <v>26.0</v>
      </c>
      <c r="K242" s="332">
        <f t="shared" si="30"/>
        <v>0.06516290727</v>
      </c>
      <c r="L242" s="319">
        <f t="shared" si="31"/>
        <v>-26</v>
      </c>
      <c r="M242" s="332">
        <f t="shared" si="32"/>
        <v>-1</v>
      </c>
      <c r="N242" s="331"/>
      <c r="O242" s="285"/>
      <c r="P242" s="285"/>
      <c r="Q242" s="319"/>
      <c r="R242" s="334"/>
    </row>
    <row r="243" ht="14.25" customHeight="1" outlineLevel="1">
      <c r="A243" s="327" t="s">
        <v>589</v>
      </c>
      <c r="B243" s="327" t="s">
        <v>590</v>
      </c>
      <c r="C243" s="327" t="s">
        <v>591</v>
      </c>
      <c r="D243" s="327"/>
      <c r="E243" s="333" t="s">
        <v>159</v>
      </c>
      <c r="F243" s="337">
        <v>700.0</v>
      </c>
      <c r="G243" s="341">
        <v>499.0</v>
      </c>
      <c r="H243" s="341">
        <v>229.0</v>
      </c>
      <c r="I243" s="286" t="str">
        <f>G243/R243</f>
        <v>#DIV/0!</v>
      </c>
      <c r="J243" s="335">
        <v>59.0</v>
      </c>
      <c r="K243" s="332">
        <f t="shared" si="30"/>
        <v>0.1182364729</v>
      </c>
      <c r="L243" s="319">
        <f t="shared" si="31"/>
        <v>-59</v>
      </c>
      <c r="M243" s="332">
        <f t="shared" si="32"/>
        <v>-1</v>
      </c>
      <c r="N243" s="331"/>
      <c r="O243" s="285" t="s">
        <v>112</v>
      </c>
      <c r="P243" s="285" t="s">
        <v>112</v>
      </c>
      <c r="Q243" s="300"/>
      <c r="R243" s="341"/>
    </row>
    <row r="244" ht="14.25" customHeight="1" outlineLevel="1">
      <c r="E244" s="333" t="s">
        <v>160</v>
      </c>
      <c r="F244" s="337">
        <v>700.0</v>
      </c>
      <c r="G244" s="341">
        <v>499.0</v>
      </c>
      <c r="H244" s="341"/>
      <c r="I244" s="286"/>
      <c r="J244" s="335">
        <v>59.0</v>
      </c>
      <c r="K244" s="332">
        <f t="shared" si="30"/>
        <v>0.1182364729</v>
      </c>
      <c r="L244" s="319">
        <f t="shared" si="31"/>
        <v>-59</v>
      </c>
      <c r="M244" s="332">
        <f t="shared" si="32"/>
        <v>-1</v>
      </c>
      <c r="N244" s="331"/>
      <c r="O244" s="285"/>
      <c r="P244" s="285"/>
      <c r="Q244" s="300"/>
      <c r="R244" s="341"/>
    </row>
    <row r="245" ht="14.25" customHeight="1" outlineLevel="1">
      <c r="E245" s="333" t="s">
        <v>509</v>
      </c>
      <c r="F245" s="337">
        <v>700.0</v>
      </c>
      <c r="G245" s="341">
        <v>549.0</v>
      </c>
      <c r="H245" s="341"/>
      <c r="I245" s="286"/>
      <c r="J245" s="335">
        <v>59.0</v>
      </c>
      <c r="K245" s="332">
        <f t="shared" si="30"/>
        <v>0.1074681239</v>
      </c>
      <c r="L245" s="319">
        <f t="shared" si="31"/>
        <v>-59</v>
      </c>
      <c r="M245" s="332">
        <f t="shared" si="32"/>
        <v>-1</v>
      </c>
      <c r="N245" s="331"/>
      <c r="O245" s="285"/>
      <c r="P245" s="285"/>
      <c r="Q245" s="300"/>
      <c r="R245" s="341"/>
    </row>
    <row r="246" ht="14.25" customHeight="1" outlineLevel="1">
      <c r="E246" s="333" t="s">
        <v>510</v>
      </c>
      <c r="F246" s="337">
        <v>700.0</v>
      </c>
      <c r="G246" s="341">
        <v>549.0</v>
      </c>
      <c r="H246" s="341"/>
      <c r="I246" s="286"/>
      <c r="J246" s="335">
        <v>59.0</v>
      </c>
      <c r="K246" s="332">
        <f t="shared" si="30"/>
        <v>0.1074681239</v>
      </c>
      <c r="L246" s="319">
        <f t="shared" si="31"/>
        <v>-59</v>
      </c>
      <c r="M246" s="332">
        <f t="shared" si="32"/>
        <v>-1</v>
      </c>
      <c r="N246" s="331"/>
      <c r="O246" s="285"/>
      <c r="P246" s="285"/>
      <c r="Q246" s="300"/>
      <c r="R246" s="341"/>
    </row>
    <row r="247" ht="14.25" customHeight="1" outlineLevel="1">
      <c r="B247" s="327"/>
      <c r="C247" s="327"/>
      <c r="D247" s="327"/>
      <c r="E247" s="333" t="s">
        <v>114</v>
      </c>
      <c r="F247" s="337">
        <v>700.0</v>
      </c>
      <c r="G247" s="341">
        <v>799.0</v>
      </c>
      <c r="H247" s="341"/>
      <c r="I247" s="286"/>
      <c r="J247" s="335">
        <v>59.0</v>
      </c>
      <c r="K247" s="332">
        <f t="shared" si="30"/>
        <v>0.07384230288</v>
      </c>
      <c r="L247" s="319">
        <f t="shared" si="31"/>
        <v>-59</v>
      </c>
      <c r="M247" s="332">
        <f t="shared" si="32"/>
        <v>-1</v>
      </c>
      <c r="N247" s="331"/>
      <c r="O247" s="285"/>
      <c r="P247" s="285"/>
      <c r="Q247" s="300"/>
      <c r="R247" s="341"/>
    </row>
    <row r="248" ht="14.25" customHeight="1" outlineLevel="1">
      <c r="A248" s="327" t="s">
        <v>589</v>
      </c>
      <c r="B248" s="327"/>
      <c r="C248" s="327" t="s">
        <v>591</v>
      </c>
      <c r="D248" s="327"/>
      <c r="E248" s="333" t="s">
        <v>159</v>
      </c>
      <c r="F248" s="339">
        <v>300.0</v>
      </c>
      <c r="G248" s="341">
        <v>299.0</v>
      </c>
      <c r="H248" s="341">
        <v>279.0</v>
      </c>
      <c r="I248" s="286" t="str">
        <f>G248/R248</f>
        <v>#DIV/0!</v>
      </c>
      <c r="J248" s="335">
        <v>29.0</v>
      </c>
      <c r="K248" s="332">
        <f t="shared" si="30"/>
        <v>0.09698996656</v>
      </c>
      <c r="L248" s="319">
        <f t="shared" si="31"/>
        <v>-29</v>
      </c>
      <c r="M248" s="332">
        <f t="shared" si="32"/>
        <v>-1</v>
      </c>
      <c r="N248" s="331">
        <v>319.0</v>
      </c>
      <c r="O248" s="285" t="s">
        <v>112</v>
      </c>
      <c r="P248" s="285" t="s">
        <v>111</v>
      </c>
      <c r="Q248" s="300"/>
      <c r="R248" s="341"/>
    </row>
    <row r="249" ht="14.25" customHeight="1" outlineLevel="1">
      <c r="E249" s="333" t="s">
        <v>160</v>
      </c>
      <c r="F249" s="339">
        <v>300.0</v>
      </c>
      <c r="G249" s="341">
        <v>299.0</v>
      </c>
      <c r="H249" s="341"/>
      <c r="I249" s="286"/>
      <c r="J249" s="335">
        <v>29.0</v>
      </c>
      <c r="K249" s="332">
        <f t="shared" si="30"/>
        <v>0.09698996656</v>
      </c>
      <c r="L249" s="319">
        <f t="shared" si="31"/>
        <v>-29</v>
      </c>
      <c r="M249" s="332">
        <f t="shared" si="32"/>
        <v>-1</v>
      </c>
      <c r="N249" s="331"/>
      <c r="O249" s="285"/>
      <c r="P249" s="285"/>
      <c r="Q249" s="300"/>
      <c r="R249" s="341"/>
    </row>
    <row r="250" ht="14.25" customHeight="1" outlineLevel="1">
      <c r="E250" s="333" t="s">
        <v>509</v>
      </c>
      <c r="F250" s="339">
        <v>300.0</v>
      </c>
      <c r="G250" s="341">
        <v>329.0</v>
      </c>
      <c r="H250" s="341"/>
      <c r="I250" s="286"/>
      <c r="J250" s="335">
        <v>29.0</v>
      </c>
      <c r="K250" s="332">
        <f t="shared" si="30"/>
        <v>0.08814589666</v>
      </c>
      <c r="L250" s="319">
        <f t="shared" si="31"/>
        <v>-29</v>
      </c>
      <c r="M250" s="332">
        <f t="shared" si="32"/>
        <v>-1</v>
      </c>
      <c r="N250" s="331"/>
      <c r="O250" s="285"/>
      <c r="P250" s="285"/>
      <c r="Q250" s="300"/>
      <c r="R250" s="341"/>
    </row>
    <row r="251" ht="14.25" customHeight="1" outlineLevel="1">
      <c r="E251" s="333" t="s">
        <v>510</v>
      </c>
      <c r="F251" s="339">
        <v>300.0</v>
      </c>
      <c r="G251" s="341">
        <v>329.0</v>
      </c>
      <c r="H251" s="341"/>
      <c r="I251" s="286"/>
      <c r="J251" s="335">
        <v>29.0</v>
      </c>
      <c r="K251" s="332">
        <f t="shared" si="30"/>
        <v>0.08814589666</v>
      </c>
      <c r="L251" s="319">
        <f t="shared" si="31"/>
        <v>-29</v>
      </c>
      <c r="M251" s="332">
        <f t="shared" si="32"/>
        <v>-1</v>
      </c>
      <c r="N251" s="331"/>
      <c r="O251" s="285"/>
      <c r="P251" s="285"/>
      <c r="Q251" s="300"/>
      <c r="R251" s="341"/>
    </row>
    <row r="252" ht="14.25" customHeight="1" outlineLevel="1">
      <c r="B252" s="327"/>
      <c r="C252" s="327"/>
      <c r="D252" s="327"/>
      <c r="E252" s="333" t="s">
        <v>114</v>
      </c>
      <c r="F252" s="339">
        <v>300.0</v>
      </c>
      <c r="G252" s="341">
        <v>399.0</v>
      </c>
      <c r="H252" s="341"/>
      <c r="I252" s="286"/>
      <c r="J252" s="335">
        <v>29.0</v>
      </c>
      <c r="K252" s="332">
        <f t="shared" si="30"/>
        <v>0.07268170426</v>
      </c>
      <c r="L252" s="319">
        <f t="shared" si="31"/>
        <v>-29</v>
      </c>
      <c r="M252" s="332">
        <f t="shared" si="32"/>
        <v>-1</v>
      </c>
      <c r="N252" s="331"/>
      <c r="O252" s="285"/>
      <c r="P252" s="285"/>
      <c r="Q252" s="300"/>
      <c r="R252" s="341"/>
    </row>
    <row r="253" ht="14.25" customHeight="1" outlineLevel="1">
      <c r="A253" s="327" t="s">
        <v>592</v>
      </c>
      <c r="B253" s="327" t="s">
        <v>593</v>
      </c>
      <c r="C253" s="327" t="s">
        <v>594</v>
      </c>
      <c r="D253" s="327"/>
      <c r="E253" s="333" t="s">
        <v>159</v>
      </c>
      <c r="F253" s="337">
        <v>700.0</v>
      </c>
      <c r="G253" s="341">
        <v>499.0</v>
      </c>
      <c r="H253" s="341">
        <v>399.0</v>
      </c>
      <c r="I253" s="286" t="str">
        <f>G253/R253</f>
        <v>#DIV/0!</v>
      </c>
      <c r="J253" s="335">
        <v>70.0</v>
      </c>
      <c r="K253" s="332">
        <f t="shared" si="30"/>
        <v>0.1402805611</v>
      </c>
      <c r="L253" s="319">
        <f t="shared" si="31"/>
        <v>-70</v>
      </c>
      <c r="M253" s="332">
        <f t="shared" si="32"/>
        <v>-1</v>
      </c>
      <c r="N253" s="331"/>
      <c r="O253" s="285" t="s">
        <v>112</v>
      </c>
      <c r="P253" s="285" t="s">
        <v>112</v>
      </c>
      <c r="Q253" s="300"/>
      <c r="R253" s="341"/>
    </row>
    <row r="254" ht="14.25" customHeight="1" outlineLevel="1">
      <c r="E254" s="333" t="s">
        <v>160</v>
      </c>
      <c r="F254" s="337">
        <v>700.0</v>
      </c>
      <c r="G254" s="341">
        <v>499.0</v>
      </c>
      <c r="H254" s="341"/>
      <c r="I254" s="286"/>
      <c r="J254" s="335">
        <v>70.0</v>
      </c>
      <c r="K254" s="332">
        <f t="shared" si="30"/>
        <v>0.1402805611</v>
      </c>
      <c r="L254" s="319">
        <f t="shared" si="31"/>
        <v>-70</v>
      </c>
      <c r="M254" s="332">
        <f t="shared" si="32"/>
        <v>-1</v>
      </c>
      <c r="N254" s="331"/>
      <c r="O254" s="285"/>
      <c r="P254" s="285"/>
      <c r="Q254" s="300"/>
      <c r="R254" s="341"/>
    </row>
    <row r="255" ht="14.25" customHeight="1" outlineLevel="1">
      <c r="E255" s="333" t="s">
        <v>509</v>
      </c>
      <c r="F255" s="337">
        <v>700.0</v>
      </c>
      <c r="G255" s="341">
        <v>549.0</v>
      </c>
      <c r="H255" s="341"/>
      <c r="I255" s="286"/>
      <c r="J255" s="335">
        <v>70.0</v>
      </c>
      <c r="K255" s="332">
        <f t="shared" si="30"/>
        <v>0.1275045537</v>
      </c>
      <c r="L255" s="319">
        <f t="shared" si="31"/>
        <v>-70</v>
      </c>
      <c r="M255" s="332">
        <f t="shared" si="32"/>
        <v>-1</v>
      </c>
      <c r="N255" s="331"/>
      <c r="O255" s="285"/>
      <c r="P255" s="285"/>
      <c r="Q255" s="300"/>
      <c r="R255" s="341"/>
    </row>
    <row r="256" ht="14.25" customHeight="1" outlineLevel="1">
      <c r="E256" s="333" t="s">
        <v>510</v>
      </c>
      <c r="F256" s="337">
        <v>700.0</v>
      </c>
      <c r="G256" s="341">
        <v>549.0</v>
      </c>
      <c r="H256" s="341"/>
      <c r="I256" s="286"/>
      <c r="J256" s="335">
        <v>70.0</v>
      </c>
      <c r="K256" s="332">
        <f t="shared" si="30"/>
        <v>0.1275045537</v>
      </c>
      <c r="L256" s="319">
        <f t="shared" si="31"/>
        <v>-70</v>
      </c>
      <c r="M256" s="332">
        <f t="shared" si="32"/>
        <v>-1</v>
      </c>
      <c r="N256" s="331"/>
      <c r="O256" s="285"/>
      <c r="P256" s="285"/>
      <c r="Q256" s="300"/>
      <c r="R256" s="341"/>
    </row>
    <row r="257" ht="14.25" customHeight="1" outlineLevel="1">
      <c r="B257" s="327"/>
      <c r="C257" s="327"/>
      <c r="D257" s="327"/>
      <c r="E257" s="333" t="s">
        <v>114</v>
      </c>
      <c r="F257" s="337">
        <v>700.0</v>
      </c>
      <c r="G257" s="341">
        <v>799.0</v>
      </c>
      <c r="H257" s="341"/>
      <c r="I257" s="286"/>
      <c r="J257" s="335">
        <v>70.0</v>
      </c>
      <c r="K257" s="332">
        <f t="shared" si="30"/>
        <v>0.08760951189</v>
      </c>
      <c r="L257" s="319">
        <f t="shared" si="31"/>
        <v>-70</v>
      </c>
      <c r="M257" s="332">
        <f t="shared" si="32"/>
        <v>-1</v>
      </c>
      <c r="N257" s="331"/>
      <c r="O257" s="285"/>
      <c r="P257" s="285"/>
      <c r="Q257" s="300"/>
      <c r="R257" s="341"/>
    </row>
    <row r="258" ht="15.0" customHeight="1">
      <c r="A258" s="327" t="s">
        <v>592</v>
      </c>
      <c r="B258" s="327"/>
      <c r="C258" s="327" t="s">
        <v>594</v>
      </c>
      <c r="D258" s="327"/>
      <c r="E258" s="333" t="s">
        <v>159</v>
      </c>
      <c r="F258" s="337">
        <v>300.0</v>
      </c>
      <c r="G258" s="341">
        <v>299.0</v>
      </c>
      <c r="H258" s="341">
        <v>279.0</v>
      </c>
      <c r="I258" s="286" t="str">
        <f>G258/R258</f>
        <v>#DIV/0!</v>
      </c>
      <c r="J258" s="335">
        <v>35.0</v>
      </c>
      <c r="K258" s="332">
        <f t="shared" si="30"/>
        <v>0.1170568562</v>
      </c>
      <c r="L258" s="319">
        <f t="shared" si="31"/>
        <v>-35</v>
      </c>
      <c r="M258" s="332">
        <f t="shared" si="32"/>
        <v>-1</v>
      </c>
      <c r="N258" s="331">
        <v>319.0</v>
      </c>
      <c r="O258" s="332" t="s">
        <v>112</v>
      </c>
      <c r="P258" s="285" t="s">
        <v>111</v>
      </c>
      <c r="Q258" s="300"/>
      <c r="R258" s="341"/>
    </row>
    <row r="259" ht="15.0" customHeight="1">
      <c r="E259" s="333" t="s">
        <v>160</v>
      </c>
      <c r="F259" s="337">
        <v>300.0</v>
      </c>
      <c r="G259" s="341">
        <v>299.0</v>
      </c>
      <c r="H259" s="341"/>
      <c r="I259" s="286"/>
      <c r="J259" s="335">
        <v>35.0</v>
      </c>
      <c r="K259" s="332">
        <f t="shared" si="30"/>
        <v>0.1170568562</v>
      </c>
      <c r="L259" s="319">
        <f t="shared" si="31"/>
        <v>-35</v>
      </c>
      <c r="M259" s="332">
        <f t="shared" si="32"/>
        <v>-1</v>
      </c>
      <c r="N259" s="331"/>
      <c r="O259" s="332"/>
      <c r="P259" s="332"/>
      <c r="Q259" s="300"/>
      <c r="R259" s="341"/>
    </row>
    <row r="260" ht="15.0" customHeight="1">
      <c r="E260" s="333" t="s">
        <v>509</v>
      </c>
      <c r="F260" s="337">
        <v>300.0</v>
      </c>
      <c r="G260" s="341">
        <v>329.0</v>
      </c>
      <c r="H260" s="341"/>
      <c r="I260" s="286"/>
      <c r="J260" s="335">
        <v>35.0</v>
      </c>
      <c r="K260" s="332">
        <f t="shared" si="30"/>
        <v>0.1063829787</v>
      </c>
      <c r="L260" s="319">
        <f t="shared" si="31"/>
        <v>-35</v>
      </c>
      <c r="M260" s="332">
        <f t="shared" si="32"/>
        <v>-1</v>
      </c>
      <c r="N260" s="331"/>
      <c r="O260" s="332"/>
      <c r="P260" s="332"/>
      <c r="Q260" s="300"/>
      <c r="R260" s="341"/>
    </row>
    <row r="261" ht="15.0" customHeight="1">
      <c r="E261" s="333" t="s">
        <v>510</v>
      </c>
      <c r="F261" s="337">
        <v>300.0</v>
      </c>
      <c r="G261" s="341">
        <v>329.0</v>
      </c>
      <c r="H261" s="341"/>
      <c r="I261" s="286"/>
      <c r="J261" s="335">
        <v>35.0</v>
      </c>
      <c r="K261" s="332">
        <f t="shared" si="30"/>
        <v>0.1063829787</v>
      </c>
      <c r="L261" s="319">
        <f t="shared" si="31"/>
        <v>-35</v>
      </c>
      <c r="M261" s="332">
        <f t="shared" si="32"/>
        <v>-1</v>
      </c>
      <c r="N261" s="331"/>
      <c r="O261" s="332"/>
      <c r="P261" s="332"/>
      <c r="Q261" s="300"/>
      <c r="R261" s="341"/>
    </row>
    <row r="262" ht="15.0" customHeight="1">
      <c r="B262" s="327"/>
      <c r="C262" s="327"/>
      <c r="D262" s="327"/>
      <c r="E262" s="333" t="s">
        <v>114</v>
      </c>
      <c r="F262" s="337">
        <v>300.0</v>
      </c>
      <c r="G262" s="341">
        <v>399.0</v>
      </c>
      <c r="H262" s="341"/>
      <c r="I262" s="286"/>
      <c r="J262" s="335">
        <v>35.0</v>
      </c>
      <c r="K262" s="332">
        <f t="shared" si="30"/>
        <v>0.08771929825</v>
      </c>
      <c r="L262" s="319">
        <f t="shared" si="31"/>
        <v>-35</v>
      </c>
      <c r="M262" s="332">
        <f t="shared" si="32"/>
        <v>-1</v>
      </c>
      <c r="N262" s="331"/>
      <c r="O262" s="332"/>
      <c r="P262" s="332"/>
      <c r="Q262" s="300"/>
      <c r="R262" s="341"/>
    </row>
    <row r="263" ht="14.25" customHeight="1" outlineLevel="1">
      <c r="A263" s="327" t="s">
        <v>595</v>
      </c>
      <c r="B263" s="327" t="s">
        <v>596</v>
      </c>
      <c r="C263" s="327" t="s">
        <v>597</v>
      </c>
      <c r="D263" s="327"/>
      <c r="E263" s="333" t="s">
        <v>159</v>
      </c>
      <c r="F263" s="337">
        <v>700.0</v>
      </c>
      <c r="G263" s="341">
        <v>499.0</v>
      </c>
      <c r="H263" s="341">
        <v>229.0</v>
      </c>
      <c r="I263" s="286" t="str">
        <f>G263/R263</f>
        <v>#DIV/0!</v>
      </c>
      <c r="J263" s="335">
        <v>53.0</v>
      </c>
      <c r="K263" s="332">
        <f t="shared" si="30"/>
        <v>0.1062124248</v>
      </c>
      <c r="L263" s="319">
        <f t="shared" si="31"/>
        <v>-53</v>
      </c>
      <c r="M263" s="332">
        <f t="shared" si="32"/>
        <v>-1</v>
      </c>
      <c r="N263" s="331"/>
      <c r="O263" s="285" t="s">
        <v>112</v>
      </c>
      <c r="P263" s="285" t="s">
        <v>112</v>
      </c>
      <c r="Q263" s="300"/>
      <c r="R263" s="341"/>
    </row>
    <row r="264" ht="14.25" customHeight="1" outlineLevel="1">
      <c r="E264" s="333" t="s">
        <v>160</v>
      </c>
      <c r="F264" s="337">
        <v>700.0</v>
      </c>
      <c r="G264" s="341">
        <v>499.0</v>
      </c>
      <c r="H264" s="341"/>
      <c r="I264" s="286"/>
      <c r="J264" s="335">
        <v>53.0</v>
      </c>
      <c r="K264" s="332">
        <f t="shared" si="30"/>
        <v>0.1062124248</v>
      </c>
      <c r="L264" s="319">
        <f t="shared" si="31"/>
        <v>-53</v>
      </c>
      <c r="M264" s="332">
        <f t="shared" si="32"/>
        <v>-1</v>
      </c>
      <c r="N264" s="331"/>
      <c r="O264" s="285"/>
      <c r="P264" s="285"/>
      <c r="Q264" s="300"/>
      <c r="R264" s="341"/>
    </row>
    <row r="265" ht="14.25" customHeight="1" outlineLevel="1">
      <c r="E265" s="333" t="s">
        <v>509</v>
      </c>
      <c r="F265" s="337">
        <v>700.0</v>
      </c>
      <c r="G265" s="341">
        <v>549.0</v>
      </c>
      <c r="H265" s="341"/>
      <c r="I265" s="286"/>
      <c r="J265" s="335">
        <v>53.0</v>
      </c>
      <c r="K265" s="332">
        <f t="shared" si="30"/>
        <v>0.09653916211</v>
      </c>
      <c r="L265" s="319">
        <f t="shared" si="31"/>
        <v>-53</v>
      </c>
      <c r="M265" s="332">
        <f t="shared" si="32"/>
        <v>-1</v>
      </c>
      <c r="N265" s="331"/>
      <c r="O265" s="285"/>
      <c r="P265" s="285"/>
      <c r="Q265" s="300"/>
      <c r="R265" s="341"/>
    </row>
    <row r="266" ht="14.25" customHeight="1" outlineLevel="1">
      <c r="E266" s="333" t="s">
        <v>510</v>
      </c>
      <c r="F266" s="337">
        <v>700.0</v>
      </c>
      <c r="G266" s="341">
        <v>549.0</v>
      </c>
      <c r="H266" s="341"/>
      <c r="I266" s="286"/>
      <c r="J266" s="335">
        <v>53.0</v>
      </c>
      <c r="K266" s="332">
        <f t="shared" si="30"/>
        <v>0.09653916211</v>
      </c>
      <c r="L266" s="319">
        <f t="shared" si="31"/>
        <v>-53</v>
      </c>
      <c r="M266" s="332">
        <f t="shared" si="32"/>
        <v>-1</v>
      </c>
      <c r="N266" s="331"/>
      <c r="O266" s="285"/>
      <c r="P266" s="285"/>
      <c r="Q266" s="300"/>
      <c r="R266" s="341"/>
    </row>
    <row r="267" ht="14.25" customHeight="1" outlineLevel="1">
      <c r="B267" s="327"/>
      <c r="C267" s="327"/>
      <c r="D267" s="327"/>
      <c r="E267" s="333" t="s">
        <v>114</v>
      </c>
      <c r="F267" s="337">
        <v>700.0</v>
      </c>
      <c r="G267" s="341">
        <v>799.0</v>
      </c>
      <c r="H267" s="341"/>
      <c r="I267" s="286"/>
      <c r="J267" s="335">
        <v>53.0</v>
      </c>
      <c r="K267" s="332">
        <f t="shared" si="30"/>
        <v>0.06633291615</v>
      </c>
      <c r="L267" s="319">
        <f t="shared" si="31"/>
        <v>-53</v>
      </c>
      <c r="M267" s="332">
        <f t="shared" si="32"/>
        <v>-1</v>
      </c>
      <c r="N267" s="331"/>
      <c r="O267" s="285"/>
      <c r="P267" s="285"/>
      <c r="Q267" s="300"/>
      <c r="R267" s="341"/>
    </row>
    <row r="268" ht="15.0" customHeight="1">
      <c r="A268" s="327" t="s">
        <v>595</v>
      </c>
      <c r="B268" s="327"/>
      <c r="C268" s="327" t="s">
        <v>597</v>
      </c>
      <c r="D268" s="327"/>
      <c r="E268" s="333" t="s">
        <v>159</v>
      </c>
      <c r="F268" s="337">
        <v>300.0</v>
      </c>
      <c r="G268" s="341">
        <v>299.0</v>
      </c>
      <c r="H268" s="341">
        <v>279.0</v>
      </c>
      <c r="I268" s="286" t="str">
        <f>G268/R268</f>
        <v>#DIV/0!</v>
      </c>
      <c r="J268" s="335">
        <v>26.0</v>
      </c>
      <c r="K268" s="332">
        <f t="shared" si="30"/>
        <v>0.08695652174</v>
      </c>
      <c r="L268" s="319">
        <f t="shared" si="31"/>
        <v>-26</v>
      </c>
      <c r="M268" s="332">
        <f t="shared" si="32"/>
        <v>-1</v>
      </c>
      <c r="N268" s="331">
        <v>319.0</v>
      </c>
      <c r="O268" s="332" t="s">
        <v>112</v>
      </c>
      <c r="P268" s="285" t="s">
        <v>111</v>
      </c>
      <c r="Q268" s="300"/>
      <c r="R268" s="341"/>
    </row>
    <row r="269" ht="15.0" customHeight="1">
      <c r="E269" s="333" t="s">
        <v>160</v>
      </c>
      <c r="F269" s="337">
        <v>300.0</v>
      </c>
      <c r="G269" s="341">
        <v>299.0</v>
      </c>
      <c r="H269" s="341"/>
      <c r="I269" s="286"/>
      <c r="J269" s="335">
        <v>26.0</v>
      </c>
      <c r="K269" s="332">
        <f t="shared" si="30"/>
        <v>0.08695652174</v>
      </c>
      <c r="L269" s="319">
        <f t="shared" si="31"/>
        <v>-26</v>
      </c>
      <c r="M269" s="332">
        <f t="shared" si="32"/>
        <v>-1</v>
      </c>
      <c r="N269" s="331"/>
      <c r="O269" s="332"/>
      <c r="P269" s="332"/>
      <c r="Q269" s="300"/>
      <c r="R269" s="341"/>
    </row>
    <row r="270" ht="15.0" customHeight="1">
      <c r="E270" s="333" t="s">
        <v>509</v>
      </c>
      <c r="F270" s="337">
        <v>300.0</v>
      </c>
      <c r="G270" s="341">
        <v>329.0</v>
      </c>
      <c r="H270" s="341"/>
      <c r="I270" s="286"/>
      <c r="J270" s="335">
        <v>26.0</v>
      </c>
      <c r="K270" s="332">
        <f t="shared" si="30"/>
        <v>0.07902735562</v>
      </c>
      <c r="L270" s="319">
        <f t="shared" si="31"/>
        <v>-26</v>
      </c>
      <c r="M270" s="332">
        <f t="shared" si="32"/>
        <v>-1</v>
      </c>
      <c r="N270" s="331"/>
      <c r="O270" s="332"/>
      <c r="P270" s="332"/>
      <c r="Q270" s="300"/>
      <c r="R270" s="341"/>
    </row>
    <row r="271" ht="15.0" customHeight="1">
      <c r="E271" s="333" t="s">
        <v>510</v>
      </c>
      <c r="F271" s="337">
        <v>300.0</v>
      </c>
      <c r="G271" s="341">
        <v>329.0</v>
      </c>
      <c r="H271" s="341"/>
      <c r="I271" s="286"/>
      <c r="J271" s="335">
        <v>26.0</v>
      </c>
      <c r="K271" s="332">
        <f t="shared" si="30"/>
        <v>0.07902735562</v>
      </c>
      <c r="L271" s="319">
        <f t="shared" si="31"/>
        <v>-26</v>
      </c>
      <c r="M271" s="332">
        <f t="shared" si="32"/>
        <v>-1</v>
      </c>
      <c r="N271" s="331"/>
      <c r="O271" s="332"/>
      <c r="P271" s="332"/>
      <c r="Q271" s="300"/>
      <c r="R271" s="341"/>
    </row>
    <row r="272" ht="15.0" customHeight="1">
      <c r="B272" s="327"/>
      <c r="C272" s="327"/>
      <c r="D272" s="327"/>
      <c r="E272" s="333" t="s">
        <v>114</v>
      </c>
      <c r="F272" s="337">
        <v>300.0</v>
      </c>
      <c r="G272" s="341">
        <v>399.0</v>
      </c>
      <c r="H272" s="341"/>
      <c r="I272" s="286"/>
      <c r="J272" s="335">
        <v>26.0</v>
      </c>
      <c r="K272" s="332">
        <f t="shared" si="30"/>
        <v>0.06516290727</v>
      </c>
      <c r="L272" s="319">
        <f t="shared" si="31"/>
        <v>-26</v>
      </c>
      <c r="M272" s="332">
        <f t="shared" si="32"/>
        <v>-1</v>
      </c>
      <c r="N272" s="331"/>
      <c r="O272" s="332"/>
      <c r="P272" s="332"/>
      <c r="Q272" s="300"/>
      <c r="R272" s="341"/>
    </row>
    <row r="273" ht="16.5" customHeight="1" outlineLevel="1">
      <c r="A273" s="327" t="s">
        <v>598</v>
      </c>
      <c r="B273" s="327" t="s">
        <v>599</v>
      </c>
      <c r="C273" s="327" t="s">
        <v>598</v>
      </c>
      <c r="D273" s="327"/>
      <c r="E273" s="333" t="s">
        <v>159</v>
      </c>
      <c r="F273" s="339">
        <v>700.0</v>
      </c>
      <c r="G273" s="334">
        <v>499.0</v>
      </c>
      <c r="H273" s="334">
        <v>399.0</v>
      </c>
      <c r="I273" s="286" t="str">
        <f>G273/R273</f>
        <v>#DIV/0!</v>
      </c>
      <c r="J273" s="335">
        <v>43.0</v>
      </c>
      <c r="K273" s="332">
        <f t="shared" si="30"/>
        <v>0.08617234469</v>
      </c>
      <c r="L273" s="319">
        <f t="shared" si="31"/>
        <v>-43</v>
      </c>
      <c r="M273" s="332">
        <f t="shared" si="32"/>
        <v>-1</v>
      </c>
      <c r="N273" s="331"/>
      <c r="O273" s="285" t="s">
        <v>112</v>
      </c>
      <c r="P273" s="285" t="s">
        <v>112</v>
      </c>
      <c r="Q273" s="319"/>
      <c r="R273" s="334"/>
    </row>
    <row r="274" ht="16.5" customHeight="1" outlineLevel="1">
      <c r="E274" s="333" t="s">
        <v>160</v>
      </c>
      <c r="F274" s="339">
        <v>700.0</v>
      </c>
      <c r="G274" s="334">
        <v>499.0</v>
      </c>
      <c r="H274" s="334"/>
      <c r="I274" s="286"/>
      <c r="J274" s="335">
        <v>43.0</v>
      </c>
      <c r="K274" s="332">
        <f t="shared" si="30"/>
        <v>0.08617234469</v>
      </c>
      <c r="L274" s="319">
        <f t="shared" si="31"/>
        <v>-43</v>
      </c>
      <c r="M274" s="332">
        <f t="shared" si="32"/>
        <v>-1</v>
      </c>
      <c r="N274" s="331"/>
      <c r="O274" s="285"/>
      <c r="P274" s="285"/>
      <c r="Q274" s="319"/>
      <c r="R274" s="334"/>
    </row>
    <row r="275" ht="16.5" customHeight="1" outlineLevel="1">
      <c r="E275" s="333" t="s">
        <v>509</v>
      </c>
      <c r="F275" s="339">
        <v>700.0</v>
      </c>
      <c r="G275" s="334">
        <v>549.0</v>
      </c>
      <c r="H275" s="334"/>
      <c r="I275" s="286"/>
      <c r="J275" s="335">
        <v>43.0</v>
      </c>
      <c r="K275" s="332">
        <f t="shared" si="30"/>
        <v>0.07832422587</v>
      </c>
      <c r="L275" s="319">
        <f t="shared" si="31"/>
        <v>-43</v>
      </c>
      <c r="M275" s="332">
        <f t="shared" si="32"/>
        <v>-1</v>
      </c>
      <c r="N275" s="331"/>
      <c r="O275" s="285"/>
      <c r="P275" s="285"/>
      <c r="Q275" s="319"/>
      <c r="R275" s="334"/>
    </row>
    <row r="276" ht="16.5" customHeight="1" outlineLevel="1">
      <c r="E276" s="333" t="s">
        <v>510</v>
      </c>
      <c r="F276" s="339">
        <v>700.0</v>
      </c>
      <c r="G276" s="334">
        <v>549.0</v>
      </c>
      <c r="H276" s="334"/>
      <c r="I276" s="286"/>
      <c r="J276" s="335">
        <v>43.0</v>
      </c>
      <c r="K276" s="332">
        <f t="shared" si="30"/>
        <v>0.07832422587</v>
      </c>
      <c r="L276" s="319">
        <f t="shared" si="31"/>
        <v>-43</v>
      </c>
      <c r="M276" s="332">
        <f t="shared" si="32"/>
        <v>-1</v>
      </c>
      <c r="N276" s="331"/>
      <c r="O276" s="285"/>
      <c r="P276" s="285"/>
      <c r="Q276" s="319"/>
      <c r="R276" s="334"/>
    </row>
    <row r="277" ht="16.5" customHeight="1" outlineLevel="1">
      <c r="B277" s="327"/>
      <c r="C277" s="327"/>
      <c r="D277" s="327"/>
      <c r="E277" s="333" t="s">
        <v>114</v>
      </c>
      <c r="F277" s="339">
        <v>700.0</v>
      </c>
      <c r="G277" s="334">
        <v>799.0</v>
      </c>
      <c r="H277" s="334"/>
      <c r="I277" s="286"/>
      <c r="J277" s="335">
        <v>43.0</v>
      </c>
      <c r="K277" s="332">
        <f t="shared" si="30"/>
        <v>0.05381727159</v>
      </c>
      <c r="L277" s="319">
        <f t="shared" si="31"/>
        <v>-43</v>
      </c>
      <c r="M277" s="332">
        <f t="shared" si="32"/>
        <v>-1</v>
      </c>
      <c r="N277" s="331"/>
      <c r="O277" s="285"/>
      <c r="P277" s="285"/>
      <c r="Q277" s="319"/>
      <c r="R277" s="334"/>
    </row>
    <row r="278" ht="14.25" customHeight="1" outlineLevel="1">
      <c r="A278" s="327" t="s">
        <v>598</v>
      </c>
      <c r="B278" s="327"/>
      <c r="C278" s="327" t="s">
        <v>598</v>
      </c>
      <c r="D278" s="327"/>
      <c r="E278" s="333" t="s">
        <v>159</v>
      </c>
      <c r="F278" s="339">
        <v>300.0</v>
      </c>
      <c r="G278" s="341">
        <v>299.0</v>
      </c>
      <c r="H278" s="341">
        <v>279.0</v>
      </c>
      <c r="I278" s="286" t="str">
        <f>G278/R278</f>
        <v>#DIV/0!</v>
      </c>
      <c r="J278" s="335">
        <v>15.63</v>
      </c>
      <c r="K278" s="332">
        <f t="shared" si="30"/>
        <v>0.05227424749</v>
      </c>
      <c r="L278" s="319">
        <f t="shared" si="31"/>
        <v>-15.63</v>
      </c>
      <c r="M278" s="332">
        <f t="shared" si="32"/>
        <v>-1</v>
      </c>
      <c r="N278" s="331">
        <v>319.0</v>
      </c>
      <c r="O278" s="285" t="s">
        <v>112</v>
      </c>
      <c r="P278" s="285" t="s">
        <v>111</v>
      </c>
      <c r="Q278" s="319"/>
      <c r="R278" s="341"/>
    </row>
    <row r="279" ht="14.25" customHeight="1" outlineLevel="1">
      <c r="B279" s="327"/>
      <c r="D279" s="327"/>
      <c r="E279" s="333" t="s">
        <v>160</v>
      </c>
      <c r="F279" s="339">
        <v>300.0</v>
      </c>
      <c r="G279" s="341">
        <v>299.0</v>
      </c>
      <c r="H279" s="341"/>
      <c r="I279" s="286"/>
      <c r="J279" s="335">
        <v>15.63</v>
      </c>
      <c r="K279" s="332">
        <f t="shared" si="30"/>
        <v>0.05227424749</v>
      </c>
      <c r="L279" s="319">
        <f t="shared" si="31"/>
        <v>-15.63</v>
      </c>
      <c r="M279" s="332">
        <f t="shared" si="32"/>
        <v>-1</v>
      </c>
      <c r="N279" s="331"/>
      <c r="O279" s="285"/>
      <c r="P279" s="285"/>
      <c r="Q279" s="319"/>
      <c r="R279" s="341"/>
    </row>
    <row r="280" ht="14.25" customHeight="1" outlineLevel="1">
      <c r="B280" s="327"/>
      <c r="D280" s="327"/>
      <c r="E280" s="333" t="s">
        <v>509</v>
      </c>
      <c r="F280" s="339">
        <v>300.0</v>
      </c>
      <c r="G280" s="341">
        <v>329.0</v>
      </c>
      <c r="H280" s="341"/>
      <c r="I280" s="286"/>
      <c r="J280" s="335">
        <v>15.63</v>
      </c>
      <c r="K280" s="332">
        <f t="shared" si="30"/>
        <v>0.04750759878</v>
      </c>
      <c r="L280" s="319">
        <f t="shared" si="31"/>
        <v>-15.63</v>
      </c>
      <c r="M280" s="332">
        <f t="shared" si="32"/>
        <v>-1</v>
      </c>
      <c r="N280" s="331"/>
      <c r="O280" s="285"/>
      <c r="P280" s="285"/>
      <c r="Q280" s="319"/>
      <c r="R280" s="341"/>
    </row>
    <row r="281" ht="14.25" customHeight="1" outlineLevel="1">
      <c r="B281" s="327"/>
      <c r="D281" s="327"/>
      <c r="E281" s="333" t="s">
        <v>510</v>
      </c>
      <c r="F281" s="339">
        <v>300.0</v>
      </c>
      <c r="G281" s="341">
        <v>329.0</v>
      </c>
      <c r="H281" s="341"/>
      <c r="I281" s="286"/>
      <c r="J281" s="335">
        <v>15.63</v>
      </c>
      <c r="K281" s="332">
        <f t="shared" si="30"/>
        <v>0.04750759878</v>
      </c>
      <c r="L281" s="319">
        <f t="shared" si="31"/>
        <v>-15.63</v>
      </c>
      <c r="M281" s="332">
        <f t="shared" si="32"/>
        <v>-1</v>
      </c>
      <c r="N281" s="331"/>
      <c r="O281" s="285"/>
      <c r="P281" s="285"/>
      <c r="Q281" s="319"/>
      <c r="R281" s="341"/>
    </row>
    <row r="282" ht="14.25" customHeight="1" outlineLevel="1">
      <c r="B282" s="327"/>
      <c r="C282" s="327"/>
      <c r="D282" s="327"/>
      <c r="E282" s="333" t="s">
        <v>114</v>
      </c>
      <c r="F282" s="339">
        <v>300.0</v>
      </c>
      <c r="G282" s="341">
        <v>399.0</v>
      </c>
      <c r="H282" s="341"/>
      <c r="I282" s="286"/>
      <c r="J282" s="335">
        <v>15.63</v>
      </c>
      <c r="K282" s="332">
        <f t="shared" si="30"/>
        <v>0.03917293233</v>
      </c>
      <c r="L282" s="319">
        <f t="shared" si="31"/>
        <v>-15.63</v>
      </c>
      <c r="M282" s="332">
        <f t="shared" si="32"/>
        <v>-1</v>
      </c>
      <c r="N282" s="331"/>
      <c r="O282" s="285"/>
      <c r="P282" s="285"/>
      <c r="Q282" s="319"/>
      <c r="R282" s="341"/>
    </row>
    <row r="283" ht="14.25" customHeight="1">
      <c r="A283" s="288" t="s">
        <v>600</v>
      </c>
      <c r="B283" s="289"/>
      <c r="C283" s="288" t="s">
        <v>601</v>
      </c>
      <c r="D283" s="338"/>
      <c r="E283" s="322" t="s">
        <v>159</v>
      </c>
      <c r="F283" s="323"/>
      <c r="G283" s="294"/>
      <c r="H283" s="294"/>
      <c r="I283" s="324"/>
      <c r="J283" s="325"/>
      <c r="K283" s="297"/>
      <c r="L283" s="326"/>
      <c r="M283" s="297"/>
      <c r="N283" s="299"/>
      <c r="O283" s="297"/>
      <c r="P283" s="297"/>
      <c r="Q283" s="300"/>
      <c r="R283" s="301"/>
    </row>
    <row r="284" ht="14.25" customHeight="1">
      <c r="B284" s="289"/>
      <c r="D284" s="338"/>
      <c r="E284" s="322" t="s">
        <v>160</v>
      </c>
      <c r="F284" s="323"/>
      <c r="G284" s="294"/>
      <c r="H284" s="294"/>
      <c r="I284" s="324"/>
      <c r="J284" s="325"/>
      <c r="K284" s="297"/>
      <c r="L284" s="326"/>
      <c r="M284" s="297"/>
      <c r="N284" s="299"/>
      <c r="O284" s="297"/>
      <c r="P284" s="297"/>
      <c r="Q284" s="300"/>
      <c r="R284" s="301"/>
    </row>
    <row r="285" ht="14.25" customHeight="1">
      <c r="B285" s="289"/>
      <c r="D285" s="338"/>
      <c r="E285" s="322" t="s">
        <v>509</v>
      </c>
      <c r="F285" s="323"/>
      <c r="G285" s="294"/>
      <c r="H285" s="294"/>
      <c r="I285" s="324"/>
      <c r="J285" s="325"/>
      <c r="K285" s="297"/>
      <c r="L285" s="326"/>
      <c r="M285" s="297"/>
      <c r="N285" s="299"/>
      <c r="O285" s="297"/>
      <c r="P285" s="297"/>
      <c r="Q285" s="300"/>
      <c r="R285" s="301"/>
    </row>
    <row r="286" ht="14.25" customHeight="1">
      <c r="B286" s="289"/>
      <c r="D286" s="338"/>
      <c r="E286" s="322" t="s">
        <v>510</v>
      </c>
      <c r="F286" s="323"/>
      <c r="G286" s="294"/>
      <c r="H286" s="294"/>
      <c r="I286" s="324"/>
      <c r="J286" s="325"/>
      <c r="K286" s="297"/>
      <c r="L286" s="326"/>
      <c r="M286" s="297"/>
      <c r="N286" s="299"/>
      <c r="O286" s="297"/>
      <c r="P286" s="297"/>
      <c r="Q286" s="300"/>
      <c r="R286" s="301"/>
    </row>
    <row r="287" ht="14.25" customHeight="1">
      <c r="B287" s="289"/>
      <c r="C287" s="288"/>
      <c r="D287" s="288"/>
      <c r="E287" s="322" t="s">
        <v>114</v>
      </c>
      <c r="F287" s="323"/>
      <c r="G287" s="294"/>
      <c r="H287" s="294"/>
      <c r="I287" s="324"/>
      <c r="J287" s="325"/>
      <c r="K287" s="297"/>
      <c r="L287" s="326"/>
      <c r="M287" s="297"/>
      <c r="N287" s="299"/>
      <c r="O287" s="297"/>
      <c r="P287" s="297"/>
      <c r="Q287" s="300"/>
      <c r="R287" s="301"/>
    </row>
    <row r="288" ht="14.25" customHeight="1" outlineLevel="1">
      <c r="A288" s="327" t="s">
        <v>602</v>
      </c>
      <c r="B288" s="327" t="s">
        <v>603</v>
      </c>
      <c r="C288" s="327" t="s">
        <v>602</v>
      </c>
      <c r="D288" s="327" t="s">
        <v>604</v>
      </c>
      <c r="E288" s="309" t="s">
        <v>159</v>
      </c>
      <c r="F288" s="337">
        <v>300.0</v>
      </c>
      <c r="G288" s="301">
        <v>329.0</v>
      </c>
      <c r="H288" s="301">
        <v>279.0</v>
      </c>
      <c r="I288" s="312" t="str">
        <f>G288/R288</f>
        <v>#DIV/0!</v>
      </c>
      <c r="J288" s="313">
        <v>39.94</v>
      </c>
      <c r="K288" s="314">
        <f t="shared" ref="K288:K297" si="33">J288/G288</f>
        <v>0.1213981763</v>
      </c>
      <c r="L288" s="315">
        <f t="shared" ref="L288:L297" si="34">Q288-J288</f>
        <v>-39.94</v>
      </c>
      <c r="M288" s="316">
        <f t="shared" ref="M288:M297" si="35">Q288/J288-1</f>
        <v>-1</v>
      </c>
      <c r="N288" s="317">
        <v>349.0</v>
      </c>
      <c r="O288" s="318" t="s">
        <v>112</v>
      </c>
      <c r="P288" s="318" t="s">
        <v>111</v>
      </c>
      <c r="Q288" s="300"/>
      <c r="R288" s="301"/>
    </row>
    <row r="289" ht="14.25" customHeight="1" outlineLevel="1">
      <c r="E289" s="309" t="s">
        <v>160</v>
      </c>
      <c r="F289" s="337">
        <v>300.0</v>
      </c>
      <c r="G289" s="301">
        <v>329.0</v>
      </c>
      <c r="H289" s="301"/>
      <c r="I289" s="312"/>
      <c r="J289" s="313">
        <v>39.94</v>
      </c>
      <c r="K289" s="314">
        <f t="shared" si="33"/>
        <v>0.1213981763</v>
      </c>
      <c r="L289" s="315">
        <f t="shared" si="34"/>
        <v>-39.94</v>
      </c>
      <c r="M289" s="316">
        <f t="shared" si="35"/>
        <v>-1</v>
      </c>
      <c r="N289" s="317"/>
      <c r="O289" s="318"/>
      <c r="P289" s="318"/>
      <c r="Q289" s="300"/>
      <c r="R289" s="301"/>
    </row>
    <row r="290" ht="14.25" customHeight="1" outlineLevel="1">
      <c r="E290" s="309" t="s">
        <v>509</v>
      </c>
      <c r="F290" s="337">
        <v>300.0</v>
      </c>
      <c r="G290" s="301">
        <v>329.0</v>
      </c>
      <c r="H290" s="301"/>
      <c r="I290" s="312"/>
      <c r="J290" s="313">
        <v>39.94</v>
      </c>
      <c r="K290" s="314">
        <f t="shared" si="33"/>
        <v>0.1213981763</v>
      </c>
      <c r="L290" s="315">
        <f t="shared" si="34"/>
        <v>-39.94</v>
      </c>
      <c r="M290" s="316">
        <f t="shared" si="35"/>
        <v>-1</v>
      </c>
      <c r="N290" s="317"/>
      <c r="O290" s="318"/>
      <c r="P290" s="318"/>
      <c r="Q290" s="300"/>
      <c r="R290" s="301"/>
    </row>
    <row r="291" ht="14.25" customHeight="1" outlineLevel="1">
      <c r="E291" s="309" t="s">
        <v>510</v>
      </c>
      <c r="F291" s="337">
        <v>300.0</v>
      </c>
      <c r="G291" s="301">
        <v>329.0</v>
      </c>
      <c r="H291" s="301"/>
      <c r="I291" s="312"/>
      <c r="J291" s="313">
        <v>39.94</v>
      </c>
      <c r="K291" s="314">
        <f t="shared" si="33"/>
        <v>0.1213981763</v>
      </c>
      <c r="L291" s="315">
        <f t="shared" si="34"/>
        <v>-39.94</v>
      </c>
      <c r="M291" s="316">
        <f t="shared" si="35"/>
        <v>-1</v>
      </c>
      <c r="N291" s="317"/>
      <c r="O291" s="318"/>
      <c r="P291" s="318"/>
      <c r="Q291" s="300"/>
      <c r="R291" s="301"/>
    </row>
    <row r="292" ht="14.25" customHeight="1" outlineLevel="1">
      <c r="B292" s="327"/>
      <c r="C292" s="327"/>
      <c r="D292" s="327"/>
      <c r="E292" s="309" t="s">
        <v>114</v>
      </c>
      <c r="F292" s="337">
        <v>300.0</v>
      </c>
      <c r="G292" s="301">
        <v>449.0</v>
      </c>
      <c r="H292" s="301"/>
      <c r="I292" s="312"/>
      <c r="J292" s="313">
        <v>39.94</v>
      </c>
      <c r="K292" s="314">
        <f t="shared" si="33"/>
        <v>0.0889532294</v>
      </c>
      <c r="L292" s="315">
        <f t="shared" si="34"/>
        <v>-39.94</v>
      </c>
      <c r="M292" s="316">
        <f t="shared" si="35"/>
        <v>-1</v>
      </c>
      <c r="N292" s="317"/>
      <c r="O292" s="318"/>
      <c r="P292" s="318"/>
      <c r="Q292" s="300"/>
      <c r="R292" s="301"/>
    </row>
    <row r="293" ht="14.25" customHeight="1" outlineLevel="1">
      <c r="A293" s="327" t="s">
        <v>605</v>
      </c>
      <c r="B293" s="327" t="s">
        <v>603</v>
      </c>
      <c r="C293" s="327" t="s">
        <v>605</v>
      </c>
      <c r="D293" s="327" t="s">
        <v>604</v>
      </c>
      <c r="E293" s="309" t="s">
        <v>159</v>
      </c>
      <c r="F293" s="337">
        <v>500.0</v>
      </c>
      <c r="G293" s="301">
        <v>499.0</v>
      </c>
      <c r="H293" s="301">
        <v>459.0</v>
      </c>
      <c r="I293" s="312" t="str">
        <f>G293/R293</f>
        <v>#DIV/0!</v>
      </c>
      <c r="J293" s="313">
        <v>79.0</v>
      </c>
      <c r="K293" s="314">
        <f t="shared" si="33"/>
        <v>0.1583166333</v>
      </c>
      <c r="L293" s="315">
        <f t="shared" si="34"/>
        <v>-79</v>
      </c>
      <c r="M293" s="316">
        <f t="shared" si="35"/>
        <v>-1</v>
      </c>
      <c r="N293" s="317"/>
      <c r="O293" s="318" t="s">
        <v>112</v>
      </c>
      <c r="P293" s="318" t="s">
        <v>112</v>
      </c>
      <c r="Q293" s="300"/>
      <c r="R293" s="301"/>
    </row>
    <row r="294" ht="14.25" customHeight="1" outlineLevel="1">
      <c r="E294" s="309" t="s">
        <v>160</v>
      </c>
      <c r="F294" s="337">
        <v>500.0</v>
      </c>
      <c r="G294" s="301">
        <v>499.0</v>
      </c>
      <c r="H294" s="301"/>
      <c r="I294" s="312"/>
      <c r="J294" s="313">
        <v>79.0</v>
      </c>
      <c r="K294" s="314">
        <f t="shared" si="33"/>
        <v>0.1583166333</v>
      </c>
      <c r="L294" s="315">
        <f t="shared" si="34"/>
        <v>-79</v>
      </c>
      <c r="M294" s="316">
        <f t="shared" si="35"/>
        <v>-1</v>
      </c>
      <c r="N294" s="317"/>
      <c r="O294" s="318"/>
      <c r="P294" s="318"/>
      <c r="Q294" s="300"/>
      <c r="R294" s="301"/>
    </row>
    <row r="295" ht="14.25" customHeight="1" outlineLevel="1">
      <c r="E295" s="333" t="s">
        <v>509</v>
      </c>
      <c r="F295" s="337">
        <v>500.0</v>
      </c>
      <c r="G295" s="301">
        <v>499.0</v>
      </c>
      <c r="H295" s="301"/>
      <c r="I295" s="312"/>
      <c r="J295" s="313">
        <v>79.0</v>
      </c>
      <c r="K295" s="314">
        <f t="shared" si="33"/>
        <v>0.1583166333</v>
      </c>
      <c r="L295" s="315">
        <f t="shared" si="34"/>
        <v>-79</v>
      </c>
      <c r="M295" s="316">
        <f t="shared" si="35"/>
        <v>-1</v>
      </c>
      <c r="N295" s="317"/>
      <c r="O295" s="318"/>
      <c r="P295" s="318"/>
      <c r="Q295" s="300"/>
      <c r="R295" s="301"/>
    </row>
    <row r="296" ht="14.25" customHeight="1" outlineLevel="1">
      <c r="E296" s="333" t="s">
        <v>510</v>
      </c>
      <c r="F296" s="337">
        <v>500.0</v>
      </c>
      <c r="G296" s="301">
        <v>499.0</v>
      </c>
      <c r="H296" s="301"/>
      <c r="I296" s="312"/>
      <c r="J296" s="313">
        <v>79.0</v>
      </c>
      <c r="K296" s="314">
        <f t="shared" si="33"/>
        <v>0.1583166333</v>
      </c>
      <c r="L296" s="315">
        <f t="shared" si="34"/>
        <v>-79</v>
      </c>
      <c r="M296" s="316">
        <f t="shared" si="35"/>
        <v>-1</v>
      </c>
      <c r="N296" s="317"/>
      <c r="O296" s="318"/>
      <c r="P296" s="318"/>
      <c r="Q296" s="300"/>
      <c r="R296" s="301"/>
    </row>
    <row r="297" ht="14.25" customHeight="1" outlineLevel="1">
      <c r="B297" s="327"/>
      <c r="C297" s="327"/>
      <c r="D297" s="327"/>
      <c r="E297" s="333" t="s">
        <v>114</v>
      </c>
      <c r="F297" s="337">
        <v>500.0</v>
      </c>
      <c r="G297" s="301">
        <v>649.0</v>
      </c>
      <c r="H297" s="301"/>
      <c r="I297" s="312"/>
      <c r="J297" s="313">
        <v>79.0</v>
      </c>
      <c r="K297" s="314">
        <f t="shared" si="33"/>
        <v>0.1217257319</v>
      </c>
      <c r="L297" s="315">
        <f t="shared" si="34"/>
        <v>-79</v>
      </c>
      <c r="M297" s="316">
        <f t="shared" si="35"/>
        <v>-1</v>
      </c>
      <c r="N297" s="317"/>
      <c r="O297" s="318"/>
      <c r="P297" s="318"/>
      <c r="Q297" s="300"/>
      <c r="R297" s="301"/>
    </row>
    <row r="298" ht="14.25" customHeight="1">
      <c r="A298" s="288" t="s">
        <v>606</v>
      </c>
      <c r="B298" s="289"/>
      <c r="C298" s="288" t="s">
        <v>606</v>
      </c>
      <c r="D298" s="291"/>
      <c r="E298" s="322" t="s">
        <v>159</v>
      </c>
      <c r="F298" s="323"/>
      <c r="G298" s="294"/>
      <c r="H298" s="294"/>
      <c r="I298" s="324"/>
      <c r="J298" s="325"/>
      <c r="K298" s="297"/>
      <c r="L298" s="326"/>
      <c r="M298" s="297"/>
      <c r="N298" s="299"/>
      <c r="O298" s="297"/>
      <c r="P298" s="297"/>
      <c r="Q298" s="300"/>
      <c r="R298" s="301"/>
    </row>
    <row r="299" ht="14.25" customHeight="1">
      <c r="B299" s="289"/>
      <c r="D299" s="291"/>
      <c r="E299" s="322" t="s">
        <v>160</v>
      </c>
      <c r="F299" s="323"/>
      <c r="G299" s="294"/>
      <c r="H299" s="294"/>
      <c r="I299" s="324"/>
      <c r="J299" s="325"/>
      <c r="K299" s="297"/>
      <c r="L299" s="326"/>
      <c r="M299" s="297"/>
      <c r="N299" s="299"/>
      <c r="O299" s="297"/>
      <c r="P299" s="297"/>
      <c r="Q299" s="300"/>
      <c r="R299" s="301"/>
    </row>
    <row r="300" ht="14.25" customHeight="1">
      <c r="B300" s="289"/>
      <c r="D300" s="291"/>
      <c r="E300" s="322" t="s">
        <v>509</v>
      </c>
      <c r="F300" s="323"/>
      <c r="G300" s="294"/>
      <c r="H300" s="294"/>
      <c r="I300" s="324"/>
      <c r="J300" s="325"/>
      <c r="K300" s="297"/>
      <c r="L300" s="326"/>
      <c r="M300" s="297"/>
      <c r="N300" s="299"/>
      <c r="O300" s="297"/>
      <c r="P300" s="297"/>
      <c r="Q300" s="300"/>
      <c r="R300" s="301"/>
    </row>
    <row r="301" ht="14.25" customHeight="1">
      <c r="B301" s="289"/>
      <c r="D301" s="291"/>
      <c r="E301" s="322" t="s">
        <v>510</v>
      </c>
      <c r="F301" s="323"/>
      <c r="G301" s="294"/>
      <c r="H301" s="294"/>
      <c r="I301" s="324"/>
      <c r="J301" s="325"/>
      <c r="K301" s="297"/>
      <c r="L301" s="326"/>
      <c r="M301" s="297"/>
      <c r="N301" s="299"/>
      <c r="O301" s="297"/>
      <c r="P301" s="297"/>
      <c r="Q301" s="300"/>
      <c r="R301" s="301"/>
    </row>
    <row r="302" ht="14.25" customHeight="1">
      <c r="B302" s="289"/>
      <c r="C302" s="288"/>
      <c r="D302" s="291"/>
      <c r="E302" s="322" t="s">
        <v>114</v>
      </c>
      <c r="F302" s="323"/>
      <c r="G302" s="294"/>
      <c r="H302" s="294"/>
      <c r="I302" s="324"/>
      <c r="J302" s="325"/>
      <c r="K302" s="297"/>
      <c r="L302" s="326"/>
      <c r="M302" s="297"/>
      <c r="N302" s="299"/>
      <c r="O302" s="297"/>
      <c r="P302" s="297"/>
      <c r="Q302" s="300"/>
      <c r="R302" s="301"/>
    </row>
    <row r="303" ht="14.25" customHeight="1" outlineLevel="1">
      <c r="A303" s="307" t="s">
        <v>607</v>
      </c>
      <c r="B303" s="307"/>
      <c r="C303" s="307" t="s">
        <v>608</v>
      </c>
      <c r="D303" s="308"/>
      <c r="E303" s="309" t="s">
        <v>159</v>
      </c>
      <c r="F303" s="310">
        <v>200.0</v>
      </c>
      <c r="G303" s="301">
        <v>299.0</v>
      </c>
      <c r="H303" s="301">
        <v>249.0</v>
      </c>
      <c r="I303" s="312" t="str">
        <f>G303/R303</f>
        <v>#DIV/0!</v>
      </c>
      <c r="J303" s="313">
        <v>74.0</v>
      </c>
      <c r="K303" s="314">
        <f t="shared" ref="K303:K317" si="36">J303/G303</f>
        <v>0.2474916388</v>
      </c>
      <c r="L303" s="315">
        <f t="shared" ref="L303:L317" si="37">Q303-J303</f>
        <v>-74</v>
      </c>
      <c r="M303" s="316">
        <f t="shared" ref="M303:M317" si="38">Q303/J303-1</f>
        <v>-1</v>
      </c>
      <c r="N303" s="317">
        <v>319.0</v>
      </c>
      <c r="O303" s="318" t="s">
        <v>112</v>
      </c>
      <c r="P303" s="318" t="s">
        <v>111</v>
      </c>
      <c r="Q303" s="300"/>
      <c r="R303" s="301"/>
    </row>
    <row r="304" ht="14.25" customHeight="1" outlineLevel="1">
      <c r="B304" s="307"/>
      <c r="D304" s="308"/>
      <c r="E304" s="309" t="s">
        <v>160</v>
      </c>
      <c r="F304" s="310">
        <v>200.0</v>
      </c>
      <c r="G304" s="301">
        <v>299.0</v>
      </c>
      <c r="H304" s="301"/>
      <c r="I304" s="312"/>
      <c r="J304" s="313">
        <v>94.0</v>
      </c>
      <c r="K304" s="314">
        <f t="shared" si="36"/>
        <v>0.3143812709</v>
      </c>
      <c r="L304" s="315">
        <f t="shared" si="37"/>
        <v>-94</v>
      </c>
      <c r="M304" s="316">
        <f t="shared" si="38"/>
        <v>-1</v>
      </c>
      <c r="N304" s="317"/>
      <c r="O304" s="318"/>
      <c r="P304" s="318"/>
      <c r="Q304" s="300"/>
      <c r="R304" s="301"/>
    </row>
    <row r="305" ht="14.25" customHeight="1" outlineLevel="1">
      <c r="B305" s="307"/>
      <c r="D305" s="308"/>
      <c r="E305" s="309" t="s">
        <v>509</v>
      </c>
      <c r="F305" s="310">
        <v>200.0</v>
      </c>
      <c r="G305" s="301">
        <v>329.0</v>
      </c>
      <c r="H305" s="301"/>
      <c r="I305" s="312"/>
      <c r="J305" s="313">
        <v>94.0</v>
      </c>
      <c r="K305" s="314">
        <f t="shared" si="36"/>
        <v>0.2857142857</v>
      </c>
      <c r="L305" s="315">
        <f t="shared" si="37"/>
        <v>-94</v>
      </c>
      <c r="M305" s="316">
        <f t="shared" si="38"/>
        <v>-1</v>
      </c>
      <c r="N305" s="317"/>
      <c r="O305" s="318"/>
      <c r="P305" s="318"/>
      <c r="Q305" s="300"/>
      <c r="R305" s="301"/>
    </row>
    <row r="306" ht="14.25" customHeight="1" outlineLevel="1">
      <c r="B306" s="307"/>
      <c r="D306" s="308"/>
      <c r="E306" s="309" t="s">
        <v>510</v>
      </c>
      <c r="F306" s="310">
        <v>200.0</v>
      </c>
      <c r="G306" s="301">
        <v>329.0</v>
      </c>
      <c r="H306" s="301"/>
      <c r="I306" s="312"/>
      <c r="J306" s="313">
        <v>94.0</v>
      </c>
      <c r="K306" s="314">
        <f t="shared" si="36"/>
        <v>0.2857142857</v>
      </c>
      <c r="L306" s="315">
        <f t="shared" si="37"/>
        <v>-94</v>
      </c>
      <c r="M306" s="316">
        <f t="shared" si="38"/>
        <v>-1</v>
      </c>
      <c r="N306" s="317"/>
      <c r="O306" s="318"/>
      <c r="P306" s="318"/>
      <c r="Q306" s="300"/>
      <c r="R306" s="301"/>
    </row>
    <row r="307" ht="14.25" customHeight="1" outlineLevel="1">
      <c r="B307" s="307"/>
      <c r="C307" s="307"/>
      <c r="D307" s="308"/>
      <c r="E307" s="309" t="s">
        <v>114</v>
      </c>
      <c r="F307" s="310">
        <v>200.0</v>
      </c>
      <c r="G307" s="301">
        <v>449.0</v>
      </c>
      <c r="H307" s="301"/>
      <c r="I307" s="312"/>
      <c r="J307" s="313">
        <v>94.0</v>
      </c>
      <c r="K307" s="314">
        <f t="shared" si="36"/>
        <v>0.2093541203</v>
      </c>
      <c r="L307" s="315">
        <f t="shared" si="37"/>
        <v>-94</v>
      </c>
      <c r="M307" s="316">
        <f t="shared" si="38"/>
        <v>-1</v>
      </c>
      <c r="N307" s="317"/>
      <c r="O307" s="318"/>
      <c r="P307" s="318"/>
      <c r="Q307" s="300"/>
      <c r="R307" s="301"/>
    </row>
    <row r="308" ht="14.25" customHeight="1" outlineLevel="1">
      <c r="A308" s="327" t="s">
        <v>609</v>
      </c>
      <c r="B308" s="327"/>
      <c r="C308" s="327" t="s">
        <v>610</v>
      </c>
      <c r="D308" s="336"/>
      <c r="E308" s="309" t="s">
        <v>159</v>
      </c>
      <c r="F308" s="337">
        <v>200.0</v>
      </c>
      <c r="G308" s="301">
        <v>229.0</v>
      </c>
      <c r="H308" s="301">
        <v>229.0</v>
      </c>
      <c r="I308" s="312" t="str">
        <f>G308/R308</f>
        <v>#DIV/0!</v>
      </c>
      <c r="J308" s="313">
        <v>15.0</v>
      </c>
      <c r="K308" s="314">
        <f t="shared" si="36"/>
        <v>0.06550218341</v>
      </c>
      <c r="L308" s="315">
        <f t="shared" si="37"/>
        <v>-15</v>
      </c>
      <c r="M308" s="316">
        <f t="shared" si="38"/>
        <v>-1</v>
      </c>
      <c r="N308" s="331">
        <v>249.0</v>
      </c>
      <c r="O308" s="318" t="s">
        <v>112</v>
      </c>
      <c r="P308" s="318" t="s">
        <v>111</v>
      </c>
      <c r="Q308" s="300"/>
      <c r="R308" s="301"/>
    </row>
    <row r="309" ht="14.25" customHeight="1" outlineLevel="1">
      <c r="B309" s="327"/>
      <c r="D309" s="336"/>
      <c r="E309" s="309" t="s">
        <v>160</v>
      </c>
      <c r="F309" s="337">
        <v>200.0</v>
      </c>
      <c r="G309" s="301">
        <v>229.0</v>
      </c>
      <c r="H309" s="301"/>
      <c r="I309" s="312"/>
      <c r="J309" s="313">
        <v>15.0</v>
      </c>
      <c r="K309" s="314">
        <f t="shared" si="36"/>
        <v>0.06550218341</v>
      </c>
      <c r="L309" s="315">
        <f t="shared" si="37"/>
        <v>-15</v>
      </c>
      <c r="M309" s="316">
        <f t="shared" si="38"/>
        <v>-1</v>
      </c>
      <c r="N309" s="331"/>
      <c r="O309" s="318"/>
      <c r="P309" s="318"/>
      <c r="Q309" s="300"/>
      <c r="R309" s="301"/>
    </row>
    <row r="310" ht="14.25" customHeight="1" outlineLevel="1">
      <c r="B310" s="327"/>
      <c r="D310" s="336"/>
      <c r="E310" s="309" t="s">
        <v>509</v>
      </c>
      <c r="F310" s="337">
        <v>200.0</v>
      </c>
      <c r="G310" s="301">
        <v>239.0</v>
      </c>
      <c r="H310" s="301"/>
      <c r="I310" s="312"/>
      <c r="J310" s="313">
        <v>15.0</v>
      </c>
      <c r="K310" s="314">
        <f t="shared" si="36"/>
        <v>0.06276150628</v>
      </c>
      <c r="L310" s="315">
        <f t="shared" si="37"/>
        <v>-15</v>
      </c>
      <c r="M310" s="316">
        <f t="shared" si="38"/>
        <v>-1</v>
      </c>
      <c r="N310" s="331"/>
      <c r="O310" s="318"/>
      <c r="P310" s="318"/>
      <c r="Q310" s="300"/>
      <c r="R310" s="301"/>
    </row>
    <row r="311" ht="14.25" customHeight="1" outlineLevel="1">
      <c r="B311" s="327"/>
      <c r="D311" s="336"/>
      <c r="E311" s="309" t="s">
        <v>510</v>
      </c>
      <c r="F311" s="337">
        <v>200.0</v>
      </c>
      <c r="G311" s="301">
        <v>239.0</v>
      </c>
      <c r="H311" s="301"/>
      <c r="I311" s="312"/>
      <c r="J311" s="313">
        <v>15.0</v>
      </c>
      <c r="K311" s="314">
        <f t="shared" si="36"/>
        <v>0.06276150628</v>
      </c>
      <c r="L311" s="315">
        <f t="shared" si="37"/>
        <v>-15</v>
      </c>
      <c r="M311" s="316">
        <f t="shared" si="38"/>
        <v>-1</v>
      </c>
      <c r="N311" s="331"/>
      <c r="O311" s="318"/>
      <c r="P311" s="318"/>
      <c r="Q311" s="300"/>
      <c r="R311" s="301"/>
    </row>
    <row r="312" ht="14.25" customHeight="1" outlineLevel="1">
      <c r="B312" s="327"/>
      <c r="C312" s="327"/>
      <c r="D312" s="336"/>
      <c r="E312" s="309" t="s">
        <v>114</v>
      </c>
      <c r="F312" s="337">
        <v>200.0</v>
      </c>
      <c r="G312" s="301">
        <v>349.0</v>
      </c>
      <c r="H312" s="301"/>
      <c r="I312" s="312"/>
      <c r="J312" s="313">
        <v>15.0</v>
      </c>
      <c r="K312" s="314">
        <f t="shared" si="36"/>
        <v>0.04297994269</v>
      </c>
      <c r="L312" s="315">
        <f t="shared" si="37"/>
        <v>-15</v>
      </c>
      <c r="M312" s="316">
        <f t="shared" si="38"/>
        <v>-1</v>
      </c>
      <c r="N312" s="331"/>
      <c r="O312" s="318"/>
      <c r="P312" s="318"/>
      <c r="Q312" s="300"/>
      <c r="R312" s="301"/>
    </row>
    <row r="313" ht="14.25" customHeight="1" outlineLevel="1">
      <c r="A313" s="327" t="s">
        <v>611</v>
      </c>
      <c r="B313" s="327"/>
      <c r="C313" s="327" t="s">
        <v>535</v>
      </c>
      <c r="D313" s="336"/>
      <c r="E313" s="309" t="s">
        <v>159</v>
      </c>
      <c r="F313" s="337">
        <v>200.0</v>
      </c>
      <c r="G313" s="301">
        <v>269.0</v>
      </c>
      <c r="H313" s="301">
        <v>269.0</v>
      </c>
      <c r="I313" s="312" t="str">
        <f>G313/R313</f>
        <v>#DIV/0!</v>
      </c>
      <c r="J313" s="313">
        <v>15.0</v>
      </c>
      <c r="K313" s="314">
        <f t="shared" si="36"/>
        <v>0.05576208178</v>
      </c>
      <c r="L313" s="315">
        <f t="shared" si="37"/>
        <v>-15</v>
      </c>
      <c r="M313" s="316">
        <f t="shared" si="38"/>
        <v>-1</v>
      </c>
      <c r="N313" s="331">
        <v>289.0</v>
      </c>
      <c r="O313" s="318" t="s">
        <v>112</v>
      </c>
      <c r="P313" s="318" t="s">
        <v>111</v>
      </c>
      <c r="Q313" s="300"/>
      <c r="R313" s="301"/>
    </row>
    <row r="314" ht="14.25" customHeight="1" outlineLevel="1">
      <c r="B314" s="327"/>
      <c r="D314" s="336"/>
      <c r="E314" s="309" t="s">
        <v>160</v>
      </c>
      <c r="F314" s="337">
        <v>200.0</v>
      </c>
      <c r="G314" s="301">
        <v>269.0</v>
      </c>
      <c r="H314" s="301"/>
      <c r="I314" s="312"/>
      <c r="J314" s="313">
        <v>15.0</v>
      </c>
      <c r="K314" s="314">
        <f t="shared" si="36"/>
        <v>0.05576208178</v>
      </c>
      <c r="L314" s="315">
        <f t="shared" si="37"/>
        <v>-15</v>
      </c>
      <c r="M314" s="316">
        <f t="shared" si="38"/>
        <v>-1</v>
      </c>
      <c r="N314" s="331"/>
      <c r="O314" s="318"/>
      <c r="P314" s="318"/>
      <c r="Q314" s="300"/>
      <c r="R314" s="301"/>
    </row>
    <row r="315" ht="14.25" customHeight="1" outlineLevel="1">
      <c r="B315" s="327"/>
      <c r="D315" s="336"/>
      <c r="E315" s="309" t="s">
        <v>509</v>
      </c>
      <c r="F315" s="337">
        <v>200.0</v>
      </c>
      <c r="G315" s="301">
        <v>279.0</v>
      </c>
      <c r="H315" s="301"/>
      <c r="I315" s="312"/>
      <c r="J315" s="313">
        <v>15.0</v>
      </c>
      <c r="K315" s="314">
        <f t="shared" si="36"/>
        <v>0.05376344086</v>
      </c>
      <c r="L315" s="315">
        <f t="shared" si="37"/>
        <v>-15</v>
      </c>
      <c r="M315" s="316">
        <f t="shared" si="38"/>
        <v>-1</v>
      </c>
      <c r="N315" s="331"/>
      <c r="O315" s="318"/>
      <c r="P315" s="318"/>
      <c r="Q315" s="300"/>
      <c r="R315" s="301"/>
    </row>
    <row r="316" ht="14.25" customHeight="1" outlineLevel="1">
      <c r="B316" s="327"/>
      <c r="D316" s="336"/>
      <c r="E316" s="309" t="s">
        <v>510</v>
      </c>
      <c r="F316" s="337">
        <v>200.0</v>
      </c>
      <c r="G316" s="301">
        <v>279.0</v>
      </c>
      <c r="H316" s="301"/>
      <c r="I316" s="312"/>
      <c r="J316" s="313">
        <v>15.0</v>
      </c>
      <c r="K316" s="314">
        <f t="shared" si="36"/>
        <v>0.05376344086</v>
      </c>
      <c r="L316" s="315">
        <f t="shared" si="37"/>
        <v>-15</v>
      </c>
      <c r="M316" s="316">
        <f t="shared" si="38"/>
        <v>-1</v>
      </c>
      <c r="N316" s="331"/>
      <c r="O316" s="318"/>
      <c r="P316" s="318"/>
      <c r="Q316" s="300"/>
      <c r="R316" s="301"/>
    </row>
    <row r="317" ht="14.25" customHeight="1" outlineLevel="1">
      <c r="B317" s="327"/>
      <c r="C317" s="327"/>
      <c r="D317" s="336"/>
      <c r="E317" s="309" t="s">
        <v>114</v>
      </c>
      <c r="F317" s="337">
        <v>200.0</v>
      </c>
      <c r="G317" s="301">
        <v>399.0</v>
      </c>
      <c r="H317" s="301"/>
      <c r="I317" s="312"/>
      <c r="J317" s="313">
        <v>15.0</v>
      </c>
      <c r="K317" s="314">
        <f t="shared" si="36"/>
        <v>0.03759398496</v>
      </c>
      <c r="L317" s="315">
        <f t="shared" si="37"/>
        <v>-15</v>
      </c>
      <c r="M317" s="316">
        <f t="shared" si="38"/>
        <v>-1</v>
      </c>
      <c r="N317" s="331"/>
      <c r="O317" s="318"/>
      <c r="P317" s="318"/>
      <c r="Q317" s="300"/>
      <c r="R317" s="301"/>
    </row>
    <row r="318" ht="14.25" customHeight="1">
      <c r="A318" s="288" t="s">
        <v>612</v>
      </c>
      <c r="B318" s="289"/>
      <c r="C318" s="288" t="s">
        <v>612</v>
      </c>
      <c r="D318" s="291"/>
      <c r="E318" s="322" t="s">
        <v>159</v>
      </c>
      <c r="F318" s="323"/>
      <c r="G318" s="294"/>
      <c r="H318" s="294"/>
      <c r="I318" s="324"/>
      <c r="J318" s="325"/>
      <c r="K318" s="297"/>
      <c r="L318" s="326"/>
      <c r="M318" s="297"/>
      <c r="N318" s="299"/>
      <c r="O318" s="290"/>
      <c r="P318" s="290"/>
      <c r="Q318" s="300"/>
      <c r="R318" s="294"/>
    </row>
    <row r="319" ht="14.25" customHeight="1">
      <c r="B319" s="289"/>
      <c r="D319" s="291"/>
      <c r="E319" s="322" t="s">
        <v>160</v>
      </c>
      <c r="F319" s="323"/>
      <c r="G319" s="294"/>
      <c r="H319" s="294"/>
      <c r="I319" s="324"/>
      <c r="J319" s="325"/>
      <c r="K319" s="297"/>
      <c r="L319" s="326"/>
      <c r="M319" s="297"/>
      <c r="N319" s="299"/>
      <c r="O319" s="290"/>
      <c r="P319" s="290"/>
      <c r="Q319" s="300"/>
      <c r="R319" s="294"/>
    </row>
    <row r="320" ht="14.25" customHeight="1">
      <c r="B320" s="289"/>
      <c r="D320" s="291"/>
      <c r="E320" s="322" t="s">
        <v>509</v>
      </c>
      <c r="F320" s="323"/>
      <c r="G320" s="294"/>
      <c r="H320" s="294"/>
      <c r="I320" s="324"/>
      <c r="J320" s="325"/>
      <c r="K320" s="297"/>
      <c r="L320" s="326"/>
      <c r="M320" s="297"/>
      <c r="N320" s="299"/>
      <c r="O320" s="290"/>
      <c r="P320" s="290"/>
      <c r="Q320" s="300"/>
      <c r="R320" s="294"/>
    </row>
    <row r="321" ht="14.25" customHeight="1">
      <c r="B321" s="289"/>
      <c r="D321" s="291"/>
      <c r="E321" s="322" t="s">
        <v>510</v>
      </c>
      <c r="F321" s="323"/>
      <c r="G321" s="294"/>
      <c r="H321" s="294"/>
      <c r="I321" s="324"/>
      <c r="J321" s="325"/>
      <c r="K321" s="297"/>
      <c r="L321" s="326"/>
      <c r="M321" s="297"/>
      <c r="N321" s="299"/>
      <c r="O321" s="290"/>
      <c r="P321" s="290"/>
      <c r="Q321" s="300"/>
      <c r="R321" s="294"/>
    </row>
    <row r="322" ht="14.25" customHeight="1">
      <c r="B322" s="289"/>
      <c r="C322" s="288"/>
      <c r="D322" s="291"/>
      <c r="E322" s="322" t="s">
        <v>114</v>
      </c>
      <c r="F322" s="323"/>
      <c r="G322" s="294"/>
      <c r="H322" s="294"/>
      <c r="I322" s="324"/>
      <c r="J322" s="325"/>
      <c r="K322" s="297"/>
      <c r="L322" s="326"/>
      <c r="M322" s="297"/>
      <c r="N322" s="299"/>
      <c r="O322" s="290"/>
      <c r="P322" s="290"/>
      <c r="Q322" s="300"/>
      <c r="R322" s="294"/>
    </row>
    <row r="323" ht="14.25" customHeight="1" outlineLevel="1">
      <c r="A323" s="327" t="s">
        <v>613</v>
      </c>
      <c r="B323" s="327"/>
      <c r="C323" s="327" t="s">
        <v>613</v>
      </c>
      <c r="D323" s="342" t="s">
        <v>614</v>
      </c>
      <c r="E323" s="333" t="s">
        <v>159</v>
      </c>
      <c r="F323" s="339">
        <v>250.0</v>
      </c>
      <c r="G323" s="341">
        <v>259.0</v>
      </c>
      <c r="H323" s="341">
        <v>239.0</v>
      </c>
      <c r="I323" s="286" t="str">
        <f>G323/R323</f>
        <v>#DIV/0!</v>
      </c>
      <c r="J323" s="335">
        <v>60.0</v>
      </c>
      <c r="K323" s="332">
        <f t="shared" ref="K323:K382" si="39">J323/G323</f>
        <v>0.2316602317</v>
      </c>
      <c r="L323" s="319">
        <f t="shared" ref="L323:L382" si="40">Q323-J323</f>
        <v>-60</v>
      </c>
      <c r="M323" s="332">
        <f t="shared" ref="M323:M382" si="41">Q323/J323-1</f>
        <v>-1</v>
      </c>
      <c r="N323" s="331">
        <v>269.0</v>
      </c>
      <c r="O323" s="285" t="s">
        <v>112</v>
      </c>
      <c r="P323" s="285" t="s">
        <v>111</v>
      </c>
      <c r="Q323" s="300"/>
      <c r="R323" s="341"/>
    </row>
    <row r="324" ht="14.25" customHeight="1" outlineLevel="1">
      <c r="B324" s="327"/>
      <c r="D324" s="305"/>
      <c r="E324" s="333" t="s">
        <v>160</v>
      </c>
      <c r="F324" s="339">
        <v>250.0</v>
      </c>
      <c r="G324" s="341">
        <v>259.0</v>
      </c>
      <c r="H324" s="341"/>
      <c r="I324" s="286"/>
      <c r="J324" s="335">
        <v>60.0</v>
      </c>
      <c r="K324" s="332">
        <f t="shared" si="39"/>
        <v>0.2316602317</v>
      </c>
      <c r="L324" s="319">
        <f t="shared" si="40"/>
        <v>-60</v>
      </c>
      <c r="M324" s="332">
        <f t="shared" si="41"/>
        <v>-1</v>
      </c>
      <c r="N324" s="331"/>
      <c r="O324" s="285"/>
      <c r="P324" s="285"/>
      <c r="Q324" s="300"/>
      <c r="R324" s="341"/>
    </row>
    <row r="325" ht="14.25" customHeight="1" outlineLevel="1">
      <c r="B325" s="327"/>
      <c r="D325" s="305"/>
      <c r="E325" s="333" t="s">
        <v>509</v>
      </c>
      <c r="F325" s="339">
        <v>250.0</v>
      </c>
      <c r="G325" s="341">
        <v>279.0</v>
      </c>
      <c r="H325" s="341"/>
      <c r="I325" s="286"/>
      <c r="J325" s="335">
        <v>61.0</v>
      </c>
      <c r="K325" s="332">
        <f t="shared" si="39"/>
        <v>0.2186379928</v>
      </c>
      <c r="L325" s="319">
        <f t="shared" si="40"/>
        <v>-61</v>
      </c>
      <c r="M325" s="332">
        <f t="shared" si="41"/>
        <v>-1</v>
      </c>
      <c r="N325" s="331"/>
      <c r="O325" s="285"/>
      <c r="P325" s="285"/>
      <c r="Q325" s="300"/>
      <c r="R325" s="341"/>
    </row>
    <row r="326" ht="14.25" customHeight="1" outlineLevel="1">
      <c r="B326" s="327"/>
      <c r="D326" s="305"/>
      <c r="E326" s="333" t="s">
        <v>510</v>
      </c>
      <c r="F326" s="339">
        <v>250.0</v>
      </c>
      <c r="G326" s="341">
        <v>279.0</v>
      </c>
      <c r="H326" s="341"/>
      <c r="I326" s="286"/>
      <c r="J326" s="335">
        <v>60.0</v>
      </c>
      <c r="K326" s="332">
        <f t="shared" si="39"/>
        <v>0.2150537634</v>
      </c>
      <c r="L326" s="319">
        <f t="shared" si="40"/>
        <v>-60</v>
      </c>
      <c r="M326" s="332">
        <f t="shared" si="41"/>
        <v>-1</v>
      </c>
      <c r="N326" s="331"/>
      <c r="O326" s="285"/>
      <c r="P326" s="285"/>
      <c r="Q326" s="300"/>
      <c r="R326" s="341"/>
    </row>
    <row r="327" ht="14.25" customHeight="1" outlineLevel="1">
      <c r="B327" s="327"/>
      <c r="C327" s="327"/>
      <c r="D327" s="342"/>
      <c r="E327" s="333" t="s">
        <v>114</v>
      </c>
      <c r="F327" s="339">
        <v>250.0</v>
      </c>
      <c r="G327" s="341">
        <v>349.0</v>
      </c>
      <c r="H327" s="341"/>
      <c r="I327" s="286"/>
      <c r="J327" s="335">
        <v>60.0</v>
      </c>
      <c r="K327" s="332">
        <f t="shared" si="39"/>
        <v>0.1719197708</v>
      </c>
      <c r="L327" s="319">
        <f t="shared" si="40"/>
        <v>-60</v>
      </c>
      <c r="M327" s="332">
        <f t="shared" si="41"/>
        <v>-1</v>
      </c>
      <c r="N327" s="331"/>
      <c r="O327" s="285"/>
      <c r="P327" s="285"/>
      <c r="Q327" s="300"/>
      <c r="R327" s="341"/>
    </row>
    <row r="328" ht="14.25" customHeight="1" outlineLevel="1">
      <c r="A328" s="327" t="s">
        <v>613</v>
      </c>
      <c r="B328" s="327"/>
      <c r="C328" s="327" t="s">
        <v>613</v>
      </c>
      <c r="D328" s="336" t="s">
        <v>615</v>
      </c>
      <c r="E328" s="333" t="s">
        <v>159</v>
      </c>
      <c r="F328" s="339">
        <v>500.0</v>
      </c>
      <c r="G328" s="334">
        <v>279.0</v>
      </c>
      <c r="H328" s="334">
        <v>259.0</v>
      </c>
      <c r="I328" s="286" t="str">
        <f>G328/R328</f>
        <v>#DIV/0!</v>
      </c>
      <c r="J328" s="335">
        <v>58.0</v>
      </c>
      <c r="K328" s="332">
        <f t="shared" si="39"/>
        <v>0.2078853047</v>
      </c>
      <c r="L328" s="319">
        <f t="shared" si="40"/>
        <v>-58</v>
      </c>
      <c r="M328" s="332">
        <f t="shared" si="41"/>
        <v>-1</v>
      </c>
      <c r="N328" s="331">
        <v>289.0</v>
      </c>
      <c r="O328" s="285" t="s">
        <v>112</v>
      </c>
      <c r="P328" s="285" t="s">
        <v>111</v>
      </c>
      <c r="Q328" s="319"/>
      <c r="R328" s="334"/>
    </row>
    <row r="329" ht="14.25" customHeight="1" outlineLevel="1">
      <c r="B329" s="327"/>
      <c r="D329" s="305"/>
      <c r="E329" s="333" t="s">
        <v>160</v>
      </c>
      <c r="F329" s="339">
        <v>500.0</v>
      </c>
      <c r="G329" s="334">
        <v>279.0</v>
      </c>
      <c r="H329" s="334"/>
      <c r="I329" s="286"/>
      <c r="J329" s="335">
        <v>65.0</v>
      </c>
      <c r="K329" s="332">
        <f t="shared" si="39"/>
        <v>0.2329749104</v>
      </c>
      <c r="L329" s="319">
        <f t="shared" si="40"/>
        <v>-65</v>
      </c>
      <c r="M329" s="332">
        <f t="shared" si="41"/>
        <v>-1</v>
      </c>
      <c r="N329" s="331"/>
      <c r="O329" s="285"/>
      <c r="P329" s="285"/>
      <c r="Q329" s="319"/>
      <c r="R329" s="334"/>
    </row>
    <row r="330" ht="14.25" customHeight="1" outlineLevel="1">
      <c r="B330" s="327"/>
      <c r="D330" s="305"/>
      <c r="E330" s="333" t="s">
        <v>509</v>
      </c>
      <c r="F330" s="339">
        <v>500.0</v>
      </c>
      <c r="G330" s="334">
        <v>299.0</v>
      </c>
      <c r="H330" s="334"/>
      <c r="I330" s="286"/>
      <c r="J330" s="335">
        <v>78.0</v>
      </c>
      <c r="K330" s="332">
        <f t="shared" si="39"/>
        <v>0.2608695652</v>
      </c>
      <c r="L330" s="319">
        <f t="shared" si="40"/>
        <v>-78</v>
      </c>
      <c r="M330" s="332">
        <f t="shared" si="41"/>
        <v>-1</v>
      </c>
      <c r="N330" s="331"/>
      <c r="O330" s="285"/>
      <c r="P330" s="285"/>
      <c r="Q330" s="319"/>
      <c r="R330" s="334"/>
    </row>
    <row r="331" ht="14.25" customHeight="1" outlineLevel="1">
      <c r="B331" s="327"/>
      <c r="D331" s="305"/>
      <c r="E331" s="333" t="s">
        <v>510</v>
      </c>
      <c r="F331" s="339">
        <v>500.0</v>
      </c>
      <c r="G331" s="334">
        <v>299.0</v>
      </c>
      <c r="H331" s="334"/>
      <c r="I331" s="286"/>
      <c r="J331" s="335">
        <v>66.0</v>
      </c>
      <c r="K331" s="332">
        <f t="shared" si="39"/>
        <v>0.220735786</v>
      </c>
      <c r="L331" s="319">
        <f t="shared" si="40"/>
        <v>-66</v>
      </c>
      <c r="M331" s="332">
        <f t="shared" si="41"/>
        <v>-1</v>
      </c>
      <c r="N331" s="331"/>
      <c r="O331" s="285"/>
      <c r="P331" s="285"/>
      <c r="Q331" s="319"/>
      <c r="R331" s="334"/>
    </row>
    <row r="332" ht="14.25" customHeight="1" outlineLevel="1">
      <c r="B332" s="327"/>
      <c r="C332" s="327"/>
      <c r="D332" s="336"/>
      <c r="E332" s="333" t="s">
        <v>114</v>
      </c>
      <c r="F332" s="339">
        <v>500.0</v>
      </c>
      <c r="G332" s="334">
        <v>389.0</v>
      </c>
      <c r="H332" s="334"/>
      <c r="I332" s="286"/>
      <c r="J332" s="335">
        <v>66.0</v>
      </c>
      <c r="K332" s="332">
        <f t="shared" si="39"/>
        <v>0.1696658098</v>
      </c>
      <c r="L332" s="319">
        <f t="shared" si="40"/>
        <v>-66</v>
      </c>
      <c r="M332" s="332">
        <f t="shared" si="41"/>
        <v>-1</v>
      </c>
      <c r="N332" s="331"/>
      <c r="O332" s="285"/>
      <c r="P332" s="285"/>
      <c r="Q332" s="319"/>
      <c r="R332" s="334"/>
    </row>
    <row r="333" ht="14.25" customHeight="1" outlineLevel="1">
      <c r="A333" s="327" t="s">
        <v>616</v>
      </c>
      <c r="B333" s="327"/>
      <c r="C333" s="327" t="s">
        <v>616</v>
      </c>
      <c r="D333" s="336"/>
      <c r="E333" s="333" t="s">
        <v>159</v>
      </c>
      <c r="F333" s="339">
        <v>250.0</v>
      </c>
      <c r="G333" s="341">
        <v>259.0</v>
      </c>
      <c r="H333" s="341">
        <v>239.0</v>
      </c>
      <c r="I333" s="286" t="str">
        <f>G333/R333</f>
        <v>#DIV/0!</v>
      </c>
      <c r="J333" s="335">
        <v>60.0</v>
      </c>
      <c r="K333" s="332">
        <f t="shared" si="39"/>
        <v>0.2316602317</v>
      </c>
      <c r="L333" s="319">
        <f t="shared" si="40"/>
        <v>-60</v>
      </c>
      <c r="M333" s="332">
        <f t="shared" si="41"/>
        <v>-1</v>
      </c>
      <c r="N333" s="331">
        <v>269.0</v>
      </c>
      <c r="O333" s="285" t="s">
        <v>112</v>
      </c>
      <c r="P333" s="285" t="s">
        <v>111</v>
      </c>
      <c r="Q333" s="300"/>
      <c r="R333" s="341"/>
    </row>
    <row r="334" ht="14.25" customHeight="1" outlineLevel="1">
      <c r="B334" s="327"/>
      <c r="D334" s="336"/>
      <c r="E334" s="333" t="s">
        <v>160</v>
      </c>
      <c r="F334" s="339">
        <v>250.0</v>
      </c>
      <c r="G334" s="341">
        <v>259.0</v>
      </c>
      <c r="H334" s="341"/>
      <c r="I334" s="286"/>
      <c r="J334" s="335">
        <v>60.0</v>
      </c>
      <c r="K334" s="332">
        <f t="shared" si="39"/>
        <v>0.2316602317</v>
      </c>
      <c r="L334" s="319">
        <f t="shared" si="40"/>
        <v>-60</v>
      </c>
      <c r="M334" s="332">
        <f t="shared" si="41"/>
        <v>-1</v>
      </c>
      <c r="N334" s="331"/>
      <c r="O334" s="285"/>
      <c r="P334" s="285"/>
      <c r="Q334" s="300"/>
      <c r="R334" s="341"/>
    </row>
    <row r="335" ht="14.25" customHeight="1" outlineLevel="1">
      <c r="B335" s="327"/>
      <c r="D335" s="336"/>
      <c r="E335" s="333" t="s">
        <v>509</v>
      </c>
      <c r="F335" s="339">
        <v>250.0</v>
      </c>
      <c r="G335" s="341">
        <v>279.0</v>
      </c>
      <c r="H335" s="341"/>
      <c r="I335" s="286"/>
      <c r="J335" s="335">
        <v>61.0</v>
      </c>
      <c r="K335" s="332">
        <f t="shared" si="39"/>
        <v>0.2186379928</v>
      </c>
      <c r="L335" s="319">
        <f t="shared" si="40"/>
        <v>-61</v>
      </c>
      <c r="M335" s="332">
        <f t="shared" si="41"/>
        <v>-1</v>
      </c>
      <c r="N335" s="331"/>
      <c r="O335" s="285"/>
      <c r="P335" s="285"/>
      <c r="Q335" s="300"/>
      <c r="R335" s="341"/>
    </row>
    <row r="336" ht="14.25" customHeight="1" outlineLevel="1">
      <c r="B336" s="327"/>
      <c r="D336" s="336"/>
      <c r="E336" s="333" t="s">
        <v>510</v>
      </c>
      <c r="F336" s="339">
        <v>250.0</v>
      </c>
      <c r="G336" s="341">
        <v>279.0</v>
      </c>
      <c r="H336" s="341"/>
      <c r="I336" s="286"/>
      <c r="J336" s="335">
        <v>60.0</v>
      </c>
      <c r="K336" s="332">
        <f t="shared" si="39"/>
        <v>0.2150537634</v>
      </c>
      <c r="L336" s="319">
        <f t="shared" si="40"/>
        <v>-60</v>
      </c>
      <c r="M336" s="332">
        <f t="shared" si="41"/>
        <v>-1</v>
      </c>
      <c r="N336" s="331"/>
      <c r="O336" s="285"/>
      <c r="P336" s="285"/>
      <c r="Q336" s="300"/>
      <c r="R336" s="341"/>
    </row>
    <row r="337" ht="14.25" customHeight="1" outlineLevel="1">
      <c r="B337" s="327"/>
      <c r="C337" s="327"/>
      <c r="D337" s="336"/>
      <c r="E337" s="333" t="s">
        <v>114</v>
      </c>
      <c r="F337" s="339">
        <v>250.0</v>
      </c>
      <c r="G337" s="341">
        <v>349.0</v>
      </c>
      <c r="H337" s="341"/>
      <c r="I337" s="286"/>
      <c r="J337" s="335">
        <v>60.0</v>
      </c>
      <c r="K337" s="332">
        <f t="shared" si="39"/>
        <v>0.1719197708</v>
      </c>
      <c r="L337" s="319">
        <f t="shared" si="40"/>
        <v>-60</v>
      </c>
      <c r="M337" s="332">
        <f t="shared" si="41"/>
        <v>-1</v>
      </c>
      <c r="N337" s="331"/>
      <c r="O337" s="285"/>
      <c r="P337" s="285"/>
      <c r="Q337" s="300"/>
      <c r="R337" s="341"/>
    </row>
    <row r="338" ht="14.25" customHeight="1" outlineLevel="1">
      <c r="A338" s="327" t="s">
        <v>616</v>
      </c>
      <c r="B338" s="327"/>
      <c r="C338" s="327" t="s">
        <v>616</v>
      </c>
      <c r="D338" s="336"/>
      <c r="E338" s="333" t="s">
        <v>159</v>
      </c>
      <c r="F338" s="339">
        <v>500.0</v>
      </c>
      <c r="G338" s="334">
        <v>279.0</v>
      </c>
      <c r="H338" s="334">
        <v>259.0</v>
      </c>
      <c r="I338" s="286" t="str">
        <f>G338/R338</f>
        <v>#DIV/0!</v>
      </c>
      <c r="J338" s="335">
        <v>58.0</v>
      </c>
      <c r="K338" s="332">
        <f t="shared" si="39"/>
        <v>0.2078853047</v>
      </c>
      <c r="L338" s="319">
        <f t="shared" si="40"/>
        <v>-58</v>
      </c>
      <c r="M338" s="332">
        <f t="shared" si="41"/>
        <v>-1</v>
      </c>
      <c r="N338" s="331">
        <v>289.0</v>
      </c>
      <c r="O338" s="285" t="s">
        <v>112</v>
      </c>
      <c r="P338" s="285" t="s">
        <v>111</v>
      </c>
      <c r="Q338" s="319"/>
      <c r="R338" s="334"/>
    </row>
    <row r="339" ht="14.25" customHeight="1" outlineLevel="1">
      <c r="B339" s="327"/>
      <c r="D339" s="336"/>
      <c r="E339" s="333" t="s">
        <v>160</v>
      </c>
      <c r="F339" s="339">
        <v>500.0</v>
      </c>
      <c r="G339" s="334">
        <v>279.0</v>
      </c>
      <c r="H339" s="334"/>
      <c r="I339" s="286"/>
      <c r="J339" s="335">
        <v>65.0</v>
      </c>
      <c r="K339" s="332">
        <f t="shared" si="39"/>
        <v>0.2329749104</v>
      </c>
      <c r="L339" s="319">
        <f t="shared" si="40"/>
        <v>-65</v>
      </c>
      <c r="M339" s="332">
        <f t="shared" si="41"/>
        <v>-1</v>
      </c>
      <c r="N339" s="331"/>
      <c r="O339" s="285"/>
      <c r="P339" s="285"/>
      <c r="Q339" s="319"/>
      <c r="R339" s="334"/>
    </row>
    <row r="340" ht="14.25" customHeight="1" outlineLevel="1">
      <c r="B340" s="327"/>
      <c r="D340" s="336"/>
      <c r="E340" s="333" t="s">
        <v>509</v>
      </c>
      <c r="F340" s="339">
        <v>500.0</v>
      </c>
      <c r="G340" s="334">
        <v>299.0</v>
      </c>
      <c r="H340" s="334"/>
      <c r="I340" s="286"/>
      <c r="J340" s="335">
        <v>78.0</v>
      </c>
      <c r="K340" s="332">
        <f t="shared" si="39"/>
        <v>0.2608695652</v>
      </c>
      <c r="L340" s="319">
        <f t="shared" si="40"/>
        <v>-78</v>
      </c>
      <c r="M340" s="332">
        <f t="shared" si="41"/>
        <v>-1</v>
      </c>
      <c r="N340" s="331"/>
      <c r="O340" s="285"/>
      <c r="P340" s="285"/>
      <c r="Q340" s="319"/>
      <c r="R340" s="334"/>
    </row>
    <row r="341" ht="14.25" customHeight="1" outlineLevel="1">
      <c r="B341" s="327"/>
      <c r="D341" s="336"/>
      <c r="E341" s="333" t="s">
        <v>510</v>
      </c>
      <c r="F341" s="339">
        <v>500.0</v>
      </c>
      <c r="G341" s="334">
        <v>299.0</v>
      </c>
      <c r="H341" s="334"/>
      <c r="I341" s="286"/>
      <c r="J341" s="335">
        <v>66.0</v>
      </c>
      <c r="K341" s="332">
        <f t="shared" si="39"/>
        <v>0.220735786</v>
      </c>
      <c r="L341" s="319">
        <f t="shared" si="40"/>
        <v>-66</v>
      </c>
      <c r="M341" s="332">
        <f t="shared" si="41"/>
        <v>-1</v>
      </c>
      <c r="N341" s="331"/>
      <c r="O341" s="285"/>
      <c r="P341" s="285"/>
      <c r="Q341" s="319"/>
      <c r="R341" s="334"/>
    </row>
    <row r="342" ht="14.25" customHeight="1" outlineLevel="1">
      <c r="B342" s="327"/>
      <c r="C342" s="327"/>
      <c r="D342" s="336"/>
      <c r="E342" s="333" t="s">
        <v>114</v>
      </c>
      <c r="F342" s="339">
        <v>500.0</v>
      </c>
      <c r="G342" s="334">
        <v>389.0</v>
      </c>
      <c r="H342" s="334"/>
      <c r="I342" s="286"/>
      <c r="J342" s="335">
        <v>66.0</v>
      </c>
      <c r="K342" s="332">
        <f t="shared" si="39"/>
        <v>0.1696658098</v>
      </c>
      <c r="L342" s="319">
        <f t="shared" si="40"/>
        <v>-66</v>
      </c>
      <c r="M342" s="332">
        <f t="shared" si="41"/>
        <v>-1</v>
      </c>
      <c r="N342" s="331"/>
      <c r="O342" s="285"/>
      <c r="P342" s="285"/>
      <c r="Q342" s="319"/>
      <c r="R342" s="334"/>
    </row>
    <row r="343" ht="14.25" customHeight="1" outlineLevel="1">
      <c r="A343" s="327" t="s">
        <v>617</v>
      </c>
      <c r="B343" s="327"/>
      <c r="C343" s="327" t="s">
        <v>617</v>
      </c>
      <c r="D343" s="336"/>
      <c r="E343" s="333" t="s">
        <v>159</v>
      </c>
      <c r="F343" s="339">
        <v>250.0</v>
      </c>
      <c r="G343" s="341">
        <v>259.0</v>
      </c>
      <c r="H343" s="341">
        <v>239.0</v>
      </c>
      <c r="I343" s="286" t="str">
        <f>G343/R343</f>
        <v>#DIV/0!</v>
      </c>
      <c r="J343" s="335">
        <v>60.0</v>
      </c>
      <c r="K343" s="332">
        <f t="shared" si="39"/>
        <v>0.2316602317</v>
      </c>
      <c r="L343" s="319">
        <f t="shared" si="40"/>
        <v>-60</v>
      </c>
      <c r="M343" s="332">
        <f t="shared" si="41"/>
        <v>-1</v>
      </c>
      <c r="N343" s="331">
        <v>269.0</v>
      </c>
      <c r="O343" s="285" t="s">
        <v>111</v>
      </c>
      <c r="P343" s="285" t="s">
        <v>111</v>
      </c>
      <c r="Q343" s="300"/>
      <c r="R343" s="341"/>
    </row>
    <row r="344" ht="14.25" customHeight="1" outlineLevel="1">
      <c r="B344" s="327"/>
      <c r="D344" s="336"/>
      <c r="E344" s="333" t="s">
        <v>160</v>
      </c>
      <c r="F344" s="339">
        <v>250.0</v>
      </c>
      <c r="G344" s="341">
        <v>259.0</v>
      </c>
      <c r="H344" s="341"/>
      <c r="I344" s="286"/>
      <c r="J344" s="335">
        <v>60.0</v>
      </c>
      <c r="K344" s="332">
        <f t="shared" si="39"/>
        <v>0.2316602317</v>
      </c>
      <c r="L344" s="319">
        <f t="shared" si="40"/>
        <v>-60</v>
      </c>
      <c r="M344" s="332">
        <f t="shared" si="41"/>
        <v>-1</v>
      </c>
      <c r="N344" s="331"/>
      <c r="O344" s="285"/>
      <c r="P344" s="285"/>
      <c r="Q344" s="300"/>
      <c r="R344" s="341"/>
    </row>
    <row r="345" ht="14.25" customHeight="1" outlineLevel="1">
      <c r="B345" s="327"/>
      <c r="D345" s="336"/>
      <c r="E345" s="333" t="s">
        <v>509</v>
      </c>
      <c r="F345" s="339">
        <v>250.0</v>
      </c>
      <c r="G345" s="341">
        <v>279.0</v>
      </c>
      <c r="H345" s="341"/>
      <c r="I345" s="286"/>
      <c r="J345" s="335">
        <v>61.0</v>
      </c>
      <c r="K345" s="332">
        <f t="shared" si="39"/>
        <v>0.2186379928</v>
      </c>
      <c r="L345" s="319">
        <f t="shared" si="40"/>
        <v>-61</v>
      </c>
      <c r="M345" s="332">
        <f t="shared" si="41"/>
        <v>-1</v>
      </c>
      <c r="N345" s="331"/>
      <c r="O345" s="285"/>
      <c r="P345" s="285"/>
      <c r="Q345" s="300"/>
      <c r="R345" s="341"/>
    </row>
    <row r="346" ht="14.25" customHeight="1" outlineLevel="1">
      <c r="B346" s="327"/>
      <c r="D346" s="336"/>
      <c r="E346" s="309" t="s">
        <v>510</v>
      </c>
      <c r="F346" s="339">
        <v>250.0</v>
      </c>
      <c r="G346" s="301">
        <v>279.0</v>
      </c>
      <c r="H346" s="301"/>
      <c r="I346" s="312"/>
      <c r="J346" s="313">
        <v>60.0</v>
      </c>
      <c r="K346" s="314">
        <f t="shared" si="39"/>
        <v>0.2150537634</v>
      </c>
      <c r="L346" s="315">
        <f t="shared" si="40"/>
        <v>-60</v>
      </c>
      <c r="M346" s="316">
        <f t="shared" si="41"/>
        <v>-1</v>
      </c>
      <c r="N346" s="331"/>
      <c r="O346" s="343"/>
      <c r="P346" s="318"/>
      <c r="Q346" s="300"/>
      <c r="R346" s="301"/>
    </row>
    <row r="347" ht="14.25" customHeight="1" outlineLevel="1">
      <c r="B347" s="327"/>
      <c r="C347" s="327"/>
      <c r="D347" s="336"/>
      <c r="E347" s="309" t="s">
        <v>114</v>
      </c>
      <c r="F347" s="339">
        <v>250.0</v>
      </c>
      <c r="G347" s="301">
        <v>349.0</v>
      </c>
      <c r="H347" s="301"/>
      <c r="I347" s="312"/>
      <c r="J347" s="313">
        <v>60.0</v>
      </c>
      <c r="K347" s="314">
        <f t="shared" si="39"/>
        <v>0.1719197708</v>
      </c>
      <c r="L347" s="315">
        <f t="shared" si="40"/>
        <v>-60</v>
      </c>
      <c r="M347" s="316">
        <f t="shared" si="41"/>
        <v>-1</v>
      </c>
      <c r="N347" s="331"/>
      <c r="O347" s="343"/>
      <c r="P347" s="318"/>
      <c r="Q347" s="300"/>
      <c r="R347" s="301"/>
    </row>
    <row r="348" ht="14.25" customHeight="1" outlineLevel="1">
      <c r="A348" s="327" t="s">
        <v>618</v>
      </c>
      <c r="B348" s="327" t="s">
        <v>619</v>
      </c>
      <c r="C348" s="327" t="s">
        <v>620</v>
      </c>
      <c r="D348" s="336" t="s">
        <v>621</v>
      </c>
      <c r="E348" s="309" t="s">
        <v>159</v>
      </c>
      <c r="F348" s="339">
        <v>200.0</v>
      </c>
      <c r="G348" s="301">
        <v>119.0</v>
      </c>
      <c r="H348" s="301">
        <v>99.0</v>
      </c>
      <c r="I348" s="312" t="str">
        <f>G348/R348</f>
        <v>#DIV/0!</v>
      </c>
      <c r="J348" s="313">
        <v>29.0</v>
      </c>
      <c r="K348" s="314">
        <f t="shared" si="39"/>
        <v>0.243697479</v>
      </c>
      <c r="L348" s="315">
        <f t="shared" si="40"/>
        <v>-29</v>
      </c>
      <c r="M348" s="316">
        <f t="shared" si="41"/>
        <v>-1</v>
      </c>
      <c r="N348" s="331">
        <v>129.0</v>
      </c>
      <c r="O348" s="343" t="s">
        <v>112</v>
      </c>
      <c r="P348" s="318" t="s">
        <v>111</v>
      </c>
      <c r="Q348" s="300"/>
      <c r="R348" s="301"/>
    </row>
    <row r="349" ht="14.25" customHeight="1" outlineLevel="1">
      <c r="D349" s="305"/>
      <c r="E349" s="309" t="s">
        <v>160</v>
      </c>
      <c r="F349" s="339">
        <v>200.0</v>
      </c>
      <c r="G349" s="301">
        <v>119.0</v>
      </c>
      <c r="H349" s="301"/>
      <c r="I349" s="312"/>
      <c r="J349" s="313">
        <v>28.0</v>
      </c>
      <c r="K349" s="314">
        <f t="shared" si="39"/>
        <v>0.2352941176</v>
      </c>
      <c r="L349" s="315">
        <f t="shared" si="40"/>
        <v>-28</v>
      </c>
      <c r="M349" s="316">
        <f t="shared" si="41"/>
        <v>-1</v>
      </c>
      <c r="N349" s="331"/>
      <c r="O349" s="343"/>
      <c r="P349" s="318"/>
      <c r="Q349" s="300"/>
      <c r="R349" s="301"/>
    </row>
    <row r="350" ht="14.25" customHeight="1" outlineLevel="1">
      <c r="D350" s="305"/>
      <c r="E350" s="309" t="s">
        <v>509</v>
      </c>
      <c r="F350" s="339">
        <v>200.0</v>
      </c>
      <c r="G350" s="301">
        <v>129.0</v>
      </c>
      <c r="H350" s="301"/>
      <c r="I350" s="312"/>
      <c r="J350" s="313">
        <v>30.0</v>
      </c>
      <c r="K350" s="314">
        <f t="shared" si="39"/>
        <v>0.2325581395</v>
      </c>
      <c r="L350" s="315">
        <f t="shared" si="40"/>
        <v>-30</v>
      </c>
      <c r="M350" s="316">
        <f t="shared" si="41"/>
        <v>-1</v>
      </c>
      <c r="N350" s="331"/>
      <c r="O350" s="343"/>
      <c r="P350" s="318"/>
      <c r="Q350" s="300"/>
      <c r="R350" s="301"/>
    </row>
    <row r="351" ht="14.25" customHeight="1" outlineLevel="1">
      <c r="D351" s="305"/>
      <c r="E351" s="309" t="s">
        <v>510</v>
      </c>
      <c r="F351" s="339">
        <v>200.0</v>
      </c>
      <c r="G351" s="301">
        <v>129.0</v>
      </c>
      <c r="H351" s="301"/>
      <c r="I351" s="312"/>
      <c r="J351" s="313">
        <v>31.0</v>
      </c>
      <c r="K351" s="314">
        <f t="shared" si="39"/>
        <v>0.2403100775</v>
      </c>
      <c r="L351" s="315">
        <f t="shared" si="40"/>
        <v>-31</v>
      </c>
      <c r="M351" s="316">
        <f t="shared" si="41"/>
        <v>-1</v>
      </c>
      <c r="N351" s="331"/>
      <c r="O351" s="343"/>
      <c r="P351" s="318"/>
      <c r="Q351" s="300"/>
      <c r="R351" s="301"/>
    </row>
    <row r="352" ht="14.25" customHeight="1" outlineLevel="1">
      <c r="C352" s="327"/>
      <c r="D352" s="305"/>
      <c r="E352" s="309" t="s">
        <v>114</v>
      </c>
      <c r="F352" s="339">
        <v>200.0</v>
      </c>
      <c r="G352" s="301">
        <v>199.0</v>
      </c>
      <c r="H352" s="301"/>
      <c r="I352" s="312"/>
      <c r="J352" s="313">
        <v>31.0</v>
      </c>
      <c r="K352" s="314">
        <f t="shared" si="39"/>
        <v>0.1557788945</v>
      </c>
      <c r="L352" s="315">
        <f t="shared" si="40"/>
        <v>-31</v>
      </c>
      <c r="M352" s="316">
        <f t="shared" si="41"/>
        <v>-1</v>
      </c>
      <c r="N352" s="331"/>
      <c r="O352" s="343"/>
      <c r="P352" s="318"/>
      <c r="Q352" s="300"/>
      <c r="R352" s="301"/>
    </row>
    <row r="353" ht="14.25" customHeight="1" outlineLevel="1">
      <c r="A353" s="327" t="s">
        <v>618</v>
      </c>
      <c r="C353" s="327" t="s">
        <v>620</v>
      </c>
      <c r="D353" s="305"/>
      <c r="E353" s="309" t="s">
        <v>159</v>
      </c>
      <c r="F353" s="339">
        <v>1000.0</v>
      </c>
      <c r="G353" s="301">
        <v>489.0</v>
      </c>
      <c r="H353" s="301">
        <v>469.0</v>
      </c>
      <c r="I353" s="312" t="str">
        <f>G353/R353</f>
        <v>#DIV/0!</v>
      </c>
      <c r="J353" s="313">
        <v>144.0</v>
      </c>
      <c r="K353" s="314">
        <f t="shared" si="39"/>
        <v>0.2944785276</v>
      </c>
      <c r="L353" s="315">
        <f t="shared" si="40"/>
        <v>-144</v>
      </c>
      <c r="M353" s="316">
        <f t="shared" si="41"/>
        <v>-1</v>
      </c>
      <c r="N353" s="331">
        <v>499.0</v>
      </c>
      <c r="O353" s="343" t="s">
        <v>111</v>
      </c>
      <c r="P353" s="318" t="s">
        <v>111</v>
      </c>
      <c r="Q353" s="300"/>
      <c r="R353" s="301"/>
    </row>
    <row r="354" ht="14.25" customHeight="1" outlineLevel="1">
      <c r="D354" s="305"/>
      <c r="E354" s="309" t="s">
        <v>160</v>
      </c>
      <c r="F354" s="339">
        <v>1000.0</v>
      </c>
      <c r="G354" s="301">
        <v>489.0</v>
      </c>
      <c r="H354" s="301"/>
      <c r="I354" s="312"/>
      <c r="J354" s="313">
        <v>143.0</v>
      </c>
      <c r="K354" s="314">
        <f t="shared" si="39"/>
        <v>0.2924335378</v>
      </c>
      <c r="L354" s="315">
        <f t="shared" si="40"/>
        <v>-143</v>
      </c>
      <c r="M354" s="316">
        <f t="shared" si="41"/>
        <v>-1</v>
      </c>
      <c r="N354" s="331"/>
      <c r="O354" s="343"/>
      <c r="P354" s="318"/>
      <c r="Q354" s="300"/>
      <c r="R354" s="301"/>
    </row>
    <row r="355" ht="14.25" customHeight="1" outlineLevel="1">
      <c r="D355" s="305"/>
      <c r="E355" s="309" t="s">
        <v>509</v>
      </c>
      <c r="F355" s="339">
        <v>1000.0</v>
      </c>
      <c r="G355" s="301">
        <v>499.0</v>
      </c>
      <c r="H355" s="301"/>
      <c r="I355" s="312"/>
      <c r="J355" s="313">
        <v>144.0</v>
      </c>
      <c r="K355" s="314">
        <f t="shared" si="39"/>
        <v>0.2885771543</v>
      </c>
      <c r="L355" s="315">
        <f t="shared" si="40"/>
        <v>-144</v>
      </c>
      <c r="M355" s="316">
        <f t="shared" si="41"/>
        <v>-1</v>
      </c>
      <c r="N355" s="331"/>
      <c r="O355" s="343"/>
      <c r="P355" s="318"/>
      <c r="Q355" s="300"/>
      <c r="R355" s="301"/>
    </row>
    <row r="356" ht="14.25" customHeight="1" outlineLevel="1">
      <c r="D356" s="305"/>
      <c r="E356" s="309" t="s">
        <v>622</v>
      </c>
      <c r="F356" s="339">
        <v>1000.0</v>
      </c>
      <c r="G356" s="301">
        <v>499.0</v>
      </c>
      <c r="H356" s="301"/>
      <c r="I356" s="312"/>
      <c r="J356" s="313">
        <v>158.0</v>
      </c>
      <c r="K356" s="314">
        <f t="shared" si="39"/>
        <v>0.3166332665</v>
      </c>
      <c r="L356" s="315">
        <f t="shared" si="40"/>
        <v>-158</v>
      </c>
      <c r="M356" s="316">
        <f t="shared" si="41"/>
        <v>-1</v>
      </c>
      <c r="N356" s="331"/>
      <c r="O356" s="343"/>
      <c r="P356" s="318"/>
      <c r="Q356" s="300"/>
      <c r="R356" s="301"/>
    </row>
    <row r="357" ht="14.25" customHeight="1" outlineLevel="1">
      <c r="B357" s="327"/>
      <c r="C357" s="327"/>
      <c r="D357" s="336"/>
      <c r="E357" s="309" t="s">
        <v>114</v>
      </c>
      <c r="F357" s="339">
        <v>1000.0</v>
      </c>
      <c r="G357" s="301">
        <v>699.0</v>
      </c>
      <c r="H357" s="301"/>
      <c r="I357" s="312"/>
      <c r="J357" s="313">
        <v>158.0</v>
      </c>
      <c r="K357" s="314">
        <f t="shared" si="39"/>
        <v>0.226037196</v>
      </c>
      <c r="L357" s="315">
        <f t="shared" si="40"/>
        <v>-158</v>
      </c>
      <c r="M357" s="316">
        <f t="shared" si="41"/>
        <v>-1</v>
      </c>
      <c r="N357" s="331"/>
      <c r="O357" s="343"/>
      <c r="P357" s="318"/>
      <c r="Q357" s="300"/>
      <c r="R357" s="301"/>
    </row>
    <row r="358" ht="14.25" customHeight="1" outlineLevel="1">
      <c r="A358" s="327" t="s">
        <v>623</v>
      </c>
      <c r="B358" s="327"/>
      <c r="C358" s="327" t="s">
        <v>624</v>
      </c>
      <c r="D358" s="336"/>
      <c r="E358" s="309" t="s">
        <v>159</v>
      </c>
      <c r="F358" s="339">
        <v>200.0</v>
      </c>
      <c r="G358" s="301">
        <v>99.0</v>
      </c>
      <c r="H358" s="301">
        <v>79.0</v>
      </c>
      <c r="I358" s="312" t="str">
        <f>G358/R358</f>
        <v>#DIV/0!</v>
      </c>
      <c r="J358" s="313">
        <v>16.0</v>
      </c>
      <c r="K358" s="314">
        <f t="shared" si="39"/>
        <v>0.1616161616</v>
      </c>
      <c r="L358" s="315">
        <f t="shared" si="40"/>
        <v>-16</v>
      </c>
      <c r="M358" s="316">
        <f t="shared" si="41"/>
        <v>-1</v>
      </c>
      <c r="N358" s="331">
        <v>109.0</v>
      </c>
      <c r="O358" s="318" t="s">
        <v>112</v>
      </c>
      <c r="P358" s="318" t="s">
        <v>111</v>
      </c>
      <c r="Q358" s="300"/>
      <c r="R358" s="301"/>
    </row>
    <row r="359" ht="14.25" customHeight="1" outlineLevel="1">
      <c r="B359" s="327"/>
      <c r="D359" s="336"/>
      <c r="E359" s="309" t="s">
        <v>160</v>
      </c>
      <c r="F359" s="339">
        <v>200.0</v>
      </c>
      <c r="G359" s="301">
        <v>99.0</v>
      </c>
      <c r="H359" s="301"/>
      <c r="I359" s="312"/>
      <c r="J359" s="313">
        <v>15.0</v>
      </c>
      <c r="K359" s="314">
        <f t="shared" si="39"/>
        <v>0.1515151515</v>
      </c>
      <c r="L359" s="315">
        <f t="shared" si="40"/>
        <v>-15</v>
      </c>
      <c r="M359" s="316">
        <f t="shared" si="41"/>
        <v>-1</v>
      </c>
      <c r="N359" s="331"/>
      <c r="O359" s="318"/>
      <c r="P359" s="318"/>
      <c r="Q359" s="300"/>
      <c r="R359" s="301"/>
    </row>
    <row r="360" ht="14.25" customHeight="1" outlineLevel="1">
      <c r="B360" s="327"/>
      <c r="D360" s="336"/>
      <c r="E360" s="309" t="s">
        <v>509</v>
      </c>
      <c r="F360" s="339">
        <v>200.0</v>
      </c>
      <c r="G360" s="301">
        <v>99.0</v>
      </c>
      <c r="H360" s="301"/>
      <c r="I360" s="312"/>
      <c r="J360" s="313">
        <v>17.0</v>
      </c>
      <c r="K360" s="314">
        <f t="shared" si="39"/>
        <v>0.1717171717</v>
      </c>
      <c r="L360" s="315">
        <f t="shared" si="40"/>
        <v>-17</v>
      </c>
      <c r="M360" s="316">
        <f t="shared" si="41"/>
        <v>-1</v>
      </c>
      <c r="N360" s="331"/>
      <c r="O360" s="318"/>
      <c r="P360" s="318"/>
      <c r="Q360" s="300"/>
      <c r="R360" s="301"/>
    </row>
    <row r="361" ht="14.25" customHeight="1" outlineLevel="1">
      <c r="B361" s="327"/>
      <c r="D361" s="336"/>
      <c r="E361" s="309" t="s">
        <v>510</v>
      </c>
      <c r="F361" s="339">
        <v>200.0</v>
      </c>
      <c r="G361" s="301">
        <v>99.0</v>
      </c>
      <c r="H361" s="301"/>
      <c r="I361" s="312"/>
      <c r="J361" s="313">
        <v>13.0</v>
      </c>
      <c r="K361" s="314">
        <f t="shared" si="39"/>
        <v>0.1313131313</v>
      </c>
      <c r="L361" s="315">
        <f t="shared" si="40"/>
        <v>-13</v>
      </c>
      <c r="M361" s="316">
        <f t="shared" si="41"/>
        <v>-1</v>
      </c>
      <c r="N361" s="331"/>
      <c r="O361" s="318"/>
      <c r="P361" s="318"/>
      <c r="Q361" s="300"/>
      <c r="R361" s="301"/>
    </row>
    <row r="362" ht="14.25" customHeight="1" outlineLevel="1">
      <c r="B362" s="327"/>
      <c r="C362" s="327"/>
      <c r="D362" s="336"/>
      <c r="E362" s="309" t="s">
        <v>114</v>
      </c>
      <c r="F362" s="339">
        <v>200.0</v>
      </c>
      <c r="G362" s="301">
        <v>159.0</v>
      </c>
      <c r="H362" s="301"/>
      <c r="I362" s="312"/>
      <c r="J362" s="313">
        <v>13.0</v>
      </c>
      <c r="K362" s="314">
        <f t="shared" si="39"/>
        <v>0.08176100629</v>
      </c>
      <c r="L362" s="315">
        <f t="shared" si="40"/>
        <v>-13</v>
      </c>
      <c r="M362" s="316">
        <f t="shared" si="41"/>
        <v>-1</v>
      </c>
      <c r="N362" s="331"/>
      <c r="O362" s="318"/>
      <c r="P362" s="318"/>
      <c r="Q362" s="300"/>
      <c r="R362" s="301"/>
    </row>
    <row r="363" ht="14.25" customHeight="1" outlineLevel="1">
      <c r="A363" s="327" t="s">
        <v>623</v>
      </c>
      <c r="B363" s="327"/>
      <c r="C363" s="327" t="s">
        <v>624</v>
      </c>
      <c r="D363" s="336"/>
      <c r="E363" s="309" t="s">
        <v>159</v>
      </c>
      <c r="F363" s="339">
        <v>1000.0</v>
      </c>
      <c r="G363" s="301">
        <v>389.0</v>
      </c>
      <c r="H363" s="301">
        <v>369.0</v>
      </c>
      <c r="I363" s="312" t="str">
        <f>G363/R363</f>
        <v>#DIV/0!</v>
      </c>
      <c r="J363" s="313">
        <v>63.0</v>
      </c>
      <c r="K363" s="314">
        <f t="shared" si="39"/>
        <v>0.1619537275</v>
      </c>
      <c r="L363" s="315">
        <f t="shared" si="40"/>
        <v>-63</v>
      </c>
      <c r="M363" s="316">
        <f t="shared" si="41"/>
        <v>-1</v>
      </c>
      <c r="N363" s="331">
        <v>389.0</v>
      </c>
      <c r="O363" s="343" t="s">
        <v>111</v>
      </c>
      <c r="P363" s="318" t="s">
        <v>111</v>
      </c>
      <c r="Q363" s="300"/>
      <c r="R363" s="301"/>
    </row>
    <row r="364" ht="14.25" customHeight="1" outlineLevel="1">
      <c r="B364" s="327"/>
      <c r="D364" s="336"/>
      <c r="E364" s="333" t="s">
        <v>160</v>
      </c>
      <c r="F364" s="339">
        <v>1000.0</v>
      </c>
      <c r="G364" s="341">
        <v>389.0</v>
      </c>
      <c r="H364" s="341"/>
      <c r="I364" s="286"/>
      <c r="J364" s="335">
        <v>62.0</v>
      </c>
      <c r="K364" s="332">
        <f t="shared" si="39"/>
        <v>0.1593830334</v>
      </c>
      <c r="L364" s="319">
        <f t="shared" si="40"/>
        <v>-62</v>
      </c>
      <c r="M364" s="332">
        <f t="shared" si="41"/>
        <v>-1</v>
      </c>
      <c r="N364" s="331"/>
      <c r="O364" s="285"/>
      <c r="P364" s="285"/>
      <c r="Q364" s="300"/>
      <c r="R364" s="341"/>
    </row>
    <row r="365" ht="14.25" customHeight="1" outlineLevel="1">
      <c r="B365" s="327"/>
      <c r="D365" s="336"/>
      <c r="E365" s="333" t="s">
        <v>509</v>
      </c>
      <c r="F365" s="339">
        <v>1000.0</v>
      </c>
      <c r="G365" s="341">
        <v>399.0</v>
      </c>
      <c r="H365" s="341"/>
      <c r="I365" s="286"/>
      <c r="J365" s="335">
        <v>69.0</v>
      </c>
      <c r="K365" s="332">
        <f t="shared" si="39"/>
        <v>0.1729323308</v>
      </c>
      <c r="L365" s="319">
        <f t="shared" si="40"/>
        <v>-69</v>
      </c>
      <c r="M365" s="332">
        <f t="shared" si="41"/>
        <v>-1</v>
      </c>
      <c r="N365" s="331"/>
      <c r="O365" s="285"/>
      <c r="P365" s="285"/>
      <c r="Q365" s="300"/>
      <c r="R365" s="341"/>
    </row>
    <row r="366" ht="14.25" customHeight="1" outlineLevel="1">
      <c r="B366" s="327"/>
      <c r="D366" s="336"/>
      <c r="E366" s="333" t="s">
        <v>622</v>
      </c>
      <c r="F366" s="339">
        <v>1000.0</v>
      </c>
      <c r="G366" s="341">
        <v>399.0</v>
      </c>
      <c r="H366" s="341"/>
      <c r="I366" s="286"/>
      <c r="J366" s="335">
        <v>53.0</v>
      </c>
      <c r="K366" s="332">
        <f t="shared" si="39"/>
        <v>0.1328320802</v>
      </c>
      <c r="L366" s="319">
        <f t="shared" si="40"/>
        <v>-53</v>
      </c>
      <c r="M366" s="332">
        <f t="shared" si="41"/>
        <v>-1</v>
      </c>
      <c r="N366" s="331"/>
      <c r="O366" s="285"/>
      <c r="P366" s="285"/>
      <c r="Q366" s="300"/>
      <c r="R366" s="341"/>
    </row>
    <row r="367" ht="14.25" customHeight="1" outlineLevel="1">
      <c r="B367" s="327"/>
      <c r="C367" s="327"/>
      <c r="D367" s="327"/>
      <c r="E367" s="333" t="s">
        <v>114</v>
      </c>
      <c r="F367" s="339">
        <v>1000.0</v>
      </c>
      <c r="G367" s="341">
        <v>599.0</v>
      </c>
      <c r="H367" s="341"/>
      <c r="I367" s="286"/>
      <c r="J367" s="335">
        <v>53.0</v>
      </c>
      <c r="K367" s="332">
        <f t="shared" si="39"/>
        <v>0.08848080134</v>
      </c>
      <c r="L367" s="319">
        <f t="shared" si="40"/>
        <v>-53</v>
      </c>
      <c r="M367" s="332">
        <f t="shared" si="41"/>
        <v>-1</v>
      </c>
      <c r="N367" s="331"/>
      <c r="O367" s="285"/>
      <c r="P367" s="285"/>
      <c r="Q367" s="300"/>
      <c r="R367" s="341"/>
    </row>
    <row r="368" ht="14.25" customHeight="1" outlineLevel="1">
      <c r="A368" s="327" t="s">
        <v>625</v>
      </c>
      <c r="B368" s="327" t="s">
        <v>626</v>
      </c>
      <c r="C368" s="327" t="s">
        <v>627</v>
      </c>
      <c r="D368" s="327" t="s">
        <v>628</v>
      </c>
      <c r="E368" s="333" t="s">
        <v>159</v>
      </c>
      <c r="F368" s="339">
        <v>500.0</v>
      </c>
      <c r="G368" s="341">
        <v>279.0</v>
      </c>
      <c r="H368" s="341">
        <v>249.0</v>
      </c>
      <c r="I368" s="286" t="str">
        <f>G368/R368</f>
        <v>#DIV/0!</v>
      </c>
      <c r="J368" s="335">
        <v>55.0</v>
      </c>
      <c r="K368" s="332">
        <f t="shared" si="39"/>
        <v>0.1971326165</v>
      </c>
      <c r="L368" s="319">
        <f t="shared" si="40"/>
        <v>-55</v>
      </c>
      <c r="M368" s="332">
        <f t="shared" si="41"/>
        <v>-1</v>
      </c>
      <c r="N368" s="331">
        <v>289.0</v>
      </c>
      <c r="O368" s="285" t="s">
        <v>111</v>
      </c>
      <c r="P368" s="285" t="s">
        <v>111</v>
      </c>
      <c r="Q368" s="300"/>
      <c r="R368" s="341"/>
    </row>
    <row r="369" ht="14.25" customHeight="1" outlineLevel="1">
      <c r="E369" s="333" t="s">
        <v>160</v>
      </c>
      <c r="F369" s="339">
        <v>500.0</v>
      </c>
      <c r="G369" s="341">
        <v>279.0</v>
      </c>
      <c r="H369" s="341"/>
      <c r="I369" s="286"/>
      <c r="J369" s="335">
        <v>55.0</v>
      </c>
      <c r="K369" s="332">
        <f t="shared" si="39"/>
        <v>0.1971326165</v>
      </c>
      <c r="L369" s="319">
        <f t="shared" si="40"/>
        <v>-55</v>
      </c>
      <c r="M369" s="332">
        <f t="shared" si="41"/>
        <v>-1</v>
      </c>
      <c r="N369" s="331"/>
      <c r="O369" s="285"/>
      <c r="P369" s="285"/>
      <c r="Q369" s="300"/>
      <c r="R369" s="341"/>
    </row>
    <row r="370" ht="14.25" customHeight="1" outlineLevel="1">
      <c r="E370" s="333" t="s">
        <v>509</v>
      </c>
      <c r="F370" s="339">
        <v>500.0</v>
      </c>
      <c r="G370" s="341">
        <v>289.0</v>
      </c>
      <c r="H370" s="341"/>
      <c r="I370" s="286"/>
      <c r="J370" s="335">
        <v>60.0</v>
      </c>
      <c r="K370" s="332">
        <f t="shared" si="39"/>
        <v>0.2076124567</v>
      </c>
      <c r="L370" s="319">
        <f t="shared" si="40"/>
        <v>-60</v>
      </c>
      <c r="M370" s="332">
        <f t="shared" si="41"/>
        <v>-1</v>
      </c>
      <c r="N370" s="331"/>
      <c r="O370" s="285"/>
      <c r="P370" s="285"/>
      <c r="Q370" s="300"/>
      <c r="R370" s="341"/>
    </row>
    <row r="371" ht="14.25" customHeight="1" outlineLevel="1">
      <c r="E371" s="309" t="s">
        <v>510</v>
      </c>
      <c r="F371" s="339">
        <v>500.0</v>
      </c>
      <c r="G371" s="301">
        <v>289.0</v>
      </c>
      <c r="H371" s="301"/>
      <c r="I371" s="312"/>
      <c r="J371" s="335">
        <v>56.0</v>
      </c>
      <c r="K371" s="314">
        <f t="shared" si="39"/>
        <v>0.1937716263</v>
      </c>
      <c r="L371" s="315">
        <f t="shared" si="40"/>
        <v>-56</v>
      </c>
      <c r="M371" s="316">
        <f t="shared" si="41"/>
        <v>-1</v>
      </c>
      <c r="N371" s="331"/>
      <c r="O371" s="343"/>
      <c r="P371" s="318"/>
      <c r="Q371" s="300"/>
      <c r="R371" s="301"/>
    </row>
    <row r="372" ht="14.25" customHeight="1" outlineLevel="1">
      <c r="B372" s="327"/>
      <c r="C372" s="327"/>
      <c r="D372" s="327"/>
      <c r="E372" s="309" t="s">
        <v>114</v>
      </c>
      <c r="F372" s="339">
        <v>500.0</v>
      </c>
      <c r="G372" s="301">
        <v>349.0</v>
      </c>
      <c r="H372" s="301"/>
      <c r="I372" s="312"/>
      <c r="J372" s="335">
        <v>56.0</v>
      </c>
      <c r="K372" s="314">
        <f t="shared" si="39"/>
        <v>0.1604584527</v>
      </c>
      <c r="L372" s="315">
        <f t="shared" si="40"/>
        <v>-56</v>
      </c>
      <c r="M372" s="316">
        <f t="shared" si="41"/>
        <v>-1</v>
      </c>
      <c r="N372" s="331"/>
      <c r="O372" s="343"/>
      <c r="P372" s="318"/>
      <c r="Q372" s="300"/>
      <c r="R372" s="301"/>
    </row>
    <row r="373" ht="14.25" customHeight="1" outlineLevel="1">
      <c r="A373" s="327" t="s">
        <v>629</v>
      </c>
      <c r="B373" s="327"/>
      <c r="C373" s="327" t="s">
        <v>630</v>
      </c>
      <c r="D373" s="336" t="s">
        <v>631</v>
      </c>
      <c r="E373" s="333" t="s">
        <v>159</v>
      </c>
      <c r="F373" s="339">
        <v>250.0</v>
      </c>
      <c r="G373" s="341">
        <v>249.0</v>
      </c>
      <c r="H373" s="341">
        <v>229.0</v>
      </c>
      <c r="I373" s="344"/>
      <c r="J373" s="345">
        <v>55.0</v>
      </c>
      <c r="K373" s="332">
        <f t="shared" si="39"/>
        <v>0.2208835341</v>
      </c>
      <c r="L373" s="319">
        <f t="shared" si="40"/>
        <v>-55</v>
      </c>
      <c r="M373" s="332">
        <f t="shared" si="41"/>
        <v>-1</v>
      </c>
      <c r="N373" s="331"/>
      <c r="O373" s="285" t="s">
        <v>112</v>
      </c>
      <c r="P373" s="285" t="s">
        <v>112</v>
      </c>
      <c r="Q373" s="300"/>
      <c r="R373" s="341"/>
    </row>
    <row r="374" ht="14.25" customHeight="1" outlineLevel="1">
      <c r="B374" s="327"/>
      <c r="D374" s="336"/>
      <c r="E374" s="333" t="s">
        <v>160</v>
      </c>
      <c r="F374" s="339">
        <v>250.0</v>
      </c>
      <c r="G374" s="341">
        <v>249.0</v>
      </c>
      <c r="H374" s="341"/>
      <c r="I374" s="344"/>
      <c r="J374" s="345">
        <v>55.0</v>
      </c>
      <c r="K374" s="332">
        <f t="shared" si="39"/>
        <v>0.2208835341</v>
      </c>
      <c r="L374" s="319">
        <f t="shared" si="40"/>
        <v>-55</v>
      </c>
      <c r="M374" s="332">
        <f t="shared" si="41"/>
        <v>-1</v>
      </c>
      <c r="N374" s="331"/>
      <c r="O374" s="285"/>
      <c r="P374" s="285"/>
      <c r="Q374" s="300"/>
      <c r="R374" s="341"/>
    </row>
    <row r="375" ht="14.25" customHeight="1" outlineLevel="1">
      <c r="B375" s="327"/>
      <c r="D375" s="336"/>
      <c r="E375" s="333" t="s">
        <v>509</v>
      </c>
      <c r="F375" s="339">
        <v>250.0</v>
      </c>
      <c r="G375" s="341">
        <v>249.0</v>
      </c>
      <c r="H375" s="341"/>
      <c r="I375" s="344"/>
      <c r="J375" s="345">
        <v>55.0</v>
      </c>
      <c r="K375" s="332">
        <f t="shared" si="39"/>
        <v>0.2208835341</v>
      </c>
      <c r="L375" s="319">
        <f t="shared" si="40"/>
        <v>-55</v>
      </c>
      <c r="M375" s="332">
        <f t="shared" si="41"/>
        <v>-1</v>
      </c>
      <c r="N375" s="331"/>
      <c r="O375" s="285"/>
      <c r="P375" s="285"/>
      <c r="Q375" s="300"/>
      <c r="R375" s="341"/>
    </row>
    <row r="376" ht="14.25" customHeight="1" outlineLevel="1">
      <c r="B376" s="327"/>
      <c r="D376" s="336"/>
      <c r="E376" s="333" t="s">
        <v>510</v>
      </c>
      <c r="F376" s="339">
        <v>250.0</v>
      </c>
      <c r="G376" s="341">
        <v>249.0</v>
      </c>
      <c r="H376" s="341"/>
      <c r="I376" s="344"/>
      <c r="J376" s="345">
        <v>55.0</v>
      </c>
      <c r="K376" s="332">
        <f t="shared" si="39"/>
        <v>0.2208835341</v>
      </c>
      <c r="L376" s="319">
        <f t="shared" si="40"/>
        <v>-55</v>
      </c>
      <c r="M376" s="332">
        <f t="shared" si="41"/>
        <v>-1</v>
      </c>
      <c r="N376" s="331"/>
      <c r="O376" s="285"/>
      <c r="P376" s="285"/>
      <c r="Q376" s="300"/>
      <c r="R376" s="341"/>
    </row>
    <row r="377" ht="14.25" customHeight="1" outlineLevel="1">
      <c r="B377" s="327"/>
      <c r="C377" s="327"/>
      <c r="D377" s="336"/>
      <c r="E377" s="333" t="s">
        <v>114</v>
      </c>
      <c r="F377" s="339">
        <v>250.0</v>
      </c>
      <c r="G377" s="341">
        <v>299.0</v>
      </c>
      <c r="H377" s="341"/>
      <c r="I377" s="344"/>
      <c r="J377" s="345">
        <v>55.0</v>
      </c>
      <c r="K377" s="332">
        <f t="shared" si="39"/>
        <v>0.1839464883</v>
      </c>
      <c r="L377" s="319">
        <f t="shared" si="40"/>
        <v>-55</v>
      </c>
      <c r="M377" s="332">
        <f t="shared" si="41"/>
        <v>-1</v>
      </c>
      <c r="N377" s="331"/>
      <c r="O377" s="285"/>
      <c r="P377" s="285"/>
      <c r="Q377" s="300"/>
      <c r="R377" s="341"/>
    </row>
    <row r="378" ht="14.25" customHeight="1" outlineLevel="1">
      <c r="A378" s="327" t="s">
        <v>632</v>
      </c>
      <c r="B378" s="327"/>
      <c r="C378" s="327" t="s">
        <v>633</v>
      </c>
      <c r="D378" s="336" t="s">
        <v>634</v>
      </c>
      <c r="E378" s="333" t="s">
        <v>159</v>
      </c>
      <c r="F378" s="339">
        <v>250.0</v>
      </c>
      <c r="G378" s="341">
        <v>249.0</v>
      </c>
      <c r="H378" s="341">
        <v>229.0</v>
      </c>
      <c r="I378" s="344"/>
      <c r="J378" s="345">
        <v>55.0</v>
      </c>
      <c r="K378" s="332">
        <f t="shared" si="39"/>
        <v>0.2208835341</v>
      </c>
      <c r="L378" s="319">
        <f t="shared" si="40"/>
        <v>-55</v>
      </c>
      <c r="M378" s="332">
        <f t="shared" si="41"/>
        <v>-1</v>
      </c>
      <c r="N378" s="331"/>
      <c r="O378" s="285" t="s">
        <v>112</v>
      </c>
      <c r="P378" s="285" t="s">
        <v>112</v>
      </c>
      <c r="Q378" s="300"/>
      <c r="R378" s="341"/>
    </row>
    <row r="379" ht="14.25" customHeight="1" outlineLevel="1">
      <c r="B379" s="327"/>
      <c r="D379" s="336"/>
      <c r="E379" s="333" t="s">
        <v>160</v>
      </c>
      <c r="F379" s="339">
        <v>250.0</v>
      </c>
      <c r="G379" s="341">
        <v>249.0</v>
      </c>
      <c r="H379" s="341"/>
      <c r="I379" s="344"/>
      <c r="J379" s="345">
        <v>55.0</v>
      </c>
      <c r="K379" s="332">
        <f t="shared" si="39"/>
        <v>0.2208835341</v>
      </c>
      <c r="L379" s="319">
        <f t="shared" si="40"/>
        <v>-55</v>
      </c>
      <c r="M379" s="332">
        <f t="shared" si="41"/>
        <v>-1</v>
      </c>
      <c r="N379" s="331"/>
      <c r="O379" s="285"/>
      <c r="P379" s="285"/>
      <c r="Q379" s="300"/>
      <c r="R379" s="341"/>
    </row>
    <row r="380" ht="14.25" customHeight="1" outlineLevel="1">
      <c r="B380" s="327"/>
      <c r="D380" s="336"/>
      <c r="E380" s="333" t="s">
        <v>509</v>
      </c>
      <c r="F380" s="339">
        <v>250.0</v>
      </c>
      <c r="G380" s="341">
        <v>249.0</v>
      </c>
      <c r="H380" s="341"/>
      <c r="I380" s="286"/>
      <c r="J380" s="345">
        <v>55.0</v>
      </c>
      <c r="K380" s="332">
        <f t="shared" si="39"/>
        <v>0.2208835341</v>
      </c>
      <c r="L380" s="319">
        <f t="shared" si="40"/>
        <v>-55</v>
      </c>
      <c r="M380" s="332">
        <f t="shared" si="41"/>
        <v>-1</v>
      </c>
      <c r="N380" s="331"/>
      <c r="O380" s="285"/>
      <c r="P380" s="285"/>
      <c r="Q380" s="300"/>
      <c r="R380" s="341"/>
    </row>
    <row r="381" ht="14.25" customHeight="1" outlineLevel="1">
      <c r="B381" s="327"/>
      <c r="D381" s="336"/>
      <c r="E381" s="333" t="s">
        <v>510</v>
      </c>
      <c r="F381" s="339">
        <v>250.0</v>
      </c>
      <c r="G381" s="341">
        <v>249.0</v>
      </c>
      <c r="H381" s="341"/>
      <c r="I381" s="286"/>
      <c r="J381" s="345">
        <v>55.0</v>
      </c>
      <c r="K381" s="332">
        <f t="shared" si="39"/>
        <v>0.2208835341</v>
      </c>
      <c r="L381" s="319">
        <f t="shared" si="40"/>
        <v>-55</v>
      </c>
      <c r="M381" s="332">
        <f t="shared" si="41"/>
        <v>-1</v>
      </c>
      <c r="N381" s="331"/>
      <c r="O381" s="285"/>
      <c r="P381" s="285"/>
      <c r="Q381" s="300"/>
      <c r="R381" s="341"/>
    </row>
    <row r="382" ht="14.25" customHeight="1" outlineLevel="1">
      <c r="B382" s="327"/>
      <c r="C382" s="327"/>
      <c r="D382" s="336"/>
      <c r="E382" s="333"/>
      <c r="F382" s="339">
        <v>250.0</v>
      </c>
      <c r="G382" s="341">
        <v>299.0</v>
      </c>
      <c r="H382" s="341"/>
      <c r="I382" s="286"/>
      <c r="J382" s="345">
        <v>55.0</v>
      </c>
      <c r="K382" s="332">
        <f t="shared" si="39"/>
        <v>0.1839464883</v>
      </c>
      <c r="L382" s="319">
        <f t="shared" si="40"/>
        <v>-55</v>
      </c>
      <c r="M382" s="332">
        <f t="shared" si="41"/>
        <v>-1</v>
      </c>
      <c r="N382" s="331"/>
      <c r="O382" s="285"/>
      <c r="P382" s="285"/>
      <c r="Q382" s="300"/>
      <c r="R382" s="341"/>
    </row>
    <row r="383" ht="14.25" customHeight="1" outlineLevel="1">
      <c r="A383" s="288" t="s">
        <v>635</v>
      </c>
      <c r="B383" s="346"/>
      <c r="C383" s="288" t="s">
        <v>635</v>
      </c>
      <c r="D383" s="347"/>
      <c r="E383" s="322" t="s">
        <v>159</v>
      </c>
      <c r="F383" s="348"/>
      <c r="G383" s="348"/>
      <c r="H383" s="348"/>
      <c r="I383" s="349"/>
      <c r="J383" s="350"/>
      <c r="K383" s="297"/>
      <c r="L383" s="349"/>
      <c r="M383" s="351"/>
      <c r="N383" s="352"/>
      <c r="O383" s="351"/>
      <c r="P383" s="353"/>
      <c r="Q383" s="319"/>
      <c r="R383" s="311"/>
    </row>
    <row r="384" ht="14.25" customHeight="1" outlineLevel="1">
      <c r="B384" s="346"/>
      <c r="D384" s="347"/>
      <c r="E384" s="322" t="s">
        <v>160</v>
      </c>
      <c r="F384" s="348"/>
      <c r="G384" s="348"/>
      <c r="H384" s="348"/>
      <c r="I384" s="349"/>
      <c r="J384" s="350"/>
      <c r="K384" s="297"/>
      <c r="L384" s="349"/>
      <c r="M384" s="351"/>
      <c r="N384" s="352"/>
      <c r="O384" s="351"/>
      <c r="P384" s="353"/>
      <c r="Q384" s="319"/>
      <c r="R384" s="311"/>
    </row>
    <row r="385" ht="14.25" customHeight="1" outlineLevel="1">
      <c r="B385" s="346"/>
      <c r="D385" s="347"/>
      <c r="E385" s="322" t="s">
        <v>509</v>
      </c>
      <c r="F385" s="348"/>
      <c r="G385" s="348"/>
      <c r="H385" s="348"/>
      <c r="I385" s="349"/>
      <c r="J385" s="350"/>
      <c r="K385" s="297"/>
      <c r="L385" s="349"/>
      <c r="M385" s="351"/>
      <c r="N385" s="352"/>
      <c r="O385" s="351"/>
      <c r="P385" s="353"/>
      <c r="Q385" s="319"/>
      <c r="R385" s="311"/>
    </row>
    <row r="386" ht="14.25" customHeight="1" outlineLevel="1">
      <c r="B386" s="346"/>
      <c r="D386" s="347"/>
      <c r="E386" s="322" t="s">
        <v>510</v>
      </c>
      <c r="F386" s="348"/>
      <c r="G386" s="348"/>
      <c r="H386" s="348"/>
      <c r="I386" s="349"/>
      <c r="J386" s="350"/>
      <c r="K386" s="297"/>
      <c r="L386" s="349"/>
      <c r="M386" s="351"/>
      <c r="N386" s="352"/>
      <c r="O386" s="351"/>
      <c r="P386" s="353"/>
      <c r="Q386" s="319"/>
      <c r="R386" s="311"/>
    </row>
    <row r="387" ht="14.25" customHeight="1" outlineLevel="1">
      <c r="B387" s="346"/>
      <c r="C387" s="288"/>
      <c r="D387" s="354"/>
      <c r="E387" s="322" t="s">
        <v>114</v>
      </c>
      <c r="F387" s="348"/>
      <c r="G387" s="348"/>
      <c r="H387" s="348"/>
      <c r="I387" s="349"/>
      <c r="J387" s="350"/>
      <c r="K387" s="297"/>
      <c r="L387" s="349"/>
      <c r="M387" s="351"/>
      <c r="N387" s="352"/>
      <c r="O387" s="351"/>
      <c r="P387" s="353"/>
      <c r="Q387" s="319"/>
      <c r="R387" s="311"/>
    </row>
    <row r="388" ht="14.25" customHeight="1" outlineLevel="1">
      <c r="A388" s="327" t="s">
        <v>636</v>
      </c>
      <c r="B388" s="327" t="s">
        <v>637</v>
      </c>
      <c r="C388" s="327" t="s">
        <v>636</v>
      </c>
      <c r="D388" s="327" t="s">
        <v>638</v>
      </c>
      <c r="E388" s="309" t="s">
        <v>159</v>
      </c>
      <c r="F388" s="339">
        <v>330.0</v>
      </c>
      <c r="G388" s="311">
        <v>319.0</v>
      </c>
      <c r="H388" s="311">
        <v>299.0</v>
      </c>
      <c r="I388" s="312" t="str">
        <f>G388/R388</f>
        <v>#DIV/0!</v>
      </c>
      <c r="J388" s="313">
        <v>88.0</v>
      </c>
      <c r="K388" s="314">
        <f t="shared" ref="K388:K400" si="42">J388/G388</f>
        <v>0.275862069</v>
      </c>
      <c r="L388" s="315">
        <f t="shared" ref="L388:L400" si="43">Q388-J388</f>
        <v>-88</v>
      </c>
      <c r="M388" s="316">
        <f t="shared" ref="M388:M400" si="44">Q388/J388-1</f>
        <v>-1</v>
      </c>
      <c r="N388" s="331">
        <v>329.0</v>
      </c>
      <c r="O388" s="343" t="s">
        <v>112</v>
      </c>
      <c r="P388" s="318" t="s">
        <v>111</v>
      </c>
      <c r="Q388" s="319"/>
      <c r="R388" s="311"/>
    </row>
    <row r="389" ht="14.25" customHeight="1" outlineLevel="1">
      <c r="E389" s="309" t="s">
        <v>509</v>
      </c>
      <c r="F389" s="339">
        <v>330.0</v>
      </c>
      <c r="G389" s="311">
        <v>319.0</v>
      </c>
      <c r="H389" s="311">
        <v>299.0</v>
      </c>
      <c r="I389" s="312"/>
      <c r="J389" s="313">
        <v>80.0</v>
      </c>
      <c r="K389" s="314">
        <f t="shared" si="42"/>
        <v>0.2507836991</v>
      </c>
      <c r="L389" s="315">
        <f t="shared" si="43"/>
        <v>-80</v>
      </c>
      <c r="M389" s="316">
        <f t="shared" si="44"/>
        <v>-1</v>
      </c>
      <c r="N389" s="331"/>
      <c r="O389" s="343"/>
      <c r="P389" s="318"/>
      <c r="Q389" s="319"/>
      <c r="R389" s="311"/>
    </row>
    <row r="390" ht="14.25" customHeight="1" outlineLevel="1">
      <c r="E390" s="309" t="s">
        <v>510</v>
      </c>
      <c r="F390" s="339">
        <v>330.0</v>
      </c>
      <c r="G390" s="311">
        <v>319.0</v>
      </c>
      <c r="H390" s="311">
        <v>299.0</v>
      </c>
      <c r="I390" s="312"/>
      <c r="J390" s="313">
        <v>104.0</v>
      </c>
      <c r="K390" s="314">
        <f t="shared" si="42"/>
        <v>0.3260188088</v>
      </c>
      <c r="L390" s="315">
        <f t="shared" si="43"/>
        <v>-104</v>
      </c>
      <c r="M390" s="316">
        <f t="shared" si="44"/>
        <v>-1</v>
      </c>
      <c r="N390" s="331"/>
      <c r="O390" s="343"/>
      <c r="P390" s="318"/>
      <c r="Q390" s="319"/>
      <c r="R390" s="311"/>
    </row>
    <row r="391" ht="14.25" customHeight="1" outlineLevel="1">
      <c r="B391" s="327"/>
      <c r="C391" s="327"/>
      <c r="D391" s="327"/>
      <c r="E391" s="309" t="s">
        <v>114</v>
      </c>
      <c r="F391" s="339">
        <v>330.0</v>
      </c>
      <c r="G391" s="311">
        <v>399.0</v>
      </c>
      <c r="H391" s="311"/>
      <c r="I391" s="312"/>
      <c r="J391" s="313">
        <v>104.0</v>
      </c>
      <c r="K391" s="314">
        <f t="shared" si="42"/>
        <v>0.2606516291</v>
      </c>
      <c r="L391" s="315">
        <f t="shared" si="43"/>
        <v>-104</v>
      </c>
      <c r="M391" s="316">
        <f t="shared" si="44"/>
        <v>-1</v>
      </c>
      <c r="N391" s="331"/>
      <c r="O391" s="343"/>
      <c r="P391" s="318"/>
      <c r="Q391" s="319"/>
      <c r="R391" s="311"/>
    </row>
    <row r="392" ht="14.25" customHeight="1" outlineLevel="1">
      <c r="A392" s="327" t="s">
        <v>639</v>
      </c>
      <c r="B392" s="327" t="s">
        <v>637</v>
      </c>
      <c r="C392" s="327" t="s">
        <v>639</v>
      </c>
      <c r="D392" s="327" t="s">
        <v>638</v>
      </c>
      <c r="E392" s="309" t="s">
        <v>159</v>
      </c>
      <c r="F392" s="339">
        <v>500.0</v>
      </c>
      <c r="G392" s="301">
        <v>159.0</v>
      </c>
      <c r="H392" s="301">
        <v>149.0</v>
      </c>
      <c r="I392" s="312" t="str">
        <f>G392/R392</f>
        <v>#DIV/0!</v>
      </c>
      <c r="J392" s="313">
        <v>32.0</v>
      </c>
      <c r="K392" s="314">
        <f t="shared" si="42"/>
        <v>0.2012578616</v>
      </c>
      <c r="L392" s="315">
        <f t="shared" si="43"/>
        <v>-32</v>
      </c>
      <c r="M392" s="316">
        <f t="shared" si="44"/>
        <v>-1</v>
      </c>
      <c r="N392" s="331">
        <v>179.0</v>
      </c>
      <c r="O392" s="343" t="s">
        <v>111</v>
      </c>
      <c r="P392" s="318" t="s">
        <v>111</v>
      </c>
      <c r="Q392" s="300"/>
      <c r="R392" s="301"/>
    </row>
    <row r="393" ht="14.25" customHeight="1" outlineLevel="1">
      <c r="E393" s="309" t="s">
        <v>160</v>
      </c>
      <c r="F393" s="339">
        <v>500.0</v>
      </c>
      <c r="G393" s="301">
        <v>159.0</v>
      </c>
      <c r="H393" s="301">
        <v>139.0</v>
      </c>
      <c r="I393" s="312"/>
      <c r="J393" s="313">
        <v>31.0</v>
      </c>
      <c r="K393" s="314">
        <f t="shared" si="42"/>
        <v>0.1949685535</v>
      </c>
      <c r="L393" s="315">
        <f t="shared" si="43"/>
        <v>-31</v>
      </c>
      <c r="M393" s="316">
        <f t="shared" si="44"/>
        <v>-1</v>
      </c>
      <c r="N393" s="331"/>
      <c r="O393" s="343"/>
      <c r="P393" s="318"/>
      <c r="Q393" s="300"/>
      <c r="R393" s="301"/>
    </row>
    <row r="394" ht="14.25" customHeight="1" outlineLevel="1">
      <c r="E394" s="309" t="s">
        <v>509</v>
      </c>
      <c r="F394" s="339">
        <v>500.0</v>
      </c>
      <c r="G394" s="301">
        <v>159.0</v>
      </c>
      <c r="H394" s="301">
        <v>149.0</v>
      </c>
      <c r="I394" s="312"/>
      <c r="J394" s="313">
        <v>31.0</v>
      </c>
      <c r="K394" s="314">
        <f t="shared" si="42"/>
        <v>0.1949685535</v>
      </c>
      <c r="L394" s="315">
        <f t="shared" si="43"/>
        <v>-31</v>
      </c>
      <c r="M394" s="316">
        <f t="shared" si="44"/>
        <v>-1</v>
      </c>
      <c r="N394" s="331"/>
      <c r="O394" s="343"/>
      <c r="P394" s="318"/>
      <c r="Q394" s="300"/>
      <c r="R394" s="301"/>
    </row>
    <row r="395" ht="14.25" customHeight="1" outlineLevel="1">
      <c r="E395" s="309" t="s">
        <v>510</v>
      </c>
      <c r="F395" s="339">
        <v>500.0</v>
      </c>
      <c r="G395" s="301">
        <v>159.0</v>
      </c>
      <c r="H395" s="301">
        <v>159.0</v>
      </c>
      <c r="I395" s="312"/>
      <c r="J395" s="313">
        <v>33.0</v>
      </c>
      <c r="K395" s="314">
        <f t="shared" si="42"/>
        <v>0.2075471698</v>
      </c>
      <c r="L395" s="315">
        <f t="shared" si="43"/>
        <v>-33</v>
      </c>
      <c r="M395" s="316">
        <f t="shared" si="44"/>
        <v>-1</v>
      </c>
      <c r="N395" s="331"/>
      <c r="O395" s="343"/>
      <c r="P395" s="318"/>
      <c r="Q395" s="300"/>
      <c r="R395" s="301"/>
    </row>
    <row r="396" ht="14.25" customHeight="1" outlineLevel="1">
      <c r="B396" s="327"/>
      <c r="C396" s="327"/>
      <c r="D396" s="327"/>
      <c r="E396" s="309" t="s">
        <v>114</v>
      </c>
      <c r="F396" s="339">
        <v>500.0</v>
      </c>
      <c r="G396" s="301">
        <v>229.0</v>
      </c>
      <c r="H396" s="301"/>
      <c r="I396" s="312"/>
      <c r="J396" s="313">
        <v>33.0</v>
      </c>
      <c r="K396" s="314">
        <f t="shared" si="42"/>
        <v>0.1441048035</v>
      </c>
      <c r="L396" s="315">
        <f t="shared" si="43"/>
        <v>-33</v>
      </c>
      <c r="M396" s="316">
        <f t="shared" si="44"/>
        <v>-1</v>
      </c>
      <c r="N396" s="331"/>
      <c r="O396" s="343"/>
      <c r="P396" s="318"/>
      <c r="Q396" s="300"/>
      <c r="R396" s="301"/>
    </row>
    <row r="397" ht="14.25" customHeight="1" outlineLevel="1">
      <c r="A397" s="327" t="s">
        <v>640</v>
      </c>
      <c r="B397" s="355" t="s">
        <v>637</v>
      </c>
      <c r="C397" s="327" t="s">
        <v>640</v>
      </c>
      <c r="D397" s="327" t="s">
        <v>638</v>
      </c>
      <c r="E397" s="309" t="s">
        <v>160</v>
      </c>
      <c r="F397" s="339">
        <v>500.0</v>
      </c>
      <c r="G397" s="301">
        <v>149.0</v>
      </c>
      <c r="H397" s="301"/>
      <c r="I397" s="312"/>
      <c r="J397" s="313">
        <v>26.0</v>
      </c>
      <c r="K397" s="314">
        <f t="shared" si="42"/>
        <v>0.1744966443</v>
      </c>
      <c r="L397" s="315">
        <f t="shared" si="43"/>
        <v>-26</v>
      </c>
      <c r="M397" s="316">
        <f t="shared" si="44"/>
        <v>-1</v>
      </c>
      <c r="N397" s="331"/>
      <c r="O397" s="343"/>
      <c r="P397" s="318"/>
      <c r="Q397" s="300"/>
      <c r="R397" s="301"/>
    </row>
    <row r="398" ht="14.25" customHeight="1" outlineLevel="1">
      <c r="E398" s="309" t="s">
        <v>509</v>
      </c>
      <c r="F398" s="339">
        <v>500.0</v>
      </c>
      <c r="G398" s="301">
        <v>149.0</v>
      </c>
      <c r="H398" s="301">
        <v>139.0</v>
      </c>
      <c r="I398" s="312"/>
      <c r="J398" s="313">
        <v>26.0</v>
      </c>
      <c r="K398" s="314">
        <f t="shared" si="42"/>
        <v>0.1744966443</v>
      </c>
      <c r="L398" s="315">
        <f t="shared" si="43"/>
        <v>-26</v>
      </c>
      <c r="M398" s="316">
        <f t="shared" si="44"/>
        <v>-1</v>
      </c>
      <c r="N398" s="331"/>
      <c r="O398" s="343"/>
      <c r="P398" s="318"/>
      <c r="Q398" s="300"/>
      <c r="R398" s="301"/>
    </row>
    <row r="399" ht="14.25" customHeight="1" outlineLevel="1">
      <c r="E399" s="309" t="s">
        <v>510</v>
      </c>
      <c r="F399" s="339">
        <v>500.0</v>
      </c>
      <c r="G399" s="301">
        <v>149.0</v>
      </c>
      <c r="H399" s="301">
        <v>139.0</v>
      </c>
      <c r="I399" s="312"/>
      <c r="J399" s="313">
        <v>25.0</v>
      </c>
      <c r="K399" s="314">
        <f t="shared" si="42"/>
        <v>0.1677852349</v>
      </c>
      <c r="L399" s="315">
        <f t="shared" si="43"/>
        <v>-25</v>
      </c>
      <c r="M399" s="316">
        <f t="shared" si="44"/>
        <v>-1</v>
      </c>
      <c r="N399" s="331"/>
      <c r="O399" s="343"/>
      <c r="P399" s="318"/>
      <c r="Q399" s="300"/>
      <c r="R399" s="301"/>
    </row>
    <row r="400" ht="14.25" customHeight="1" outlineLevel="1">
      <c r="A400" s="327" t="s">
        <v>641</v>
      </c>
      <c r="B400" s="327" t="s">
        <v>642</v>
      </c>
      <c r="C400" s="327" t="s">
        <v>641</v>
      </c>
      <c r="D400" s="327" t="s">
        <v>642</v>
      </c>
      <c r="E400" s="333" t="s">
        <v>159</v>
      </c>
      <c r="F400" s="339">
        <v>500.0</v>
      </c>
      <c r="G400" s="301">
        <v>149.0</v>
      </c>
      <c r="H400" s="301">
        <v>139.0</v>
      </c>
      <c r="I400" s="312" t="str">
        <f>G400/R400</f>
        <v>#DIV/0!</v>
      </c>
      <c r="J400" s="313">
        <v>18.0</v>
      </c>
      <c r="K400" s="314">
        <f t="shared" si="42"/>
        <v>0.1208053691</v>
      </c>
      <c r="L400" s="315">
        <f t="shared" si="43"/>
        <v>-18</v>
      </c>
      <c r="M400" s="316">
        <f t="shared" si="44"/>
        <v>-1</v>
      </c>
      <c r="N400" s="331">
        <v>169.0</v>
      </c>
      <c r="O400" s="343" t="s">
        <v>111</v>
      </c>
      <c r="P400" s="318" t="s">
        <v>111</v>
      </c>
      <c r="Q400" s="300"/>
      <c r="R400" s="301"/>
    </row>
    <row r="401" ht="14.25" customHeight="1">
      <c r="A401" s="288" t="s">
        <v>643</v>
      </c>
      <c r="B401" s="289"/>
      <c r="C401" s="288" t="s">
        <v>644</v>
      </c>
      <c r="D401" s="338"/>
      <c r="E401" s="322" t="s">
        <v>159</v>
      </c>
      <c r="F401" s="323"/>
      <c r="G401" s="294"/>
      <c r="H401" s="294"/>
      <c r="I401" s="324"/>
      <c r="J401" s="325"/>
      <c r="K401" s="297"/>
      <c r="L401" s="326"/>
      <c r="M401" s="297"/>
      <c r="N401" s="299"/>
      <c r="O401" s="290"/>
      <c r="P401" s="290"/>
      <c r="Q401" s="300"/>
      <c r="R401" s="294"/>
    </row>
    <row r="402" ht="14.25" customHeight="1">
      <c r="B402" s="289"/>
      <c r="D402" s="338"/>
      <c r="E402" s="322" t="s">
        <v>160</v>
      </c>
      <c r="F402" s="323"/>
      <c r="G402" s="294"/>
      <c r="H402" s="294"/>
      <c r="I402" s="324"/>
      <c r="J402" s="325"/>
      <c r="K402" s="297"/>
      <c r="L402" s="326"/>
      <c r="M402" s="297"/>
      <c r="N402" s="299"/>
      <c r="O402" s="290"/>
      <c r="P402" s="290"/>
      <c r="Q402" s="300"/>
      <c r="R402" s="294"/>
    </row>
    <row r="403" ht="14.25" customHeight="1">
      <c r="B403" s="289"/>
      <c r="D403" s="338"/>
      <c r="E403" s="322" t="s">
        <v>509</v>
      </c>
      <c r="F403" s="323"/>
      <c r="G403" s="294"/>
      <c r="H403" s="294"/>
      <c r="I403" s="324"/>
      <c r="J403" s="325"/>
      <c r="K403" s="297"/>
      <c r="L403" s="326"/>
      <c r="M403" s="297"/>
      <c r="N403" s="299"/>
      <c r="O403" s="290"/>
      <c r="P403" s="290"/>
      <c r="Q403" s="300"/>
      <c r="R403" s="294"/>
    </row>
    <row r="404" ht="14.25" customHeight="1">
      <c r="B404" s="289"/>
      <c r="D404" s="338"/>
      <c r="E404" s="322" t="s">
        <v>510</v>
      </c>
      <c r="F404" s="323"/>
      <c r="G404" s="294"/>
      <c r="H404" s="294"/>
      <c r="I404" s="324"/>
      <c r="J404" s="325"/>
      <c r="K404" s="297"/>
      <c r="L404" s="326"/>
      <c r="M404" s="297"/>
      <c r="N404" s="299"/>
      <c r="O404" s="290"/>
      <c r="P404" s="290"/>
      <c r="Q404" s="300"/>
      <c r="R404" s="294"/>
    </row>
    <row r="405" ht="14.25" customHeight="1">
      <c r="B405" s="289"/>
      <c r="C405" s="288"/>
      <c r="D405" s="288"/>
      <c r="E405" s="322" t="s">
        <v>114</v>
      </c>
      <c r="F405" s="323"/>
      <c r="G405" s="294"/>
      <c r="H405" s="294"/>
      <c r="I405" s="324"/>
      <c r="J405" s="325"/>
      <c r="K405" s="297"/>
      <c r="L405" s="326"/>
      <c r="M405" s="297"/>
      <c r="N405" s="299"/>
      <c r="O405" s="290"/>
      <c r="P405" s="290"/>
      <c r="Q405" s="300"/>
      <c r="R405" s="294"/>
    </row>
    <row r="406" ht="14.25" customHeight="1" outlineLevel="1">
      <c r="A406" s="327" t="s">
        <v>645</v>
      </c>
      <c r="B406" s="327" t="s">
        <v>646</v>
      </c>
      <c r="C406" s="327" t="s">
        <v>647</v>
      </c>
      <c r="D406" s="327" t="s">
        <v>648</v>
      </c>
      <c r="E406" s="309" t="s">
        <v>159</v>
      </c>
      <c r="F406" s="337">
        <v>300.0</v>
      </c>
      <c r="G406" s="301">
        <v>229.0</v>
      </c>
      <c r="H406" s="301">
        <v>199.0</v>
      </c>
      <c r="I406" s="312" t="str">
        <f>G406/R406</f>
        <v>#DIV/0!</v>
      </c>
      <c r="J406" s="313">
        <v>28.0</v>
      </c>
      <c r="K406" s="314">
        <f t="shared" ref="K406:K451" si="45">J406/G406</f>
        <v>0.1222707424</v>
      </c>
      <c r="L406" s="315">
        <f t="shared" ref="L406:L451" si="46">Q406-J406</f>
        <v>-28</v>
      </c>
      <c r="M406" s="316">
        <f t="shared" ref="M406:M451" si="47">Q406/J406-1</f>
        <v>-1</v>
      </c>
      <c r="N406" s="331"/>
      <c r="O406" s="318" t="s">
        <v>112</v>
      </c>
      <c r="P406" s="318" t="s">
        <v>112</v>
      </c>
      <c r="Q406" s="300"/>
      <c r="R406" s="301"/>
    </row>
    <row r="407" ht="14.25" customHeight="1" outlineLevel="1">
      <c r="E407" s="309" t="s">
        <v>160</v>
      </c>
      <c r="F407" s="337">
        <v>300.0</v>
      </c>
      <c r="G407" s="301">
        <v>229.0</v>
      </c>
      <c r="H407" s="301">
        <v>179.0</v>
      </c>
      <c r="I407" s="312"/>
      <c r="J407" s="313">
        <v>25.0</v>
      </c>
      <c r="K407" s="314">
        <f t="shared" si="45"/>
        <v>0.1091703057</v>
      </c>
      <c r="L407" s="315">
        <f t="shared" si="46"/>
        <v>-25</v>
      </c>
      <c r="M407" s="316">
        <f t="shared" si="47"/>
        <v>-1</v>
      </c>
      <c r="N407" s="331"/>
      <c r="O407" s="318"/>
      <c r="P407" s="318"/>
      <c r="Q407" s="300"/>
      <c r="R407" s="301"/>
    </row>
    <row r="408" ht="14.25" customHeight="1" outlineLevel="1">
      <c r="E408" s="309" t="s">
        <v>509</v>
      </c>
      <c r="F408" s="337">
        <v>300.0</v>
      </c>
      <c r="G408" s="301">
        <v>239.0</v>
      </c>
      <c r="H408" s="301">
        <v>199.0</v>
      </c>
      <c r="I408" s="312"/>
      <c r="J408" s="313">
        <v>37.0</v>
      </c>
      <c r="K408" s="314">
        <f t="shared" si="45"/>
        <v>0.1548117155</v>
      </c>
      <c r="L408" s="315">
        <f t="shared" si="46"/>
        <v>-37</v>
      </c>
      <c r="M408" s="316">
        <f t="shared" si="47"/>
        <v>-1</v>
      </c>
      <c r="N408" s="331"/>
      <c r="O408" s="318"/>
      <c r="P408" s="318"/>
      <c r="Q408" s="300"/>
      <c r="R408" s="301"/>
    </row>
    <row r="409" ht="14.25" customHeight="1" outlineLevel="1">
      <c r="E409" s="309" t="s">
        <v>510</v>
      </c>
      <c r="F409" s="337">
        <v>300.0</v>
      </c>
      <c r="G409" s="301">
        <v>239.0</v>
      </c>
      <c r="H409" s="301">
        <v>209.0</v>
      </c>
      <c r="I409" s="312"/>
      <c r="J409" s="313">
        <v>26.0</v>
      </c>
      <c r="K409" s="314">
        <f t="shared" si="45"/>
        <v>0.1087866109</v>
      </c>
      <c r="L409" s="315">
        <f t="shared" si="46"/>
        <v>-26</v>
      </c>
      <c r="M409" s="316">
        <f t="shared" si="47"/>
        <v>-1</v>
      </c>
      <c r="N409" s="331"/>
      <c r="O409" s="318"/>
      <c r="P409" s="318"/>
      <c r="Q409" s="300"/>
      <c r="R409" s="301"/>
    </row>
    <row r="410" ht="14.25" customHeight="1" outlineLevel="1">
      <c r="A410" s="327" t="s">
        <v>649</v>
      </c>
      <c r="B410" s="327" t="s">
        <v>646</v>
      </c>
      <c r="C410" s="327" t="s">
        <v>647</v>
      </c>
      <c r="D410" s="327" t="s">
        <v>650</v>
      </c>
      <c r="E410" s="309" t="s">
        <v>159</v>
      </c>
      <c r="F410" s="337">
        <v>500.0</v>
      </c>
      <c r="G410" s="311">
        <v>299.0</v>
      </c>
      <c r="H410" s="311">
        <v>259.0</v>
      </c>
      <c r="I410" s="312" t="str">
        <f>G410/R410</f>
        <v>#DIV/0!</v>
      </c>
      <c r="J410" s="313">
        <v>45.0</v>
      </c>
      <c r="K410" s="314">
        <f t="shared" si="45"/>
        <v>0.1505016722</v>
      </c>
      <c r="L410" s="315">
        <f t="shared" si="46"/>
        <v>-45</v>
      </c>
      <c r="M410" s="316">
        <f t="shared" si="47"/>
        <v>-1</v>
      </c>
      <c r="N410" s="331"/>
      <c r="O410" s="318" t="s">
        <v>112</v>
      </c>
      <c r="P410" s="318" t="s">
        <v>112</v>
      </c>
      <c r="Q410" s="319"/>
      <c r="R410" s="311"/>
    </row>
    <row r="411" ht="14.25" customHeight="1" outlineLevel="1">
      <c r="E411" s="309" t="s">
        <v>160</v>
      </c>
      <c r="F411" s="337">
        <v>500.0</v>
      </c>
      <c r="G411" s="311">
        <v>299.0</v>
      </c>
      <c r="H411" s="311">
        <v>249.0</v>
      </c>
      <c r="I411" s="312"/>
      <c r="J411" s="313">
        <v>42.0</v>
      </c>
      <c r="K411" s="314">
        <f t="shared" si="45"/>
        <v>0.1404682274</v>
      </c>
      <c r="L411" s="315">
        <f t="shared" si="46"/>
        <v>-42</v>
      </c>
      <c r="M411" s="316">
        <f t="shared" si="47"/>
        <v>-1</v>
      </c>
      <c r="N411" s="331"/>
      <c r="O411" s="318"/>
      <c r="P411" s="318"/>
      <c r="Q411" s="319"/>
      <c r="R411" s="311"/>
    </row>
    <row r="412" ht="14.25" customHeight="1" outlineLevel="1">
      <c r="E412" s="309" t="s">
        <v>509</v>
      </c>
      <c r="F412" s="337">
        <v>500.0</v>
      </c>
      <c r="G412" s="311">
        <v>329.0</v>
      </c>
      <c r="H412" s="311">
        <v>259.0</v>
      </c>
      <c r="I412" s="312"/>
      <c r="J412" s="313">
        <v>54.0</v>
      </c>
      <c r="K412" s="314">
        <f t="shared" si="45"/>
        <v>0.1641337386</v>
      </c>
      <c r="L412" s="315">
        <f t="shared" si="46"/>
        <v>-54</v>
      </c>
      <c r="M412" s="316">
        <f t="shared" si="47"/>
        <v>-1</v>
      </c>
      <c r="N412" s="331"/>
      <c r="O412" s="318"/>
      <c r="P412" s="318"/>
      <c r="Q412" s="319"/>
      <c r="R412" s="311"/>
    </row>
    <row r="413" ht="14.25" customHeight="1" outlineLevel="1">
      <c r="E413" s="309" t="s">
        <v>510</v>
      </c>
      <c r="F413" s="337">
        <v>500.0</v>
      </c>
      <c r="G413" s="311">
        <v>329.0</v>
      </c>
      <c r="H413" s="311">
        <v>289.0</v>
      </c>
      <c r="I413" s="312"/>
      <c r="J413" s="313">
        <v>43.0</v>
      </c>
      <c r="K413" s="314">
        <f t="shared" si="45"/>
        <v>0.1306990881</v>
      </c>
      <c r="L413" s="315">
        <f t="shared" si="46"/>
        <v>-43</v>
      </c>
      <c r="M413" s="316">
        <f t="shared" si="47"/>
        <v>-1</v>
      </c>
      <c r="N413" s="331"/>
      <c r="O413" s="318"/>
      <c r="P413" s="318"/>
      <c r="Q413" s="319"/>
      <c r="R413" s="311"/>
    </row>
    <row r="414" ht="14.25" customHeight="1" outlineLevel="1">
      <c r="A414" s="327" t="s">
        <v>651</v>
      </c>
      <c r="B414" s="327" t="s">
        <v>652</v>
      </c>
      <c r="C414" s="327" t="s">
        <v>653</v>
      </c>
      <c r="D414" s="327" t="s">
        <v>654</v>
      </c>
      <c r="E414" s="309" t="s">
        <v>159</v>
      </c>
      <c r="F414" s="337">
        <v>300.0</v>
      </c>
      <c r="G414" s="301">
        <v>229.0</v>
      </c>
      <c r="H414" s="301">
        <v>219.0</v>
      </c>
      <c r="I414" s="312" t="str">
        <f>G414/R414</f>
        <v>#DIV/0!</v>
      </c>
      <c r="J414" s="313">
        <v>27.0</v>
      </c>
      <c r="K414" s="314">
        <f t="shared" si="45"/>
        <v>0.1179039301</v>
      </c>
      <c r="L414" s="315">
        <f t="shared" si="46"/>
        <v>-27</v>
      </c>
      <c r="M414" s="316">
        <f t="shared" si="47"/>
        <v>-1</v>
      </c>
      <c r="N414" s="331"/>
      <c r="O414" s="318" t="s">
        <v>112</v>
      </c>
      <c r="P414" s="318" t="s">
        <v>112</v>
      </c>
      <c r="Q414" s="300"/>
      <c r="R414" s="301"/>
    </row>
    <row r="415" ht="14.25" customHeight="1" outlineLevel="1">
      <c r="E415" s="309" t="s">
        <v>160</v>
      </c>
      <c r="F415" s="337">
        <v>300.0</v>
      </c>
      <c r="G415" s="301">
        <v>229.0</v>
      </c>
      <c r="H415" s="301">
        <v>199.0</v>
      </c>
      <c r="I415" s="312"/>
      <c r="J415" s="313">
        <v>29.0</v>
      </c>
      <c r="K415" s="314">
        <f t="shared" si="45"/>
        <v>0.1266375546</v>
      </c>
      <c r="L415" s="315">
        <f t="shared" si="46"/>
        <v>-29</v>
      </c>
      <c r="M415" s="316">
        <f t="shared" si="47"/>
        <v>-1</v>
      </c>
      <c r="N415" s="331"/>
      <c r="O415" s="318"/>
      <c r="P415" s="318"/>
      <c r="Q415" s="300"/>
      <c r="R415" s="301"/>
    </row>
    <row r="416" ht="14.25" customHeight="1" outlineLevel="1">
      <c r="E416" s="309" t="s">
        <v>509</v>
      </c>
      <c r="F416" s="337">
        <v>300.0</v>
      </c>
      <c r="G416" s="301">
        <v>239.0</v>
      </c>
      <c r="H416" s="301">
        <v>219.0</v>
      </c>
      <c r="I416" s="312"/>
      <c r="J416" s="313">
        <v>37.0</v>
      </c>
      <c r="K416" s="314">
        <f t="shared" si="45"/>
        <v>0.1548117155</v>
      </c>
      <c r="L416" s="315">
        <f t="shared" si="46"/>
        <v>-37</v>
      </c>
      <c r="M416" s="316">
        <f t="shared" si="47"/>
        <v>-1</v>
      </c>
      <c r="N416" s="331"/>
      <c r="O416" s="318"/>
      <c r="P416" s="318"/>
      <c r="Q416" s="300"/>
      <c r="R416" s="301"/>
    </row>
    <row r="417" ht="14.25" customHeight="1" outlineLevel="1">
      <c r="E417" s="309" t="s">
        <v>510</v>
      </c>
      <c r="F417" s="337">
        <v>300.0</v>
      </c>
      <c r="G417" s="301">
        <v>239.0</v>
      </c>
      <c r="H417" s="301">
        <v>209.0</v>
      </c>
      <c r="I417" s="312"/>
      <c r="J417" s="313">
        <v>27.0</v>
      </c>
      <c r="K417" s="314">
        <f t="shared" si="45"/>
        <v>0.1129707113</v>
      </c>
      <c r="L417" s="315">
        <f t="shared" si="46"/>
        <v>-27</v>
      </c>
      <c r="M417" s="316">
        <f t="shared" si="47"/>
        <v>-1</v>
      </c>
      <c r="N417" s="331"/>
      <c r="O417" s="318"/>
      <c r="P417" s="318"/>
      <c r="Q417" s="300"/>
      <c r="R417" s="301"/>
    </row>
    <row r="418" ht="14.25" customHeight="1" outlineLevel="1">
      <c r="A418" s="327" t="s">
        <v>651</v>
      </c>
      <c r="B418" s="327" t="s">
        <v>652</v>
      </c>
      <c r="C418" s="327" t="s">
        <v>653</v>
      </c>
      <c r="D418" s="327" t="s">
        <v>654</v>
      </c>
      <c r="E418" s="309" t="s">
        <v>159</v>
      </c>
      <c r="F418" s="339">
        <v>500.0</v>
      </c>
      <c r="G418" s="311">
        <v>299.0</v>
      </c>
      <c r="H418" s="311">
        <v>299.0</v>
      </c>
      <c r="I418" s="312" t="str">
        <f>G418/R418</f>
        <v>#DIV/0!</v>
      </c>
      <c r="J418" s="313">
        <v>46.0</v>
      </c>
      <c r="K418" s="314">
        <f t="shared" si="45"/>
        <v>0.1538461538</v>
      </c>
      <c r="L418" s="315">
        <f t="shared" si="46"/>
        <v>-46</v>
      </c>
      <c r="M418" s="316">
        <f t="shared" si="47"/>
        <v>-1</v>
      </c>
      <c r="N418" s="317"/>
      <c r="O418" s="318" t="s">
        <v>112</v>
      </c>
      <c r="P418" s="318" t="s">
        <v>112</v>
      </c>
      <c r="Q418" s="319"/>
      <c r="R418" s="311"/>
    </row>
    <row r="419" ht="14.25" customHeight="1" outlineLevel="1">
      <c r="E419" s="309" t="s">
        <v>160</v>
      </c>
      <c r="F419" s="339">
        <v>500.0</v>
      </c>
      <c r="G419" s="311">
        <v>299.0</v>
      </c>
      <c r="H419" s="311">
        <v>289.0</v>
      </c>
      <c r="I419" s="312"/>
      <c r="J419" s="313">
        <v>48.0</v>
      </c>
      <c r="K419" s="314">
        <f t="shared" si="45"/>
        <v>0.1605351171</v>
      </c>
      <c r="L419" s="315">
        <f t="shared" si="46"/>
        <v>-48</v>
      </c>
      <c r="M419" s="316">
        <f t="shared" si="47"/>
        <v>-1</v>
      </c>
      <c r="N419" s="317"/>
      <c r="O419" s="318"/>
      <c r="P419" s="318"/>
      <c r="Q419" s="319"/>
      <c r="R419" s="311"/>
    </row>
    <row r="420" ht="14.25" customHeight="1" outlineLevel="1">
      <c r="E420" s="333" t="s">
        <v>509</v>
      </c>
      <c r="F420" s="339">
        <v>500.0</v>
      </c>
      <c r="G420" s="334">
        <v>329.0</v>
      </c>
      <c r="H420" s="334">
        <v>299.0</v>
      </c>
      <c r="I420" s="286"/>
      <c r="J420" s="335">
        <v>63.0</v>
      </c>
      <c r="K420" s="332">
        <f t="shared" si="45"/>
        <v>0.1914893617</v>
      </c>
      <c r="L420" s="319">
        <f t="shared" si="46"/>
        <v>-63</v>
      </c>
      <c r="M420" s="332">
        <f t="shared" si="47"/>
        <v>-1</v>
      </c>
      <c r="N420" s="331"/>
      <c r="O420" s="285"/>
      <c r="P420" s="285"/>
      <c r="Q420" s="319"/>
      <c r="R420" s="334"/>
    </row>
    <row r="421" ht="14.25" customHeight="1" outlineLevel="1">
      <c r="E421" s="333" t="s">
        <v>510</v>
      </c>
      <c r="F421" s="339">
        <v>500.0</v>
      </c>
      <c r="G421" s="334">
        <v>329.0</v>
      </c>
      <c r="H421" s="334">
        <v>289.0</v>
      </c>
      <c r="I421" s="286"/>
      <c r="J421" s="335">
        <v>50.0</v>
      </c>
      <c r="K421" s="332">
        <f t="shared" si="45"/>
        <v>0.1519756839</v>
      </c>
      <c r="L421" s="319">
        <f t="shared" si="46"/>
        <v>-50</v>
      </c>
      <c r="M421" s="332">
        <f t="shared" si="47"/>
        <v>-1</v>
      </c>
      <c r="N421" s="331"/>
      <c r="O421" s="285"/>
      <c r="P421" s="285"/>
      <c r="Q421" s="319"/>
      <c r="R421" s="334"/>
    </row>
    <row r="422" ht="14.25" customHeight="1" outlineLevel="1">
      <c r="A422" s="327" t="s">
        <v>655</v>
      </c>
      <c r="B422" s="327" t="s">
        <v>656</v>
      </c>
      <c r="C422" s="327" t="s">
        <v>657</v>
      </c>
      <c r="D422" s="327" t="s">
        <v>658</v>
      </c>
      <c r="E422" s="333" t="s">
        <v>159</v>
      </c>
      <c r="F422" s="339">
        <v>300.0</v>
      </c>
      <c r="G422" s="334">
        <v>289.0</v>
      </c>
      <c r="H422" s="334">
        <v>269.0</v>
      </c>
      <c r="I422" s="286" t="str">
        <f>G422/R422</f>
        <v>#DIV/0!</v>
      </c>
      <c r="J422" s="335">
        <v>58.0</v>
      </c>
      <c r="K422" s="332">
        <f t="shared" si="45"/>
        <v>0.2006920415</v>
      </c>
      <c r="L422" s="319">
        <f t="shared" si="46"/>
        <v>-58</v>
      </c>
      <c r="M422" s="332">
        <f t="shared" si="47"/>
        <v>-1</v>
      </c>
      <c r="N422" s="331"/>
      <c r="O422" s="285" t="s">
        <v>112</v>
      </c>
      <c r="P422" s="285" t="s">
        <v>112</v>
      </c>
      <c r="Q422" s="319"/>
      <c r="R422" s="334"/>
    </row>
    <row r="423" ht="14.25" customHeight="1" outlineLevel="1">
      <c r="E423" s="333" t="s">
        <v>160</v>
      </c>
      <c r="F423" s="339">
        <v>300.0</v>
      </c>
      <c r="G423" s="334">
        <v>289.0</v>
      </c>
      <c r="H423" s="334">
        <v>259.0</v>
      </c>
      <c r="I423" s="286"/>
      <c r="J423" s="335">
        <v>79.0</v>
      </c>
      <c r="K423" s="332">
        <f t="shared" si="45"/>
        <v>0.2733564014</v>
      </c>
      <c r="L423" s="319">
        <f t="shared" si="46"/>
        <v>-79</v>
      </c>
      <c r="M423" s="332">
        <f t="shared" si="47"/>
        <v>-1</v>
      </c>
      <c r="N423" s="331"/>
      <c r="O423" s="285"/>
      <c r="P423" s="285"/>
      <c r="Q423" s="319"/>
      <c r="R423" s="334"/>
    </row>
    <row r="424" ht="14.25" customHeight="1" outlineLevel="1">
      <c r="E424" s="333" t="s">
        <v>509</v>
      </c>
      <c r="F424" s="339">
        <v>300.0</v>
      </c>
      <c r="G424" s="334">
        <v>299.0</v>
      </c>
      <c r="H424" s="334">
        <v>269.0</v>
      </c>
      <c r="I424" s="286"/>
      <c r="J424" s="335">
        <v>56.0</v>
      </c>
      <c r="K424" s="332">
        <f t="shared" si="45"/>
        <v>0.1872909699</v>
      </c>
      <c r="L424" s="319">
        <f t="shared" si="46"/>
        <v>-56</v>
      </c>
      <c r="M424" s="332">
        <f t="shared" si="47"/>
        <v>-1</v>
      </c>
      <c r="N424" s="331"/>
      <c r="O424" s="285"/>
      <c r="P424" s="285"/>
      <c r="Q424" s="319"/>
      <c r="R424" s="334"/>
    </row>
    <row r="425" ht="14.25" customHeight="1" outlineLevel="1">
      <c r="E425" s="333" t="s">
        <v>510</v>
      </c>
      <c r="F425" s="339">
        <v>300.0</v>
      </c>
      <c r="G425" s="334">
        <v>299.0</v>
      </c>
      <c r="H425" s="334">
        <v>269.0</v>
      </c>
      <c r="I425" s="286"/>
      <c r="J425" s="335">
        <v>60.0</v>
      </c>
      <c r="K425" s="332">
        <f t="shared" si="45"/>
        <v>0.2006688963</v>
      </c>
      <c r="L425" s="319">
        <f t="shared" si="46"/>
        <v>-60</v>
      </c>
      <c r="M425" s="332">
        <f t="shared" si="47"/>
        <v>-1</v>
      </c>
      <c r="N425" s="331"/>
      <c r="O425" s="285"/>
      <c r="P425" s="285"/>
      <c r="Q425" s="319"/>
      <c r="R425" s="334"/>
    </row>
    <row r="426" ht="14.25" customHeight="1" outlineLevel="1">
      <c r="B426" s="327" t="s">
        <v>659</v>
      </c>
      <c r="C426" s="327"/>
      <c r="D426" s="327" t="s">
        <v>658</v>
      </c>
      <c r="E426" s="333" t="s">
        <v>114</v>
      </c>
      <c r="F426" s="339">
        <v>300.0</v>
      </c>
      <c r="G426" s="334">
        <v>379.0</v>
      </c>
      <c r="H426" s="334"/>
      <c r="I426" s="286"/>
      <c r="J426" s="335">
        <v>60.0</v>
      </c>
      <c r="K426" s="332">
        <f t="shared" si="45"/>
        <v>0.1583113456</v>
      </c>
      <c r="L426" s="319">
        <f t="shared" si="46"/>
        <v>-60</v>
      </c>
      <c r="M426" s="332">
        <f t="shared" si="47"/>
        <v>-1</v>
      </c>
      <c r="N426" s="331"/>
      <c r="O426" s="285"/>
      <c r="P426" s="285"/>
      <c r="Q426" s="319"/>
      <c r="R426" s="334"/>
    </row>
    <row r="427" ht="14.25" customHeight="1" outlineLevel="1">
      <c r="A427" s="327" t="s">
        <v>655</v>
      </c>
      <c r="B427" s="327" t="s">
        <v>656</v>
      </c>
      <c r="C427" s="327" t="s">
        <v>657</v>
      </c>
      <c r="D427" s="327" t="s">
        <v>658</v>
      </c>
      <c r="E427" s="333" t="s">
        <v>159</v>
      </c>
      <c r="F427" s="339">
        <v>500.0</v>
      </c>
      <c r="G427" s="334">
        <v>449.0</v>
      </c>
      <c r="H427" s="334">
        <v>419.0</v>
      </c>
      <c r="I427" s="286" t="str">
        <f>G427/R427</f>
        <v>#DIV/0!</v>
      </c>
      <c r="J427" s="335">
        <v>96.0</v>
      </c>
      <c r="K427" s="332">
        <f t="shared" si="45"/>
        <v>0.2138084633</v>
      </c>
      <c r="L427" s="319">
        <f t="shared" si="46"/>
        <v>-96</v>
      </c>
      <c r="M427" s="332">
        <f t="shared" si="47"/>
        <v>-1</v>
      </c>
      <c r="N427" s="331"/>
      <c r="O427" s="285" t="s">
        <v>112</v>
      </c>
      <c r="P427" s="285" t="s">
        <v>112</v>
      </c>
      <c r="Q427" s="319"/>
      <c r="R427" s="334"/>
    </row>
    <row r="428" ht="14.25" customHeight="1" outlineLevel="1">
      <c r="E428" s="333" t="s">
        <v>160</v>
      </c>
      <c r="F428" s="339">
        <v>500.0</v>
      </c>
      <c r="G428" s="334">
        <v>449.0</v>
      </c>
      <c r="H428" s="334">
        <v>399.0</v>
      </c>
      <c r="I428" s="286"/>
      <c r="J428" s="335">
        <v>132.0</v>
      </c>
      <c r="K428" s="332">
        <f t="shared" si="45"/>
        <v>0.293986637</v>
      </c>
      <c r="L428" s="319">
        <f t="shared" si="46"/>
        <v>-132</v>
      </c>
      <c r="M428" s="332">
        <f t="shared" si="47"/>
        <v>-1</v>
      </c>
      <c r="N428" s="331"/>
      <c r="O428" s="285"/>
      <c r="P428" s="285"/>
      <c r="Q428" s="319"/>
      <c r="R428" s="334"/>
    </row>
    <row r="429" ht="14.25" customHeight="1" outlineLevel="1">
      <c r="E429" s="333" t="s">
        <v>509</v>
      </c>
      <c r="F429" s="339">
        <v>500.0</v>
      </c>
      <c r="G429" s="334">
        <v>469.0</v>
      </c>
      <c r="H429" s="334">
        <v>429.0</v>
      </c>
      <c r="I429" s="286"/>
      <c r="J429" s="335">
        <v>94.0</v>
      </c>
      <c r="K429" s="332">
        <f t="shared" si="45"/>
        <v>0.2004264392</v>
      </c>
      <c r="L429" s="319">
        <f t="shared" si="46"/>
        <v>-94</v>
      </c>
      <c r="M429" s="332">
        <f t="shared" si="47"/>
        <v>-1</v>
      </c>
      <c r="N429" s="331"/>
      <c r="O429" s="285"/>
      <c r="P429" s="285"/>
      <c r="Q429" s="319"/>
      <c r="R429" s="334"/>
    </row>
    <row r="430" ht="14.25" customHeight="1" outlineLevel="1">
      <c r="E430" s="333" t="s">
        <v>510</v>
      </c>
      <c r="F430" s="339">
        <v>500.0</v>
      </c>
      <c r="G430" s="334">
        <v>469.0</v>
      </c>
      <c r="H430" s="334">
        <v>429.0</v>
      </c>
      <c r="I430" s="286"/>
      <c r="J430" s="335">
        <v>98.0</v>
      </c>
      <c r="K430" s="332">
        <f t="shared" si="45"/>
        <v>0.2089552239</v>
      </c>
      <c r="L430" s="319">
        <f t="shared" si="46"/>
        <v>-98</v>
      </c>
      <c r="M430" s="332">
        <f t="shared" si="47"/>
        <v>-1</v>
      </c>
      <c r="N430" s="331"/>
      <c r="O430" s="285"/>
      <c r="P430" s="285"/>
      <c r="Q430" s="319"/>
      <c r="R430" s="334"/>
    </row>
    <row r="431" ht="14.25" customHeight="1" outlineLevel="1">
      <c r="B431" s="327"/>
      <c r="C431" s="327"/>
      <c r="D431" s="327"/>
      <c r="E431" s="333" t="s">
        <v>114</v>
      </c>
      <c r="F431" s="339">
        <v>500.0</v>
      </c>
      <c r="G431" s="334">
        <v>559.0</v>
      </c>
      <c r="H431" s="334"/>
      <c r="I431" s="286"/>
      <c r="J431" s="335">
        <v>100.0</v>
      </c>
      <c r="K431" s="332">
        <f t="shared" si="45"/>
        <v>0.1788908766</v>
      </c>
      <c r="L431" s="319">
        <f t="shared" si="46"/>
        <v>-100</v>
      </c>
      <c r="M431" s="332">
        <f t="shared" si="47"/>
        <v>-1</v>
      </c>
      <c r="N431" s="331"/>
      <c r="O431" s="285"/>
      <c r="P431" s="285"/>
      <c r="Q431" s="319"/>
      <c r="R431" s="334"/>
    </row>
    <row r="432" ht="14.25" customHeight="1" outlineLevel="1">
      <c r="A432" s="327" t="s">
        <v>660</v>
      </c>
      <c r="B432" s="327" t="s">
        <v>661</v>
      </c>
      <c r="C432" s="327" t="s">
        <v>662</v>
      </c>
      <c r="D432" s="327" t="s">
        <v>663</v>
      </c>
      <c r="E432" s="333" t="s">
        <v>159</v>
      </c>
      <c r="F432" s="339">
        <v>300.0</v>
      </c>
      <c r="G432" s="341">
        <v>279.0</v>
      </c>
      <c r="H432" s="341">
        <v>249.0</v>
      </c>
      <c r="I432" s="286" t="str">
        <f>G432/R432</f>
        <v>#DIV/0!</v>
      </c>
      <c r="J432" s="335">
        <v>45.0</v>
      </c>
      <c r="K432" s="332">
        <f t="shared" si="45"/>
        <v>0.1612903226</v>
      </c>
      <c r="L432" s="319">
        <f t="shared" si="46"/>
        <v>-45</v>
      </c>
      <c r="M432" s="332">
        <f t="shared" si="47"/>
        <v>-1</v>
      </c>
      <c r="N432" s="331"/>
      <c r="O432" s="285" t="s">
        <v>112</v>
      </c>
      <c r="P432" s="285" t="s">
        <v>112</v>
      </c>
      <c r="Q432" s="300"/>
      <c r="R432" s="341"/>
    </row>
    <row r="433" ht="14.25" customHeight="1" outlineLevel="1">
      <c r="E433" s="333" t="s">
        <v>160</v>
      </c>
      <c r="F433" s="339">
        <v>300.0</v>
      </c>
      <c r="G433" s="341">
        <v>279.0</v>
      </c>
      <c r="H433" s="341">
        <v>239.0</v>
      </c>
      <c r="I433" s="286"/>
      <c r="J433" s="335">
        <v>57.0</v>
      </c>
      <c r="K433" s="332">
        <f t="shared" si="45"/>
        <v>0.2043010753</v>
      </c>
      <c r="L433" s="319">
        <f t="shared" si="46"/>
        <v>-57</v>
      </c>
      <c r="M433" s="332">
        <f t="shared" si="47"/>
        <v>-1</v>
      </c>
      <c r="N433" s="331"/>
      <c r="O433" s="285"/>
      <c r="P433" s="285"/>
      <c r="Q433" s="300"/>
      <c r="R433" s="341"/>
    </row>
    <row r="434" ht="14.25" customHeight="1" outlineLevel="1">
      <c r="E434" s="333" t="s">
        <v>509</v>
      </c>
      <c r="F434" s="339">
        <v>300.0</v>
      </c>
      <c r="G434" s="341">
        <v>289.0</v>
      </c>
      <c r="H434" s="341">
        <v>249.0</v>
      </c>
      <c r="I434" s="286"/>
      <c r="J434" s="335">
        <v>41.0</v>
      </c>
      <c r="K434" s="332">
        <f t="shared" si="45"/>
        <v>0.1418685121</v>
      </c>
      <c r="L434" s="319">
        <f t="shared" si="46"/>
        <v>-41</v>
      </c>
      <c r="M434" s="332">
        <f t="shared" si="47"/>
        <v>-1</v>
      </c>
      <c r="N434" s="331"/>
      <c r="O434" s="285"/>
      <c r="P434" s="285"/>
      <c r="Q434" s="300"/>
      <c r="R434" s="341"/>
    </row>
    <row r="435" ht="14.25" customHeight="1" outlineLevel="1">
      <c r="E435" s="333" t="s">
        <v>510</v>
      </c>
      <c r="F435" s="339">
        <v>300.0</v>
      </c>
      <c r="G435" s="341">
        <v>289.0</v>
      </c>
      <c r="H435" s="341">
        <v>249.0</v>
      </c>
      <c r="I435" s="286"/>
      <c r="J435" s="335">
        <v>46.0</v>
      </c>
      <c r="K435" s="332">
        <f t="shared" si="45"/>
        <v>0.1591695502</v>
      </c>
      <c r="L435" s="319">
        <f t="shared" si="46"/>
        <v>-46</v>
      </c>
      <c r="M435" s="332">
        <f t="shared" si="47"/>
        <v>-1</v>
      </c>
      <c r="N435" s="331"/>
      <c r="O435" s="285"/>
      <c r="P435" s="285"/>
      <c r="Q435" s="300"/>
      <c r="R435" s="341"/>
    </row>
    <row r="436" ht="14.25" customHeight="1" outlineLevel="1">
      <c r="A436" s="327" t="s">
        <v>660</v>
      </c>
      <c r="B436" s="327" t="s">
        <v>661</v>
      </c>
      <c r="C436" s="327" t="s">
        <v>662</v>
      </c>
      <c r="D436" s="327" t="s">
        <v>663</v>
      </c>
      <c r="E436" s="333" t="s">
        <v>159</v>
      </c>
      <c r="F436" s="339">
        <v>500.0</v>
      </c>
      <c r="G436" s="334">
        <v>389.0</v>
      </c>
      <c r="H436" s="334">
        <v>359.0</v>
      </c>
      <c r="I436" s="286" t="str">
        <f>G436/R436</f>
        <v>#DIV/0!</v>
      </c>
      <c r="J436" s="335">
        <v>75.0</v>
      </c>
      <c r="K436" s="332">
        <f t="shared" si="45"/>
        <v>0.1928020566</v>
      </c>
      <c r="L436" s="319">
        <f t="shared" si="46"/>
        <v>-75</v>
      </c>
      <c r="M436" s="332">
        <f t="shared" si="47"/>
        <v>-1</v>
      </c>
      <c r="N436" s="331"/>
      <c r="O436" s="285" t="s">
        <v>112</v>
      </c>
      <c r="P436" s="285" t="s">
        <v>112</v>
      </c>
      <c r="Q436" s="319"/>
      <c r="R436" s="334"/>
    </row>
    <row r="437" ht="14.25" customHeight="1" outlineLevel="1">
      <c r="E437" s="333" t="s">
        <v>160</v>
      </c>
      <c r="F437" s="339">
        <v>500.0</v>
      </c>
      <c r="G437" s="334">
        <v>389.0</v>
      </c>
      <c r="H437" s="334">
        <v>349.0</v>
      </c>
      <c r="I437" s="286"/>
      <c r="J437" s="335">
        <v>96.0</v>
      </c>
      <c r="K437" s="332">
        <f t="shared" si="45"/>
        <v>0.2467866324</v>
      </c>
      <c r="L437" s="319">
        <f t="shared" si="46"/>
        <v>-96</v>
      </c>
      <c r="M437" s="332">
        <f t="shared" si="47"/>
        <v>-1</v>
      </c>
      <c r="N437" s="331"/>
      <c r="O437" s="285"/>
      <c r="P437" s="285"/>
      <c r="Q437" s="319"/>
      <c r="R437" s="334"/>
    </row>
    <row r="438" ht="14.25" customHeight="1" outlineLevel="1">
      <c r="E438" s="309" t="s">
        <v>664</v>
      </c>
      <c r="F438" s="339">
        <v>500.0</v>
      </c>
      <c r="G438" s="311">
        <v>399.0</v>
      </c>
      <c r="H438" s="311">
        <v>359.0</v>
      </c>
      <c r="I438" s="312"/>
      <c r="J438" s="313">
        <v>70.0</v>
      </c>
      <c r="K438" s="314">
        <f t="shared" si="45"/>
        <v>0.1754385965</v>
      </c>
      <c r="L438" s="315">
        <f t="shared" si="46"/>
        <v>-70</v>
      </c>
      <c r="M438" s="316">
        <f t="shared" si="47"/>
        <v>-1</v>
      </c>
      <c r="N438" s="317"/>
      <c r="O438" s="318"/>
      <c r="P438" s="318"/>
      <c r="Q438" s="319"/>
      <c r="R438" s="311"/>
    </row>
    <row r="439" ht="14.25" customHeight="1" outlineLevel="1">
      <c r="E439" s="333" t="s">
        <v>510</v>
      </c>
      <c r="F439" s="339">
        <v>500.0</v>
      </c>
      <c r="G439" s="334">
        <v>399.0</v>
      </c>
      <c r="H439" s="334">
        <v>359.0</v>
      </c>
      <c r="I439" s="286"/>
      <c r="J439" s="335">
        <v>76.0</v>
      </c>
      <c r="K439" s="332">
        <f t="shared" si="45"/>
        <v>0.1904761905</v>
      </c>
      <c r="L439" s="319">
        <f t="shared" si="46"/>
        <v>-76</v>
      </c>
      <c r="M439" s="332">
        <f t="shared" si="47"/>
        <v>-1</v>
      </c>
      <c r="N439" s="331"/>
      <c r="O439" s="285"/>
      <c r="P439" s="285"/>
      <c r="Q439" s="319"/>
      <c r="R439" s="334"/>
    </row>
    <row r="440" ht="14.25" customHeight="1" outlineLevel="1">
      <c r="A440" s="327" t="s">
        <v>665</v>
      </c>
      <c r="B440" s="327" t="s">
        <v>666</v>
      </c>
      <c r="C440" s="327"/>
      <c r="D440" s="327" t="s">
        <v>667</v>
      </c>
      <c r="E440" s="333" t="s">
        <v>114</v>
      </c>
      <c r="F440" s="339">
        <v>300.0</v>
      </c>
      <c r="G440" s="334">
        <v>379.0</v>
      </c>
      <c r="H440" s="334"/>
      <c r="I440" s="286"/>
      <c r="J440" s="335">
        <v>65.0</v>
      </c>
      <c r="K440" s="332">
        <f t="shared" si="45"/>
        <v>0.1715039578</v>
      </c>
      <c r="L440" s="319">
        <f t="shared" si="46"/>
        <v>-65</v>
      </c>
      <c r="M440" s="332">
        <f t="shared" si="47"/>
        <v>-1</v>
      </c>
      <c r="N440" s="331"/>
      <c r="O440" s="285"/>
      <c r="P440" s="285"/>
      <c r="Q440" s="319"/>
      <c r="R440" s="334"/>
    </row>
    <row r="441" ht="14.25" customHeight="1" outlineLevel="1">
      <c r="A441" s="327" t="s">
        <v>665</v>
      </c>
      <c r="B441" s="327"/>
      <c r="C441" s="327"/>
      <c r="E441" s="333" t="s">
        <v>114</v>
      </c>
      <c r="F441" s="339">
        <v>500.0</v>
      </c>
      <c r="G441" s="334">
        <v>559.0</v>
      </c>
      <c r="H441" s="334"/>
      <c r="I441" s="286"/>
      <c r="J441" s="335">
        <v>108.0</v>
      </c>
      <c r="K441" s="332">
        <f t="shared" si="45"/>
        <v>0.1932021467</v>
      </c>
      <c r="L441" s="319">
        <f t="shared" si="46"/>
        <v>-108</v>
      </c>
      <c r="M441" s="332">
        <f t="shared" si="47"/>
        <v>-1</v>
      </c>
      <c r="N441" s="331"/>
      <c r="O441" s="285"/>
      <c r="P441" s="285"/>
      <c r="Q441" s="319"/>
      <c r="R441" s="334"/>
    </row>
    <row r="442" ht="14.25" customHeight="1" outlineLevel="1">
      <c r="A442" s="327" t="s">
        <v>668</v>
      </c>
      <c r="B442" s="327" t="s">
        <v>669</v>
      </c>
      <c r="C442" s="327"/>
      <c r="D442" s="327" t="s">
        <v>670</v>
      </c>
      <c r="E442" s="333" t="s">
        <v>114</v>
      </c>
      <c r="F442" s="339">
        <v>300.0</v>
      </c>
      <c r="G442" s="334">
        <v>379.0</v>
      </c>
      <c r="H442" s="334"/>
      <c r="I442" s="286"/>
      <c r="J442" s="335">
        <v>57.0</v>
      </c>
      <c r="K442" s="332">
        <f t="shared" si="45"/>
        <v>0.1503957784</v>
      </c>
      <c r="L442" s="319">
        <f t="shared" si="46"/>
        <v>-57</v>
      </c>
      <c r="M442" s="332">
        <f t="shared" si="47"/>
        <v>-1</v>
      </c>
      <c r="N442" s="331"/>
      <c r="O442" s="285"/>
      <c r="P442" s="285"/>
      <c r="Q442" s="319"/>
      <c r="R442" s="334"/>
    </row>
    <row r="443" ht="14.25" customHeight="1" outlineLevel="1">
      <c r="A443" s="327" t="s">
        <v>668</v>
      </c>
      <c r="B443" s="327"/>
      <c r="C443" s="327"/>
      <c r="E443" s="333" t="s">
        <v>114</v>
      </c>
      <c r="F443" s="339">
        <v>500.0</v>
      </c>
      <c r="G443" s="334">
        <v>559.0</v>
      </c>
      <c r="H443" s="334"/>
      <c r="I443" s="286"/>
      <c r="J443" s="335">
        <v>95.0</v>
      </c>
      <c r="K443" s="332">
        <f t="shared" si="45"/>
        <v>0.1699463327</v>
      </c>
      <c r="L443" s="319">
        <f t="shared" si="46"/>
        <v>-95</v>
      </c>
      <c r="M443" s="332">
        <f t="shared" si="47"/>
        <v>-1</v>
      </c>
      <c r="N443" s="331"/>
      <c r="O443" s="285"/>
      <c r="P443" s="285"/>
      <c r="Q443" s="319"/>
      <c r="R443" s="334"/>
    </row>
    <row r="444" ht="14.25" customHeight="1" outlineLevel="1">
      <c r="A444" s="327" t="s">
        <v>671</v>
      </c>
      <c r="B444" s="327" t="s">
        <v>672</v>
      </c>
      <c r="C444" s="327"/>
      <c r="D444" s="327" t="s">
        <v>673</v>
      </c>
      <c r="E444" s="333" t="s">
        <v>114</v>
      </c>
      <c r="F444" s="339">
        <v>300.0</v>
      </c>
      <c r="G444" s="334">
        <v>399.0</v>
      </c>
      <c r="H444" s="334"/>
      <c r="I444" s="286"/>
      <c r="J444" s="335">
        <v>66.0</v>
      </c>
      <c r="K444" s="332">
        <f t="shared" si="45"/>
        <v>0.1654135338</v>
      </c>
      <c r="L444" s="319">
        <f t="shared" si="46"/>
        <v>-66</v>
      </c>
      <c r="M444" s="332">
        <f t="shared" si="47"/>
        <v>-1</v>
      </c>
      <c r="N444" s="331"/>
      <c r="O444" s="285"/>
      <c r="P444" s="285"/>
      <c r="Q444" s="319"/>
      <c r="R444" s="334"/>
    </row>
    <row r="445" ht="14.25" customHeight="1" outlineLevel="1">
      <c r="A445" s="327" t="s">
        <v>671</v>
      </c>
      <c r="B445" s="327"/>
      <c r="C445" s="327"/>
      <c r="E445" s="333" t="s">
        <v>114</v>
      </c>
      <c r="F445" s="339">
        <v>500.0</v>
      </c>
      <c r="G445" s="334">
        <v>589.0</v>
      </c>
      <c r="H445" s="334"/>
      <c r="I445" s="286"/>
      <c r="J445" s="335">
        <v>110.0</v>
      </c>
      <c r="K445" s="332">
        <f t="shared" si="45"/>
        <v>0.1867572156</v>
      </c>
      <c r="L445" s="319">
        <f t="shared" si="46"/>
        <v>-110</v>
      </c>
      <c r="M445" s="332">
        <f t="shared" si="47"/>
        <v>-1</v>
      </c>
      <c r="N445" s="331"/>
      <c r="O445" s="285"/>
      <c r="P445" s="285"/>
      <c r="Q445" s="319"/>
      <c r="R445" s="334"/>
    </row>
    <row r="446" ht="14.25" customHeight="1" outlineLevel="1">
      <c r="A446" s="327" t="s">
        <v>674</v>
      </c>
      <c r="B446" s="327" t="s">
        <v>675</v>
      </c>
      <c r="C446" s="327"/>
      <c r="D446" s="327" t="s">
        <v>676</v>
      </c>
      <c r="E446" s="333" t="s">
        <v>114</v>
      </c>
      <c r="F446" s="339">
        <v>300.0</v>
      </c>
      <c r="G446" s="334">
        <v>449.0</v>
      </c>
      <c r="H446" s="334"/>
      <c r="I446" s="286"/>
      <c r="J446" s="335">
        <v>93.0</v>
      </c>
      <c r="K446" s="332">
        <f t="shared" si="45"/>
        <v>0.2071269488</v>
      </c>
      <c r="L446" s="319">
        <f t="shared" si="46"/>
        <v>-93</v>
      </c>
      <c r="M446" s="332">
        <f t="shared" si="47"/>
        <v>-1</v>
      </c>
      <c r="N446" s="331"/>
      <c r="O446" s="285"/>
      <c r="P446" s="285"/>
      <c r="Q446" s="319"/>
      <c r="R446" s="334"/>
    </row>
    <row r="447" ht="14.25" customHeight="1" outlineLevel="1">
      <c r="A447" s="327" t="s">
        <v>674</v>
      </c>
      <c r="C447" s="327"/>
      <c r="E447" s="333" t="s">
        <v>114</v>
      </c>
      <c r="F447" s="339">
        <v>500.0</v>
      </c>
      <c r="G447" s="334">
        <v>749.0</v>
      </c>
      <c r="H447" s="334"/>
      <c r="I447" s="286"/>
      <c r="J447" s="335">
        <v>155.0</v>
      </c>
      <c r="K447" s="332">
        <f t="shared" si="45"/>
        <v>0.2069425901</v>
      </c>
      <c r="L447" s="319">
        <f t="shared" si="46"/>
        <v>-155</v>
      </c>
      <c r="M447" s="332">
        <f t="shared" si="47"/>
        <v>-1</v>
      </c>
      <c r="N447" s="331"/>
      <c r="O447" s="285"/>
      <c r="P447" s="285"/>
      <c r="Q447" s="319"/>
      <c r="R447" s="334"/>
    </row>
    <row r="448" ht="14.25" customHeight="1" outlineLevel="1">
      <c r="A448" s="327" t="s">
        <v>677</v>
      </c>
      <c r="B448" s="327" t="s">
        <v>678</v>
      </c>
      <c r="C448" s="327"/>
      <c r="D448" s="327" t="s">
        <v>679</v>
      </c>
      <c r="E448" s="333" t="s">
        <v>114</v>
      </c>
      <c r="F448" s="339">
        <v>300.0</v>
      </c>
      <c r="G448" s="334">
        <v>449.0</v>
      </c>
      <c r="H448" s="334"/>
      <c r="I448" s="286"/>
      <c r="J448" s="335">
        <v>96.0</v>
      </c>
      <c r="K448" s="332">
        <f t="shared" si="45"/>
        <v>0.2138084633</v>
      </c>
      <c r="L448" s="319">
        <f t="shared" si="46"/>
        <v>-96</v>
      </c>
      <c r="M448" s="332">
        <f t="shared" si="47"/>
        <v>-1</v>
      </c>
      <c r="N448" s="331"/>
      <c r="O448" s="285"/>
      <c r="P448" s="285"/>
      <c r="Q448" s="319"/>
      <c r="R448" s="334"/>
    </row>
    <row r="449" ht="14.25" customHeight="1" outlineLevel="1">
      <c r="A449" s="327" t="s">
        <v>677</v>
      </c>
      <c r="C449" s="327"/>
      <c r="E449" s="333" t="s">
        <v>114</v>
      </c>
      <c r="F449" s="339">
        <v>500.0</v>
      </c>
      <c r="G449" s="334">
        <v>749.0</v>
      </c>
      <c r="H449" s="334"/>
      <c r="I449" s="286"/>
      <c r="J449" s="335">
        <v>160.0</v>
      </c>
      <c r="K449" s="332">
        <f t="shared" si="45"/>
        <v>0.2136181575</v>
      </c>
      <c r="L449" s="319">
        <f t="shared" si="46"/>
        <v>-160</v>
      </c>
      <c r="M449" s="332">
        <f t="shared" si="47"/>
        <v>-1</v>
      </c>
      <c r="N449" s="331"/>
      <c r="O449" s="285"/>
      <c r="P449" s="285"/>
      <c r="Q449" s="319"/>
      <c r="R449" s="334"/>
    </row>
    <row r="450" ht="14.25" customHeight="1" outlineLevel="1">
      <c r="A450" s="327" t="s">
        <v>680</v>
      </c>
      <c r="B450" s="327" t="s">
        <v>681</v>
      </c>
      <c r="C450" s="327" t="s">
        <v>680</v>
      </c>
      <c r="D450" s="327" t="s">
        <v>682</v>
      </c>
      <c r="E450" s="333" t="s">
        <v>510</v>
      </c>
      <c r="F450" s="339">
        <v>300.0</v>
      </c>
      <c r="G450" s="334">
        <v>259.0</v>
      </c>
      <c r="H450" s="334">
        <v>219.0</v>
      </c>
      <c r="I450" s="286"/>
      <c r="J450" s="335">
        <v>32.0</v>
      </c>
      <c r="K450" s="332">
        <f t="shared" si="45"/>
        <v>0.1235521236</v>
      </c>
      <c r="L450" s="319">
        <f t="shared" si="46"/>
        <v>-32</v>
      </c>
      <c r="M450" s="332">
        <f t="shared" si="47"/>
        <v>-1</v>
      </c>
      <c r="N450" s="331"/>
      <c r="O450" s="285"/>
      <c r="P450" s="285"/>
      <c r="Q450" s="319"/>
      <c r="R450" s="334"/>
    </row>
    <row r="451" ht="14.25" customHeight="1" outlineLevel="1">
      <c r="E451" s="333" t="s">
        <v>510</v>
      </c>
      <c r="F451" s="339">
        <v>500.0</v>
      </c>
      <c r="G451" s="334">
        <v>349.0</v>
      </c>
      <c r="H451" s="334">
        <v>299.0</v>
      </c>
      <c r="I451" s="286"/>
      <c r="J451" s="335">
        <v>54.0</v>
      </c>
      <c r="K451" s="332">
        <f t="shared" si="45"/>
        <v>0.1547277937</v>
      </c>
      <c r="L451" s="319">
        <f t="shared" si="46"/>
        <v>-54</v>
      </c>
      <c r="M451" s="332">
        <f t="shared" si="47"/>
        <v>-1</v>
      </c>
      <c r="N451" s="331"/>
      <c r="O451" s="285"/>
      <c r="P451" s="285"/>
      <c r="Q451" s="319"/>
      <c r="R451" s="334"/>
    </row>
    <row r="452" ht="14.25" customHeight="1" outlineLevel="1">
      <c r="A452" s="288" t="s">
        <v>683</v>
      </c>
      <c r="B452" s="289"/>
      <c r="C452" s="288" t="s">
        <v>684</v>
      </c>
      <c r="D452" s="340"/>
      <c r="E452" s="322" t="s">
        <v>159</v>
      </c>
      <c r="F452" s="356"/>
      <c r="G452" s="357"/>
      <c r="H452" s="357"/>
      <c r="I452" s="324"/>
      <c r="J452" s="325"/>
      <c r="K452" s="297"/>
      <c r="L452" s="326"/>
      <c r="M452" s="297"/>
      <c r="N452" s="299"/>
      <c r="O452" s="304"/>
      <c r="P452" s="304"/>
      <c r="Q452" s="319"/>
      <c r="R452" s="357"/>
    </row>
    <row r="453" ht="14.25" customHeight="1" outlineLevel="1">
      <c r="B453" s="289"/>
      <c r="D453" s="340"/>
      <c r="E453" s="322" t="s">
        <v>160</v>
      </c>
      <c r="F453" s="356"/>
      <c r="G453" s="357"/>
      <c r="H453" s="357"/>
      <c r="I453" s="324"/>
      <c r="J453" s="325"/>
      <c r="K453" s="297"/>
      <c r="L453" s="326"/>
      <c r="M453" s="297"/>
      <c r="N453" s="299"/>
      <c r="O453" s="304"/>
      <c r="P453" s="304"/>
      <c r="Q453" s="319"/>
      <c r="R453" s="357"/>
    </row>
    <row r="454" ht="14.25" customHeight="1" outlineLevel="1">
      <c r="B454" s="289"/>
      <c r="D454" s="340"/>
      <c r="E454" s="322"/>
      <c r="F454" s="356"/>
      <c r="G454" s="357"/>
      <c r="H454" s="357"/>
      <c r="I454" s="324"/>
      <c r="J454" s="325"/>
      <c r="K454" s="297"/>
      <c r="L454" s="326"/>
      <c r="M454" s="297"/>
      <c r="N454" s="299"/>
      <c r="O454" s="304"/>
      <c r="P454" s="304"/>
      <c r="Q454" s="319"/>
      <c r="R454" s="357"/>
    </row>
    <row r="455" ht="14.25" customHeight="1" outlineLevel="1">
      <c r="B455" s="289"/>
      <c r="D455" s="340"/>
      <c r="E455" s="322" t="s">
        <v>509</v>
      </c>
      <c r="F455" s="356"/>
      <c r="G455" s="357"/>
      <c r="H455" s="357"/>
      <c r="I455" s="324"/>
      <c r="J455" s="325"/>
      <c r="K455" s="297"/>
      <c r="L455" s="326"/>
      <c r="M455" s="297"/>
      <c r="N455" s="299"/>
      <c r="O455" s="304"/>
      <c r="P455" s="304"/>
      <c r="Q455" s="319"/>
      <c r="R455" s="357"/>
    </row>
    <row r="456" ht="14.25" customHeight="1" outlineLevel="1">
      <c r="B456" s="289"/>
      <c r="D456" s="340"/>
      <c r="E456" s="322" t="s">
        <v>510</v>
      </c>
      <c r="F456" s="356"/>
      <c r="G456" s="357"/>
      <c r="H456" s="357"/>
      <c r="I456" s="324"/>
      <c r="J456" s="325"/>
      <c r="K456" s="297"/>
      <c r="L456" s="326"/>
      <c r="M456" s="297"/>
      <c r="N456" s="299"/>
      <c r="O456" s="304"/>
      <c r="P456" s="304"/>
      <c r="Q456" s="319"/>
      <c r="R456" s="357"/>
    </row>
    <row r="457" ht="14.25" customHeight="1" outlineLevel="1">
      <c r="B457" s="289"/>
      <c r="C457" s="288"/>
      <c r="D457" s="289"/>
      <c r="E457" s="322" t="s">
        <v>114</v>
      </c>
      <c r="F457" s="356"/>
      <c r="G457" s="357"/>
      <c r="H457" s="357"/>
      <c r="I457" s="324"/>
      <c r="J457" s="325"/>
      <c r="K457" s="297"/>
      <c r="L457" s="326"/>
      <c r="M457" s="297"/>
      <c r="N457" s="299"/>
      <c r="O457" s="304"/>
      <c r="P457" s="304"/>
      <c r="Q457" s="319"/>
      <c r="R457" s="357"/>
    </row>
    <row r="458" ht="14.25" customHeight="1" outlineLevel="1">
      <c r="A458" s="327" t="s">
        <v>685</v>
      </c>
      <c r="B458" s="327"/>
      <c r="C458" s="327" t="s">
        <v>685</v>
      </c>
      <c r="D458" s="327" t="s">
        <v>686</v>
      </c>
      <c r="E458" s="333" t="s">
        <v>160</v>
      </c>
      <c r="F458" s="339">
        <v>330.0</v>
      </c>
      <c r="G458" s="358">
        <v>319.0</v>
      </c>
      <c r="H458" s="358"/>
      <c r="I458" s="312"/>
      <c r="J458" s="313"/>
      <c r="K458" s="314"/>
      <c r="L458" s="315"/>
      <c r="M458" s="316"/>
      <c r="N458" s="317"/>
      <c r="O458" s="318"/>
      <c r="P458" s="318"/>
      <c r="Q458" s="359"/>
      <c r="R458" s="358"/>
    </row>
    <row r="459" ht="14.25" customHeight="1" outlineLevel="1">
      <c r="A459" s="327" t="s">
        <v>687</v>
      </c>
      <c r="B459" s="327" t="s">
        <v>688</v>
      </c>
      <c r="C459" s="327" t="s">
        <v>689</v>
      </c>
      <c r="D459" s="327" t="s">
        <v>690</v>
      </c>
      <c r="E459" s="333" t="s">
        <v>159</v>
      </c>
      <c r="F459" s="339">
        <v>445.0</v>
      </c>
      <c r="G459" s="358">
        <v>699.0</v>
      </c>
      <c r="H459" s="358">
        <v>599.0</v>
      </c>
      <c r="I459" s="312" t="str">
        <f>G459/R459</f>
        <v>#DIV/0!</v>
      </c>
      <c r="J459" s="313">
        <v>257.0</v>
      </c>
      <c r="K459" s="314">
        <f t="shared" ref="K459:K476" si="48">J459/G459</f>
        <v>0.3676680973</v>
      </c>
      <c r="L459" s="315">
        <f t="shared" ref="L459:L476" si="49">Q459-J459</f>
        <v>-257</v>
      </c>
      <c r="M459" s="316">
        <f t="shared" ref="M459:M476" si="50">Q459/J459-1</f>
        <v>-1</v>
      </c>
      <c r="N459" s="317"/>
      <c r="O459" s="318" t="s">
        <v>112</v>
      </c>
      <c r="P459" s="318" t="s">
        <v>112</v>
      </c>
      <c r="Q459" s="359"/>
      <c r="R459" s="358"/>
    </row>
    <row r="460" ht="14.25" customHeight="1" outlineLevel="1">
      <c r="E460" s="333" t="s">
        <v>509</v>
      </c>
      <c r="F460" s="339">
        <v>445.0</v>
      </c>
      <c r="G460" s="358">
        <v>699.0</v>
      </c>
      <c r="H460" s="358">
        <v>599.0</v>
      </c>
      <c r="I460" s="312"/>
      <c r="J460" s="313">
        <v>241.0</v>
      </c>
      <c r="K460" s="314">
        <f t="shared" si="48"/>
        <v>0.3447782546</v>
      </c>
      <c r="L460" s="315">
        <f t="shared" si="49"/>
        <v>-241</v>
      </c>
      <c r="M460" s="316">
        <f t="shared" si="50"/>
        <v>-1</v>
      </c>
      <c r="N460" s="317"/>
      <c r="O460" s="318"/>
      <c r="P460" s="318"/>
      <c r="Q460" s="359"/>
      <c r="R460" s="358"/>
    </row>
    <row r="461" ht="14.25" customHeight="1" outlineLevel="1">
      <c r="E461" s="360" t="s">
        <v>510</v>
      </c>
      <c r="F461" s="339">
        <v>445.0</v>
      </c>
      <c r="G461" s="358">
        <v>699.0</v>
      </c>
      <c r="H461" s="358">
        <v>599.0</v>
      </c>
      <c r="I461" s="312"/>
      <c r="J461" s="313">
        <v>225.0</v>
      </c>
      <c r="K461" s="314">
        <f t="shared" si="48"/>
        <v>0.321888412</v>
      </c>
      <c r="L461" s="315">
        <f t="shared" si="49"/>
        <v>-225</v>
      </c>
      <c r="M461" s="316">
        <f t="shared" si="50"/>
        <v>-1</v>
      </c>
      <c r="N461" s="317"/>
      <c r="O461" s="318"/>
      <c r="P461" s="318"/>
      <c r="Q461" s="359"/>
      <c r="R461" s="358"/>
    </row>
    <row r="462" ht="14.25" customHeight="1" outlineLevel="1">
      <c r="A462" s="327" t="s">
        <v>691</v>
      </c>
      <c r="B462" s="327" t="s">
        <v>692</v>
      </c>
      <c r="C462" s="327" t="s">
        <v>693</v>
      </c>
      <c r="D462" s="327" t="s">
        <v>694</v>
      </c>
      <c r="E462" s="333" t="s">
        <v>159</v>
      </c>
      <c r="F462" s="337">
        <v>500.0</v>
      </c>
      <c r="G462" s="301">
        <v>339.0</v>
      </c>
      <c r="H462" s="301">
        <v>319.0</v>
      </c>
      <c r="I462" s="312" t="str">
        <f t="shared" ref="I462:I463" si="51">G462/R462</f>
        <v>#DIV/0!</v>
      </c>
      <c r="J462" s="313">
        <v>66.0</v>
      </c>
      <c r="K462" s="314">
        <f t="shared" si="48"/>
        <v>0.1946902655</v>
      </c>
      <c r="L462" s="315">
        <f t="shared" si="49"/>
        <v>-66</v>
      </c>
      <c r="M462" s="316">
        <f t="shared" si="50"/>
        <v>-1</v>
      </c>
      <c r="N462" s="331"/>
      <c r="O462" s="318" t="s">
        <v>112</v>
      </c>
      <c r="P462" s="318" t="s">
        <v>112</v>
      </c>
      <c r="Q462" s="300"/>
      <c r="R462" s="301"/>
    </row>
    <row r="463" ht="14.25" customHeight="1" outlineLevel="1">
      <c r="A463" s="327" t="s">
        <v>695</v>
      </c>
      <c r="B463" s="327" t="s">
        <v>696</v>
      </c>
      <c r="C463" s="327" t="s">
        <v>697</v>
      </c>
      <c r="D463" s="327" t="s">
        <v>698</v>
      </c>
      <c r="E463" s="333" t="s">
        <v>159</v>
      </c>
      <c r="F463" s="337">
        <v>450.0</v>
      </c>
      <c r="G463" s="311">
        <v>399.0</v>
      </c>
      <c r="H463" s="311">
        <v>369.0</v>
      </c>
      <c r="I463" s="312" t="str">
        <f t="shared" si="51"/>
        <v>#DIV/0!</v>
      </c>
      <c r="J463" s="313">
        <v>102.0</v>
      </c>
      <c r="K463" s="314">
        <f t="shared" si="48"/>
        <v>0.2556390977</v>
      </c>
      <c r="L463" s="315">
        <f t="shared" si="49"/>
        <v>-102</v>
      </c>
      <c r="M463" s="316">
        <f t="shared" si="50"/>
        <v>-1</v>
      </c>
      <c r="N463" s="331"/>
      <c r="O463" s="318" t="s">
        <v>112</v>
      </c>
      <c r="P463" s="318" t="s">
        <v>112</v>
      </c>
      <c r="Q463" s="319"/>
      <c r="R463" s="311"/>
    </row>
    <row r="464" ht="14.25" customHeight="1" outlineLevel="1">
      <c r="E464" s="333" t="s">
        <v>509</v>
      </c>
      <c r="F464" s="337">
        <v>450.0</v>
      </c>
      <c r="G464" s="311">
        <v>399.0</v>
      </c>
      <c r="H464" s="311">
        <v>369.0</v>
      </c>
      <c r="I464" s="312"/>
      <c r="J464" s="313">
        <v>107.0</v>
      </c>
      <c r="K464" s="314">
        <f t="shared" si="48"/>
        <v>0.2681704261</v>
      </c>
      <c r="L464" s="315">
        <f t="shared" si="49"/>
        <v>-107</v>
      </c>
      <c r="M464" s="316">
        <f t="shared" si="50"/>
        <v>-1</v>
      </c>
      <c r="N464" s="331"/>
      <c r="O464" s="318"/>
      <c r="P464" s="318"/>
      <c r="Q464" s="319"/>
      <c r="R464" s="311"/>
    </row>
    <row r="465" ht="14.25" customHeight="1" outlineLevel="1">
      <c r="A465" s="327" t="s">
        <v>699</v>
      </c>
      <c r="B465" s="327"/>
      <c r="C465" s="327" t="s">
        <v>700</v>
      </c>
      <c r="D465" s="327" t="s">
        <v>701</v>
      </c>
      <c r="E465" s="333" t="s">
        <v>159</v>
      </c>
      <c r="F465" s="337">
        <v>450.0</v>
      </c>
      <c r="G465" s="311">
        <v>339.0</v>
      </c>
      <c r="H465" s="311">
        <v>319.0</v>
      </c>
      <c r="I465" s="312" t="str">
        <f>G465/R465</f>
        <v>#DIV/0!</v>
      </c>
      <c r="J465" s="313">
        <v>53.0</v>
      </c>
      <c r="K465" s="314">
        <f t="shared" si="48"/>
        <v>0.1563421829</v>
      </c>
      <c r="L465" s="315">
        <f t="shared" si="49"/>
        <v>-53</v>
      </c>
      <c r="M465" s="316">
        <f t="shared" si="50"/>
        <v>-1</v>
      </c>
      <c r="N465" s="331"/>
      <c r="O465" s="318"/>
      <c r="P465" s="318"/>
      <c r="Q465" s="319"/>
      <c r="R465" s="311"/>
    </row>
    <row r="466" ht="14.25" customHeight="1" outlineLevel="1">
      <c r="E466" s="333" t="s">
        <v>160</v>
      </c>
      <c r="F466" s="337">
        <v>450.0</v>
      </c>
      <c r="G466" s="311">
        <v>339.0</v>
      </c>
      <c r="H466" s="311">
        <v>339.0</v>
      </c>
      <c r="I466" s="312"/>
      <c r="J466" s="313">
        <v>59.0</v>
      </c>
      <c r="K466" s="314">
        <f t="shared" si="48"/>
        <v>0.1740412979</v>
      </c>
      <c r="L466" s="315">
        <f t="shared" si="49"/>
        <v>-59</v>
      </c>
      <c r="M466" s="316">
        <f t="shared" si="50"/>
        <v>-1</v>
      </c>
      <c r="N466" s="331"/>
      <c r="O466" s="318"/>
      <c r="P466" s="318"/>
      <c r="Q466" s="319"/>
      <c r="R466" s="311"/>
    </row>
    <row r="467" ht="14.25" customHeight="1" outlineLevel="1">
      <c r="E467" s="333" t="s">
        <v>509</v>
      </c>
      <c r="F467" s="337">
        <v>450.0</v>
      </c>
      <c r="G467" s="311">
        <v>339.0</v>
      </c>
      <c r="H467" s="311">
        <v>269.0</v>
      </c>
      <c r="I467" s="312"/>
      <c r="J467" s="313">
        <v>58.0</v>
      </c>
      <c r="K467" s="314">
        <f t="shared" si="48"/>
        <v>0.1710914454</v>
      </c>
      <c r="L467" s="315">
        <f t="shared" si="49"/>
        <v>-58</v>
      </c>
      <c r="M467" s="316">
        <f t="shared" si="50"/>
        <v>-1</v>
      </c>
      <c r="N467" s="331"/>
      <c r="O467" s="318"/>
      <c r="P467" s="318"/>
      <c r="Q467" s="319"/>
      <c r="R467" s="311"/>
    </row>
    <row r="468" ht="14.25" customHeight="1" outlineLevel="1">
      <c r="E468" s="333" t="s">
        <v>510</v>
      </c>
      <c r="F468" s="337">
        <v>450.0</v>
      </c>
      <c r="G468" s="311">
        <v>339.0</v>
      </c>
      <c r="H468" s="311">
        <v>269.0</v>
      </c>
      <c r="I468" s="312"/>
      <c r="J468" s="313">
        <v>112.0</v>
      </c>
      <c r="K468" s="314">
        <f t="shared" si="48"/>
        <v>0.3303834808</v>
      </c>
      <c r="L468" s="315">
        <f t="shared" si="49"/>
        <v>-112</v>
      </c>
      <c r="M468" s="316">
        <f t="shared" si="50"/>
        <v>-1</v>
      </c>
      <c r="N468" s="331"/>
      <c r="O468" s="318"/>
      <c r="P468" s="318"/>
      <c r="Q468" s="319"/>
      <c r="R468" s="311"/>
    </row>
    <row r="469" ht="14.25" customHeight="1" outlineLevel="1">
      <c r="B469" s="327"/>
      <c r="C469" s="327"/>
      <c r="D469" s="327"/>
      <c r="E469" s="333"/>
      <c r="F469" s="337">
        <v>450.0</v>
      </c>
      <c r="G469" s="311">
        <v>449.0</v>
      </c>
      <c r="H469" s="311"/>
      <c r="I469" s="312"/>
      <c r="J469" s="313">
        <v>112.0</v>
      </c>
      <c r="K469" s="314">
        <f t="shared" si="48"/>
        <v>0.2494432071</v>
      </c>
      <c r="L469" s="315">
        <f t="shared" si="49"/>
        <v>-112</v>
      </c>
      <c r="M469" s="316">
        <f t="shared" si="50"/>
        <v>-1</v>
      </c>
      <c r="N469" s="331"/>
      <c r="O469" s="318"/>
      <c r="P469" s="318"/>
      <c r="Q469" s="319"/>
      <c r="R469" s="311"/>
    </row>
    <row r="470" ht="14.25" customHeight="1" outlineLevel="1">
      <c r="A470" s="327" t="s">
        <v>702</v>
      </c>
      <c r="B470" s="327"/>
      <c r="C470" s="327" t="s">
        <v>703</v>
      </c>
      <c r="D470" s="327" t="s">
        <v>684</v>
      </c>
      <c r="E470" s="333" t="s">
        <v>159</v>
      </c>
      <c r="F470" s="337">
        <v>330.0</v>
      </c>
      <c r="G470" s="311">
        <v>259.0</v>
      </c>
      <c r="H470" s="311">
        <v>239.0</v>
      </c>
      <c r="I470" s="312" t="str">
        <f>G470/R470</f>
        <v>#DIV/0!</v>
      </c>
      <c r="J470" s="313">
        <v>42.0</v>
      </c>
      <c r="K470" s="314">
        <f t="shared" si="48"/>
        <v>0.1621621622</v>
      </c>
      <c r="L470" s="315">
        <f t="shared" si="49"/>
        <v>-42</v>
      </c>
      <c r="M470" s="316">
        <f t="shared" si="50"/>
        <v>-1</v>
      </c>
      <c r="N470" s="331"/>
      <c r="O470" s="318"/>
      <c r="P470" s="318"/>
      <c r="Q470" s="319"/>
      <c r="R470" s="311"/>
    </row>
    <row r="471" ht="14.25" customHeight="1" outlineLevel="1">
      <c r="E471" s="333" t="s">
        <v>160</v>
      </c>
      <c r="F471" s="337">
        <v>330.0</v>
      </c>
      <c r="G471" s="311">
        <v>259.0</v>
      </c>
      <c r="H471" s="311">
        <v>239.0</v>
      </c>
      <c r="I471" s="312"/>
      <c r="J471" s="313">
        <v>47.0</v>
      </c>
      <c r="K471" s="314">
        <f t="shared" si="48"/>
        <v>0.1814671815</v>
      </c>
      <c r="L471" s="315">
        <f t="shared" si="49"/>
        <v>-47</v>
      </c>
      <c r="M471" s="316">
        <f t="shared" si="50"/>
        <v>-1</v>
      </c>
      <c r="N471" s="331"/>
      <c r="O471" s="318"/>
      <c r="P471" s="318"/>
      <c r="Q471" s="319"/>
      <c r="R471" s="311"/>
    </row>
    <row r="472" ht="14.25" customHeight="1" outlineLevel="1">
      <c r="E472" s="333" t="s">
        <v>509</v>
      </c>
      <c r="F472" s="337">
        <v>330.0</v>
      </c>
      <c r="G472" s="311">
        <v>259.0</v>
      </c>
      <c r="H472" s="311">
        <v>239.0</v>
      </c>
      <c r="I472" s="312"/>
      <c r="J472" s="313">
        <v>42.0</v>
      </c>
      <c r="K472" s="314">
        <f t="shared" si="48"/>
        <v>0.1621621622</v>
      </c>
      <c r="L472" s="315">
        <f t="shared" si="49"/>
        <v>-42</v>
      </c>
      <c r="M472" s="316">
        <f t="shared" si="50"/>
        <v>-1</v>
      </c>
      <c r="N472" s="331"/>
      <c r="O472" s="318"/>
      <c r="P472" s="318"/>
      <c r="Q472" s="319"/>
      <c r="R472" s="311"/>
    </row>
    <row r="473" ht="14.25" customHeight="1" outlineLevel="1">
      <c r="E473" s="333" t="s">
        <v>510</v>
      </c>
      <c r="F473" s="337">
        <v>330.0</v>
      </c>
      <c r="G473" s="311">
        <v>259.0</v>
      </c>
      <c r="H473" s="311">
        <v>239.0</v>
      </c>
      <c r="I473" s="312"/>
      <c r="J473" s="313">
        <v>76.0</v>
      </c>
      <c r="K473" s="314">
        <f t="shared" si="48"/>
        <v>0.2934362934</v>
      </c>
      <c r="L473" s="315">
        <f t="shared" si="49"/>
        <v>-76</v>
      </c>
      <c r="M473" s="316">
        <f t="shared" si="50"/>
        <v>-1</v>
      </c>
      <c r="N473" s="331"/>
      <c r="O473" s="318"/>
      <c r="P473" s="318"/>
      <c r="Q473" s="319"/>
      <c r="R473" s="311"/>
    </row>
    <row r="474" ht="14.25" customHeight="1" outlineLevel="1">
      <c r="A474" s="361" t="s">
        <v>704</v>
      </c>
      <c r="B474" s="327" t="s">
        <v>705</v>
      </c>
      <c r="C474" s="361" t="s">
        <v>704</v>
      </c>
      <c r="D474" s="336" t="s">
        <v>706</v>
      </c>
      <c r="E474" s="362" t="s">
        <v>510</v>
      </c>
      <c r="F474" s="337">
        <v>330.0</v>
      </c>
      <c r="G474" s="301">
        <v>399.0</v>
      </c>
      <c r="H474" s="301">
        <v>399.0</v>
      </c>
      <c r="I474" s="363"/>
      <c r="J474" s="364">
        <v>111.32</v>
      </c>
      <c r="K474" s="314">
        <f t="shared" si="48"/>
        <v>0.2789974937</v>
      </c>
      <c r="L474" s="315">
        <f t="shared" si="49"/>
        <v>-111.32</v>
      </c>
      <c r="M474" s="316">
        <f t="shared" si="50"/>
        <v>-1</v>
      </c>
      <c r="N474" s="331"/>
      <c r="O474" s="318"/>
      <c r="P474" s="318"/>
      <c r="Q474" s="300"/>
      <c r="R474" s="301"/>
    </row>
    <row r="475" ht="15.75" customHeight="1" outlineLevel="1">
      <c r="A475" s="327" t="s">
        <v>707</v>
      </c>
      <c r="B475" s="327" t="s">
        <v>696</v>
      </c>
      <c r="C475" s="327" t="s">
        <v>708</v>
      </c>
      <c r="D475" s="336" t="s">
        <v>709</v>
      </c>
      <c r="E475" s="362" t="s">
        <v>510</v>
      </c>
      <c r="F475" s="337">
        <v>330.0</v>
      </c>
      <c r="G475" s="311">
        <v>399.0</v>
      </c>
      <c r="H475" s="311">
        <v>399.0</v>
      </c>
      <c r="I475" s="363"/>
      <c r="J475" s="364">
        <v>149.0</v>
      </c>
      <c r="K475" s="314">
        <f t="shared" si="48"/>
        <v>0.373433584</v>
      </c>
      <c r="L475" s="315">
        <f t="shared" si="49"/>
        <v>-149</v>
      </c>
      <c r="M475" s="316">
        <f t="shared" si="50"/>
        <v>-1</v>
      </c>
      <c r="N475" s="331"/>
      <c r="O475" s="318"/>
      <c r="P475" s="318"/>
      <c r="Q475" s="300"/>
      <c r="R475" s="301"/>
    </row>
    <row r="476" ht="15.75" customHeight="1" outlineLevel="1">
      <c r="A476" s="327" t="s">
        <v>710</v>
      </c>
      <c r="B476" s="327" t="s">
        <v>711</v>
      </c>
      <c r="C476" s="327"/>
      <c r="D476" s="336" t="s">
        <v>712</v>
      </c>
      <c r="E476" s="362" t="s">
        <v>114</v>
      </c>
      <c r="F476" s="337">
        <v>330.0</v>
      </c>
      <c r="G476" s="311">
        <v>599.0</v>
      </c>
      <c r="H476" s="311"/>
      <c r="I476" s="363"/>
      <c r="J476" s="364">
        <v>130.0</v>
      </c>
      <c r="K476" s="314">
        <f t="shared" si="48"/>
        <v>0.2170283806</v>
      </c>
      <c r="L476" s="315">
        <f t="shared" si="49"/>
        <v>-130</v>
      </c>
      <c r="M476" s="316">
        <f t="shared" si="50"/>
        <v>-1</v>
      </c>
      <c r="N476" s="331"/>
      <c r="O476" s="318"/>
      <c r="P476" s="318"/>
      <c r="Q476" s="300"/>
      <c r="R476" s="301"/>
    </row>
    <row r="477" ht="14.25" customHeight="1" outlineLevel="1">
      <c r="A477" s="288" t="s">
        <v>713</v>
      </c>
      <c r="B477" s="289"/>
      <c r="C477" s="289" t="s">
        <v>713</v>
      </c>
      <c r="D477" s="340"/>
      <c r="E477" s="322" t="s">
        <v>159</v>
      </c>
      <c r="F477" s="323"/>
      <c r="G477" s="294"/>
      <c r="H477" s="294"/>
      <c r="I477" s="324"/>
      <c r="J477" s="325"/>
      <c r="K477" s="297"/>
      <c r="L477" s="326"/>
      <c r="M477" s="297"/>
      <c r="N477" s="299"/>
      <c r="O477" s="304"/>
      <c r="P477" s="304"/>
      <c r="Q477" s="300"/>
      <c r="R477" s="294"/>
    </row>
    <row r="478" ht="14.25" customHeight="1" outlineLevel="1">
      <c r="B478" s="289"/>
      <c r="D478" s="340"/>
      <c r="E478" s="322" t="s">
        <v>160</v>
      </c>
      <c r="F478" s="323"/>
      <c r="G478" s="294"/>
      <c r="H478" s="294"/>
      <c r="I478" s="324"/>
      <c r="J478" s="325"/>
      <c r="K478" s="297"/>
      <c r="L478" s="326"/>
      <c r="M478" s="297"/>
      <c r="N478" s="299"/>
      <c r="O478" s="304"/>
      <c r="P478" s="304"/>
      <c r="Q478" s="300"/>
      <c r="R478" s="294"/>
    </row>
    <row r="479" ht="14.25" customHeight="1" outlineLevel="1">
      <c r="B479" s="289"/>
      <c r="D479" s="340"/>
      <c r="E479" s="322" t="s">
        <v>509</v>
      </c>
      <c r="F479" s="323"/>
      <c r="G479" s="294"/>
      <c r="H479" s="294"/>
      <c r="I479" s="324"/>
      <c r="J479" s="325"/>
      <c r="K479" s="297"/>
      <c r="L479" s="326"/>
      <c r="M479" s="297"/>
      <c r="N479" s="299"/>
      <c r="O479" s="304"/>
      <c r="P479" s="304"/>
      <c r="Q479" s="300"/>
      <c r="R479" s="294"/>
    </row>
    <row r="480" ht="14.25" customHeight="1" outlineLevel="1">
      <c r="B480" s="289"/>
      <c r="D480" s="340"/>
      <c r="E480" s="322" t="s">
        <v>510</v>
      </c>
      <c r="F480" s="323"/>
      <c r="G480" s="294"/>
      <c r="H480" s="294"/>
      <c r="I480" s="324"/>
      <c r="J480" s="325"/>
      <c r="K480" s="297"/>
      <c r="L480" s="326"/>
      <c r="M480" s="297"/>
      <c r="N480" s="299"/>
      <c r="O480" s="304"/>
      <c r="P480" s="304"/>
      <c r="Q480" s="300"/>
      <c r="R480" s="294"/>
    </row>
    <row r="481" ht="14.25" customHeight="1" outlineLevel="1">
      <c r="B481" s="289"/>
      <c r="C481" s="289"/>
      <c r="D481" s="340"/>
      <c r="E481" s="322" t="s">
        <v>114</v>
      </c>
      <c r="F481" s="323"/>
      <c r="G481" s="294"/>
      <c r="H481" s="294"/>
      <c r="I481" s="324"/>
      <c r="J481" s="325"/>
      <c r="K481" s="297"/>
      <c r="L481" s="326"/>
      <c r="M481" s="297"/>
      <c r="N481" s="299"/>
      <c r="O481" s="304"/>
      <c r="P481" s="304"/>
      <c r="Q481" s="300"/>
      <c r="R481" s="294"/>
    </row>
    <row r="482" ht="14.25" customHeight="1" outlineLevel="1">
      <c r="A482" s="327" t="s">
        <v>714</v>
      </c>
      <c r="B482" s="327"/>
      <c r="C482" s="327" t="s">
        <v>715</v>
      </c>
      <c r="D482" s="336"/>
      <c r="E482" s="333" t="s">
        <v>159</v>
      </c>
      <c r="F482" s="337">
        <v>3000.0</v>
      </c>
      <c r="G482" s="311">
        <v>1789.0</v>
      </c>
      <c r="H482" s="311">
        <v>1549.0</v>
      </c>
      <c r="I482" s="312" t="str">
        <f>G482/R482</f>
        <v>#DIV/0!</v>
      </c>
      <c r="J482" s="313">
        <v>270.0</v>
      </c>
      <c r="K482" s="314">
        <f t="shared" ref="K482:K503" si="52">J482/G482</f>
        <v>0.150922303</v>
      </c>
      <c r="L482" s="315">
        <f t="shared" ref="L482:L503" si="53">Q482-J482</f>
        <v>-270</v>
      </c>
      <c r="M482" s="316">
        <f t="shared" ref="M482:M503" si="54">Q482/J482-1</f>
        <v>-1</v>
      </c>
      <c r="N482" s="331"/>
      <c r="O482" s="285" t="s">
        <v>112</v>
      </c>
      <c r="P482" s="285" t="s">
        <v>112</v>
      </c>
      <c r="Q482" s="319"/>
      <c r="R482" s="334"/>
    </row>
    <row r="483" ht="14.25" customHeight="1" outlineLevel="1">
      <c r="B483" s="327"/>
      <c r="D483" s="336"/>
      <c r="E483" s="333" t="s">
        <v>160</v>
      </c>
      <c r="F483" s="337">
        <v>3000.0</v>
      </c>
      <c r="G483" s="311">
        <v>1789.0</v>
      </c>
      <c r="H483" s="311">
        <v>1489.0</v>
      </c>
      <c r="I483" s="312"/>
      <c r="J483" s="313">
        <v>252.0</v>
      </c>
      <c r="K483" s="314">
        <f t="shared" si="52"/>
        <v>0.1408608161</v>
      </c>
      <c r="L483" s="315">
        <f t="shared" si="53"/>
        <v>-252</v>
      </c>
      <c r="M483" s="316">
        <f t="shared" si="54"/>
        <v>-1</v>
      </c>
      <c r="N483" s="331"/>
      <c r="O483" s="285"/>
      <c r="P483" s="285"/>
      <c r="Q483" s="319"/>
      <c r="R483" s="334"/>
    </row>
    <row r="484" ht="14.25" customHeight="1" outlineLevel="1">
      <c r="B484" s="327"/>
      <c r="D484" s="336"/>
      <c r="E484" s="333" t="s">
        <v>509</v>
      </c>
      <c r="F484" s="337">
        <v>3000.0</v>
      </c>
      <c r="G484" s="311">
        <v>1989.0</v>
      </c>
      <c r="H484" s="311"/>
      <c r="I484" s="312"/>
      <c r="J484" s="313">
        <v>324.0</v>
      </c>
      <c r="K484" s="314">
        <f t="shared" si="52"/>
        <v>0.1628959276</v>
      </c>
      <c r="L484" s="315">
        <f t="shared" si="53"/>
        <v>-324</v>
      </c>
      <c r="M484" s="316">
        <f t="shared" si="54"/>
        <v>-1</v>
      </c>
      <c r="N484" s="331"/>
      <c r="O484" s="285"/>
      <c r="P484" s="285"/>
      <c r="Q484" s="319"/>
      <c r="R484" s="334"/>
    </row>
    <row r="485" ht="14.25" customHeight="1" outlineLevel="1">
      <c r="B485" s="327"/>
      <c r="D485" s="336"/>
      <c r="E485" s="333" t="s">
        <v>510</v>
      </c>
      <c r="F485" s="337">
        <v>3000.0</v>
      </c>
      <c r="G485" s="311">
        <v>1989.0</v>
      </c>
      <c r="H485" s="311"/>
      <c r="I485" s="312"/>
      <c r="J485" s="313">
        <v>258.0</v>
      </c>
      <c r="K485" s="314">
        <f t="shared" si="52"/>
        <v>0.1297134238</v>
      </c>
      <c r="L485" s="315">
        <f t="shared" si="53"/>
        <v>-258</v>
      </c>
      <c r="M485" s="316">
        <f t="shared" si="54"/>
        <v>-1</v>
      </c>
      <c r="N485" s="331"/>
      <c r="O485" s="285"/>
      <c r="P485" s="285"/>
      <c r="Q485" s="319"/>
      <c r="R485" s="334"/>
    </row>
    <row r="486" ht="14.25" customHeight="1" outlineLevel="1">
      <c r="A486" s="327" t="s">
        <v>716</v>
      </c>
      <c r="B486" s="327"/>
      <c r="C486" s="327" t="s">
        <v>717</v>
      </c>
      <c r="D486" s="336"/>
      <c r="E486" s="333" t="s">
        <v>159</v>
      </c>
      <c r="F486" s="337">
        <v>3000.0</v>
      </c>
      <c r="G486" s="311">
        <v>1789.0</v>
      </c>
      <c r="H486" s="311">
        <v>1789.0</v>
      </c>
      <c r="I486" s="312" t="str">
        <f>G486/R486</f>
        <v>#DIV/0!</v>
      </c>
      <c r="J486" s="313">
        <v>276.0</v>
      </c>
      <c r="K486" s="314">
        <f t="shared" si="52"/>
        <v>0.1542761319</v>
      </c>
      <c r="L486" s="315">
        <f t="shared" si="53"/>
        <v>-276</v>
      </c>
      <c r="M486" s="316">
        <f t="shared" si="54"/>
        <v>-1</v>
      </c>
      <c r="N486" s="331"/>
      <c r="O486" s="285" t="s">
        <v>112</v>
      </c>
      <c r="P486" s="285" t="s">
        <v>112</v>
      </c>
      <c r="Q486" s="319"/>
      <c r="R486" s="334"/>
    </row>
    <row r="487" ht="14.25" customHeight="1" outlineLevel="1">
      <c r="B487" s="327"/>
      <c r="D487" s="336"/>
      <c r="E487" s="333" t="s">
        <v>160</v>
      </c>
      <c r="F487" s="337">
        <v>3000.0</v>
      </c>
      <c r="G487" s="334">
        <v>1789.0</v>
      </c>
      <c r="H487" s="334"/>
      <c r="I487" s="286"/>
      <c r="J487" s="335">
        <v>288.0</v>
      </c>
      <c r="K487" s="332">
        <f t="shared" si="52"/>
        <v>0.1609837898</v>
      </c>
      <c r="L487" s="319">
        <f t="shared" si="53"/>
        <v>-288</v>
      </c>
      <c r="M487" s="332">
        <f t="shared" si="54"/>
        <v>-1</v>
      </c>
      <c r="N487" s="331"/>
      <c r="O487" s="285"/>
      <c r="P487" s="285"/>
      <c r="Q487" s="319"/>
      <c r="R487" s="334"/>
    </row>
    <row r="488" ht="14.25" customHeight="1" outlineLevel="1">
      <c r="B488" s="327"/>
      <c r="D488" s="336"/>
      <c r="E488" s="333" t="s">
        <v>509</v>
      </c>
      <c r="F488" s="337">
        <v>3000.0</v>
      </c>
      <c r="G488" s="334">
        <v>1989.0</v>
      </c>
      <c r="H488" s="334"/>
      <c r="I488" s="286"/>
      <c r="J488" s="335">
        <v>378.0</v>
      </c>
      <c r="K488" s="332">
        <f t="shared" si="52"/>
        <v>0.1900452489</v>
      </c>
      <c r="L488" s="319">
        <f t="shared" si="53"/>
        <v>-378</v>
      </c>
      <c r="M488" s="332">
        <f t="shared" si="54"/>
        <v>-1</v>
      </c>
      <c r="N488" s="331"/>
      <c r="O488" s="285"/>
      <c r="P488" s="285"/>
      <c r="Q488" s="319"/>
      <c r="R488" s="334"/>
    </row>
    <row r="489" ht="14.25" customHeight="1" outlineLevel="1">
      <c r="B489" s="327"/>
      <c r="D489" s="336"/>
      <c r="E489" s="333" t="s">
        <v>510</v>
      </c>
      <c r="F489" s="337">
        <v>3000.0</v>
      </c>
      <c r="G489" s="334">
        <v>1989.0</v>
      </c>
      <c r="H489" s="334"/>
      <c r="I489" s="286"/>
      <c r="J489" s="335">
        <v>270.0</v>
      </c>
      <c r="K489" s="332">
        <f t="shared" si="52"/>
        <v>0.1357466063</v>
      </c>
      <c r="L489" s="319">
        <f t="shared" si="53"/>
        <v>-270</v>
      </c>
      <c r="M489" s="332">
        <f t="shared" si="54"/>
        <v>-1</v>
      </c>
      <c r="N489" s="331"/>
      <c r="O489" s="285"/>
      <c r="P489" s="285"/>
      <c r="Q489" s="319"/>
      <c r="R489" s="334"/>
    </row>
    <row r="490" ht="14.25" customHeight="1" outlineLevel="1">
      <c r="A490" s="327" t="s">
        <v>718</v>
      </c>
      <c r="B490" s="327"/>
      <c r="C490" s="327" t="s">
        <v>719</v>
      </c>
      <c r="D490" s="336"/>
      <c r="E490" s="333" t="s">
        <v>159</v>
      </c>
      <c r="F490" s="337">
        <v>3000.0</v>
      </c>
      <c r="G490" s="334">
        <v>2329.0</v>
      </c>
      <c r="H490" s="334">
        <v>2149.0</v>
      </c>
      <c r="I490" s="286" t="str">
        <f>G490/R490</f>
        <v>#DIV/0!</v>
      </c>
      <c r="J490" s="335">
        <v>450.0</v>
      </c>
      <c r="K490" s="332">
        <f t="shared" si="52"/>
        <v>0.1932159725</v>
      </c>
      <c r="L490" s="319">
        <f t="shared" si="53"/>
        <v>-450</v>
      </c>
      <c r="M490" s="332">
        <f t="shared" si="54"/>
        <v>-1</v>
      </c>
      <c r="N490" s="331"/>
      <c r="O490" s="285" t="s">
        <v>112</v>
      </c>
      <c r="P490" s="285" t="s">
        <v>112</v>
      </c>
      <c r="Q490" s="319"/>
      <c r="R490" s="334"/>
    </row>
    <row r="491" ht="14.25" customHeight="1" outlineLevel="1">
      <c r="B491" s="327"/>
      <c r="D491" s="336"/>
      <c r="E491" s="333" t="s">
        <v>160</v>
      </c>
      <c r="F491" s="337">
        <v>3000.0</v>
      </c>
      <c r="G491" s="334">
        <v>2329.0</v>
      </c>
      <c r="H491" s="334"/>
      <c r="I491" s="286"/>
      <c r="J491" s="335">
        <v>576.0</v>
      </c>
      <c r="K491" s="332">
        <f t="shared" si="52"/>
        <v>0.2473164448</v>
      </c>
      <c r="L491" s="319">
        <f t="shared" si="53"/>
        <v>-576</v>
      </c>
      <c r="M491" s="332">
        <f t="shared" si="54"/>
        <v>-1</v>
      </c>
      <c r="N491" s="331"/>
      <c r="O491" s="285"/>
      <c r="P491" s="285"/>
      <c r="Q491" s="319"/>
      <c r="R491" s="334"/>
    </row>
    <row r="492" ht="14.25" customHeight="1" outlineLevel="1">
      <c r="B492" s="327"/>
      <c r="D492" s="336"/>
      <c r="E492" s="333" t="s">
        <v>509</v>
      </c>
      <c r="F492" s="337">
        <v>3000.0</v>
      </c>
      <c r="G492" s="334">
        <v>2389.0</v>
      </c>
      <c r="H492" s="334"/>
      <c r="I492" s="286"/>
      <c r="J492" s="335">
        <v>420.0</v>
      </c>
      <c r="K492" s="332">
        <f t="shared" si="52"/>
        <v>0.1758057765</v>
      </c>
      <c r="L492" s="319">
        <f t="shared" si="53"/>
        <v>-420</v>
      </c>
      <c r="M492" s="332">
        <f t="shared" si="54"/>
        <v>-1</v>
      </c>
      <c r="N492" s="331"/>
      <c r="O492" s="285"/>
      <c r="P492" s="285"/>
      <c r="Q492" s="319"/>
      <c r="R492" s="334"/>
    </row>
    <row r="493" ht="14.25" customHeight="1" outlineLevel="1">
      <c r="B493" s="327"/>
      <c r="D493" s="336"/>
      <c r="E493" s="333" t="s">
        <v>510</v>
      </c>
      <c r="F493" s="337">
        <v>3000.0</v>
      </c>
      <c r="G493" s="334">
        <v>2389.0</v>
      </c>
      <c r="H493" s="334"/>
      <c r="I493" s="286"/>
      <c r="J493" s="335">
        <v>456.0</v>
      </c>
      <c r="K493" s="332">
        <f t="shared" si="52"/>
        <v>0.190874843</v>
      </c>
      <c r="L493" s="319">
        <f t="shared" si="53"/>
        <v>-456</v>
      </c>
      <c r="M493" s="332">
        <f t="shared" si="54"/>
        <v>-1</v>
      </c>
      <c r="N493" s="331"/>
      <c r="O493" s="285"/>
      <c r="P493" s="285"/>
      <c r="Q493" s="319"/>
      <c r="R493" s="334"/>
    </row>
    <row r="494" ht="14.25" customHeight="1" outlineLevel="1">
      <c r="A494" s="327" t="s">
        <v>720</v>
      </c>
      <c r="B494" s="327"/>
      <c r="C494" s="327" t="s">
        <v>721</v>
      </c>
      <c r="D494" s="336"/>
      <c r="E494" s="333" t="s">
        <v>159</v>
      </c>
      <c r="F494" s="337">
        <v>3000.0</v>
      </c>
      <c r="G494" s="334">
        <v>2689.0</v>
      </c>
      <c r="H494" s="334">
        <v>2509.0</v>
      </c>
      <c r="I494" s="286" t="str">
        <f>G494/R494</f>
        <v>#DIV/0!</v>
      </c>
      <c r="J494" s="335">
        <v>574.0</v>
      </c>
      <c r="K494" s="332">
        <f t="shared" si="52"/>
        <v>0.2134622536</v>
      </c>
      <c r="L494" s="319">
        <f t="shared" si="53"/>
        <v>-574</v>
      </c>
      <c r="M494" s="332">
        <f t="shared" si="54"/>
        <v>-1</v>
      </c>
      <c r="N494" s="331"/>
      <c r="O494" s="285" t="s">
        <v>112</v>
      </c>
      <c r="P494" s="285" t="s">
        <v>112</v>
      </c>
      <c r="Q494" s="319"/>
      <c r="R494" s="334"/>
    </row>
    <row r="495" ht="14.25" customHeight="1" outlineLevel="1">
      <c r="B495" s="327"/>
      <c r="D495" s="336"/>
      <c r="E495" s="333" t="s">
        <v>160</v>
      </c>
      <c r="F495" s="337">
        <v>3000.0</v>
      </c>
      <c r="G495" s="334">
        <v>2689.0</v>
      </c>
      <c r="H495" s="334"/>
      <c r="I495" s="286"/>
      <c r="J495" s="335">
        <v>792.0</v>
      </c>
      <c r="K495" s="332">
        <f t="shared" si="52"/>
        <v>0.2945332837</v>
      </c>
      <c r="L495" s="319">
        <f t="shared" si="53"/>
        <v>-792</v>
      </c>
      <c r="M495" s="332">
        <f t="shared" si="54"/>
        <v>-1</v>
      </c>
      <c r="N495" s="331"/>
      <c r="O495" s="285"/>
      <c r="P495" s="285"/>
      <c r="Q495" s="319"/>
      <c r="R495" s="334"/>
    </row>
    <row r="496" ht="14.25" customHeight="1" outlineLevel="1">
      <c r="B496" s="327"/>
      <c r="D496" s="336"/>
      <c r="E496" s="333" t="s">
        <v>509</v>
      </c>
      <c r="F496" s="337">
        <v>3000.0</v>
      </c>
      <c r="G496" s="334">
        <v>2809.0</v>
      </c>
      <c r="H496" s="334"/>
      <c r="I496" s="286"/>
      <c r="J496" s="335">
        <v>564.0</v>
      </c>
      <c r="K496" s="332">
        <f t="shared" si="52"/>
        <v>0.2007831969</v>
      </c>
      <c r="L496" s="319">
        <f t="shared" si="53"/>
        <v>-564</v>
      </c>
      <c r="M496" s="332">
        <f t="shared" si="54"/>
        <v>-1</v>
      </c>
      <c r="N496" s="331"/>
      <c r="O496" s="285"/>
      <c r="P496" s="285"/>
      <c r="Q496" s="319"/>
      <c r="R496" s="334"/>
    </row>
    <row r="497" ht="14.25" customHeight="1" outlineLevel="1">
      <c r="B497" s="327"/>
      <c r="D497" s="336"/>
      <c r="E497" s="333" t="s">
        <v>510</v>
      </c>
      <c r="F497" s="337">
        <v>3000.0</v>
      </c>
      <c r="G497" s="334">
        <v>2809.0</v>
      </c>
      <c r="H497" s="334"/>
      <c r="I497" s="286"/>
      <c r="J497" s="335">
        <v>588.0</v>
      </c>
      <c r="K497" s="332">
        <f t="shared" si="52"/>
        <v>0.2093271627</v>
      </c>
      <c r="L497" s="319">
        <f t="shared" si="53"/>
        <v>-588</v>
      </c>
      <c r="M497" s="332">
        <f t="shared" si="54"/>
        <v>-1</v>
      </c>
      <c r="N497" s="331"/>
      <c r="O497" s="285"/>
      <c r="P497" s="285"/>
      <c r="Q497" s="319"/>
      <c r="R497" s="334"/>
    </row>
    <row r="498" ht="14.25" customHeight="1" outlineLevel="1">
      <c r="B498" s="327"/>
      <c r="C498" s="327"/>
      <c r="D498" s="336"/>
      <c r="E498" s="333" t="s">
        <v>114</v>
      </c>
      <c r="F498" s="337">
        <v>3000.0</v>
      </c>
      <c r="G498" s="334">
        <v>3349.0</v>
      </c>
      <c r="H498" s="334"/>
      <c r="I498" s="286"/>
      <c r="J498" s="335">
        <v>600.0</v>
      </c>
      <c r="K498" s="332">
        <f t="shared" si="52"/>
        <v>0.1791579576</v>
      </c>
      <c r="L498" s="319">
        <f t="shared" si="53"/>
        <v>-600</v>
      </c>
      <c r="M498" s="332">
        <f t="shared" si="54"/>
        <v>-1</v>
      </c>
      <c r="N498" s="331"/>
      <c r="O498" s="285"/>
      <c r="P498" s="285"/>
      <c r="Q498" s="319"/>
      <c r="R498" s="334"/>
    </row>
    <row r="499" ht="14.25" customHeight="1" outlineLevel="1">
      <c r="A499" s="327" t="s">
        <v>722</v>
      </c>
      <c r="B499" s="327"/>
      <c r="C499" s="327" t="s">
        <v>723</v>
      </c>
      <c r="D499" s="336"/>
      <c r="E499" s="333" t="s">
        <v>510</v>
      </c>
      <c r="F499" s="337">
        <v>3000.0</v>
      </c>
      <c r="G499" s="334">
        <v>2089.0</v>
      </c>
      <c r="H499" s="334"/>
      <c r="I499" s="286"/>
      <c r="J499" s="335">
        <v>324.0</v>
      </c>
      <c r="K499" s="332">
        <f t="shared" si="52"/>
        <v>0.1550981331</v>
      </c>
      <c r="L499" s="319">
        <f t="shared" si="53"/>
        <v>-324</v>
      </c>
      <c r="M499" s="332">
        <f t="shared" si="54"/>
        <v>-1</v>
      </c>
      <c r="N499" s="331"/>
      <c r="O499" s="285"/>
      <c r="P499" s="285"/>
      <c r="Q499" s="319"/>
      <c r="R499" s="334"/>
    </row>
    <row r="500" ht="14.25" customHeight="1" outlineLevel="1">
      <c r="A500" s="327" t="s">
        <v>724</v>
      </c>
      <c r="B500" s="327"/>
      <c r="C500" s="327"/>
      <c r="D500" s="336"/>
      <c r="E500" s="333" t="s">
        <v>114</v>
      </c>
      <c r="F500" s="337">
        <v>3000.0</v>
      </c>
      <c r="G500" s="334">
        <v>3349.0</v>
      </c>
      <c r="H500" s="334"/>
      <c r="I500" s="286"/>
      <c r="J500" s="335">
        <v>645.0</v>
      </c>
      <c r="K500" s="332">
        <f t="shared" si="52"/>
        <v>0.1925948044</v>
      </c>
      <c r="L500" s="319">
        <f t="shared" si="53"/>
        <v>-645</v>
      </c>
      <c r="M500" s="332">
        <f t="shared" si="54"/>
        <v>-1</v>
      </c>
      <c r="N500" s="331"/>
      <c r="O500" s="285"/>
      <c r="P500" s="285"/>
      <c r="Q500" s="319"/>
      <c r="R500" s="334"/>
    </row>
    <row r="501" ht="14.25" customHeight="1" outlineLevel="1">
      <c r="A501" s="327" t="s">
        <v>725</v>
      </c>
      <c r="B501" s="327"/>
      <c r="C501" s="327"/>
      <c r="D501" s="336"/>
      <c r="E501" s="333" t="s">
        <v>114</v>
      </c>
      <c r="F501" s="337">
        <v>3000.0</v>
      </c>
      <c r="G501" s="334">
        <v>3349.0</v>
      </c>
      <c r="H501" s="334"/>
      <c r="I501" s="286"/>
      <c r="J501" s="335">
        <v>570.0</v>
      </c>
      <c r="K501" s="332">
        <f t="shared" si="52"/>
        <v>0.1702000597</v>
      </c>
      <c r="L501" s="319">
        <f t="shared" si="53"/>
        <v>-570</v>
      </c>
      <c r="M501" s="332">
        <f t="shared" si="54"/>
        <v>-1</v>
      </c>
      <c r="N501" s="331"/>
      <c r="O501" s="285"/>
      <c r="P501" s="285"/>
      <c r="Q501" s="319"/>
      <c r="R501" s="334"/>
    </row>
    <row r="502" ht="14.25" customHeight="1" outlineLevel="1">
      <c r="A502" s="327" t="s">
        <v>726</v>
      </c>
      <c r="B502" s="327"/>
      <c r="C502" s="327"/>
      <c r="D502" s="336"/>
      <c r="E502" s="333" t="s">
        <v>114</v>
      </c>
      <c r="F502" s="337">
        <v>3000.0</v>
      </c>
      <c r="G502" s="334">
        <v>4489.0</v>
      </c>
      <c r="H502" s="334"/>
      <c r="I502" s="286"/>
      <c r="J502" s="335">
        <v>930.0</v>
      </c>
      <c r="K502" s="332">
        <f t="shared" si="52"/>
        <v>0.2071730898</v>
      </c>
      <c r="L502" s="319">
        <f t="shared" si="53"/>
        <v>-930</v>
      </c>
      <c r="M502" s="332">
        <f t="shared" si="54"/>
        <v>-1</v>
      </c>
      <c r="N502" s="331"/>
      <c r="O502" s="285"/>
      <c r="P502" s="285"/>
      <c r="Q502" s="319"/>
      <c r="R502" s="334"/>
    </row>
    <row r="503" ht="14.25" customHeight="1" outlineLevel="1">
      <c r="A503" s="327" t="s">
        <v>727</v>
      </c>
      <c r="B503" s="327"/>
      <c r="C503" s="327"/>
      <c r="D503" s="336"/>
      <c r="E503" s="333" t="s">
        <v>114</v>
      </c>
      <c r="F503" s="337">
        <v>3000.0</v>
      </c>
      <c r="G503" s="334">
        <v>4489.0</v>
      </c>
      <c r="H503" s="334"/>
      <c r="I503" s="286"/>
      <c r="J503" s="335">
        <v>960.0</v>
      </c>
      <c r="K503" s="332">
        <f t="shared" si="52"/>
        <v>0.2138560927</v>
      </c>
      <c r="L503" s="319">
        <f t="shared" si="53"/>
        <v>-960</v>
      </c>
      <c r="M503" s="332">
        <f t="shared" si="54"/>
        <v>-1</v>
      </c>
      <c r="N503" s="331"/>
      <c r="O503" s="285"/>
      <c r="P503" s="285"/>
      <c r="Q503" s="319"/>
      <c r="R503" s="334"/>
    </row>
    <row r="504" ht="14.25" customHeight="1">
      <c r="A504" s="288" t="s">
        <v>728</v>
      </c>
      <c r="B504" s="365" t="s">
        <v>729</v>
      </c>
      <c r="C504" s="288" t="s">
        <v>728</v>
      </c>
      <c r="D504" s="347"/>
      <c r="E504" s="322" t="s">
        <v>159</v>
      </c>
      <c r="F504" s="323"/>
      <c r="G504" s="294"/>
      <c r="H504" s="294"/>
      <c r="I504" s="324"/>
      <c r="J504" s="325"/>
      <c r="K504" s="297"/>
      <c r="L504" s="326"/>
      <c r="M504" s="297"/>
      <c r="N504" s="299"/>
      <c r="O504" s="290"/>
      <c r="P504" s="290"/>
      <c r="Q504" s="300"/>
      <c r="R504" s="294"/>
    </row>
    <row r="505" ht="14.25" customHeight="1">
      <c r="B505" s="365"/>
      <c r="D505" s="347"/>
      <c r="E505" s="322" t="s">
        <v>160</v>
      </c>
      <c r="F505" s="323"/>
      <c r="G505" s="294"/>
      <c r="H505" s="294"/>
      <c r="I505" s="324"/>
      <c r="J505" s="325"/>
      <c r="K505" s="297"/>
      <c r="L505" s="326"/>
      <c r="M505" s="297"/>
      <c r="N505" s="299"/>
      <c r="O505" s="290"/>
      <c r="P505" s="290"/>
      <c r="Q505" s="300"/>
      <c r="R505" s="294"/>
    </row>
    <row r="506" ht="14.25" customHeight="1">
      <c r="B506" s="365"/>
      <c r="D506" s="347"/>
      <c r="E506" s="322" t="s">
        <v>509</v>
      </c>
      <c r="F506" s="323"/>
      <c r="G506" s="294"/>
      <c r="H506" s="294"/>
      <c r="I506" s="324"/>
      <c r="J506" s="325"/>
      <c r="K506" s="297"/>
      <c r="L506" s="326"/>
      <c r="M506" s="297"/>
      <c r="N506" s="299"/>
      <c r="O506" s="290"/>
      <c r="P506" s="290"/>
      <c r="Q506" s="300"/>
      <c r="R506" s="294"/>
    </row>
    <row r="507" ht="14.25" customHeight="1">
      <c r="B507" s="365"/>
      <c r="D507" s="347"/>
      <c r="E507" s="322" t="s">
        <v>510</v>
      </c>
      <c r="F507" s="323"/>
      <c r="G507" s="294"/>
      <c r="H507" s="294"/>
      <c r="I507" s="324"/>
      <c r="J507" s="325"/>
      <c r="K507" s="297"/>
      <c r="L507" s="326"/>
      <c r="M507" s="297"/>
      <c r="N507" s="299"/>
      <c r="O507" s="290"/>
      <c r="P507" s="290"/>
      <c r="Q507" s="300"/>
      <c r="R507" s="294"/>
    </row>
    <row r="508" ht="14.25" customHeight="1">
      <c r="B508" s="365"/>
      <c r="C508" s="288"/>
      <c r="D508" s="354"/>
      <c r="E508" s="322" t="s">
        <v>114</v>
      </c>
      <c r="F508" s="323"/>
      <c r="G508" s="294"/>
      <c r="H508" s="294"/>
      <c r="I508" s="324"/>
      <c r="J508" s="325"/>
      <c r="K508" s="297"/>
      <c r="L508" s="326"/>
      <c r="M508" s="297"/>
      <c r="N508" s="299"/>
      <c r="O508" s="290"/>
      <c r="P508" s="290"/>
      <c r="Q508" s="300"/>
      <c r="R508" s="294"/>
    </row>
    <row r="509" ht="14.25" customHeight="1" outlineLevel="1">
      <c r="A509" s="366" t="s">
        <v>730</v>
      </c>
      <c r="B509" s="367" t="s">
        <v>731</v>
      </c>
      <c r="C509" s="366" t="s">
        <v>730</v>
      </c>
      <c r="D509" s="367" t="s">
        <v>731</v>
      </c>
      <c r="E509" s="333" t="s">
        <v>159</v>
      </c>
      <c r="F509" s="339">
        <v>750.0</v>
      </c>
      <c r="G509" s="334">
        <v>2199.0</v>
      </c>
      <c r="H509" s="334"/>
      <c r="I509" s="286" t="str">
        <f>G509/R509</f>
        <v>#DIV/0!</v>
      </c>
      <c r="J509" s="335">
        <v>366.0</v>
      </c>
      <c r="K509" s="332">
        <f t="shared" ref="K509:K533" si="55">J509/G509</f>
        <v>0.1664392906</v>
      </c>
      <c r="L509" s="319">
        <f t="shared" ref="L509:L533" si="56">Q509-J509</f>
        <v>-366</v>
      </c>
      <c r="M509" s="332">
        <f t="shared" ref="M509:M533" si="57">Q509/J509-1</f>
        <v>-1</v>
      </c>
      <c r="N509" s="331"/>
      <c r="O509" s="285"/>
      <c r="P509" s="285"/>
      <c r="Q509" s="319"/>
      <c r="R509" s="334"/>
    </row>
    <row r="510" ht="14.25" customHeight="1" outlineLevel="1">
      <c r="B510" s="367"/>
      <c r="E510" s="333" t="s">
        <v>160</v>
      </c>
      <c r="F510" s="339">
        <v>750.0</v>
      </c>
      <c r="G510" s="334">
        <v>2199.0</v>
      </c>
      <c r="H510" s="334"/>
      <c r="I510" s="286"/>
      <c r="J510" s="335">
        <v>366.0</v>
      </c>
      <c r="K510" s="332">
        <f t="shared" si="55"/>
        <v>0.1664392906</v>
      </c>
      <c r="L510" s="319">
        <f t="shared" si="56"/>
        <v>-366</v>
      </c>
      <c r="M510" s="332">
        <f t="shared" si="57"/>
        <v>-1</v>
      </c>
      <c r="N510" s="331"/>
      <c r="O510" s="285"/>
      <c r="P510" s="285"/>
      <c r="Q510" s="319"/>
      <c r="R510" s="334"/>
    </row>
    <row r="511" ht="14.25" customHeight="1" outlineLevel="1">
      <c r="B511" s="367"/>
      <c r="E511" s="333" t="s">
        <v>509</v>
      </c>
      <c r="F511" s="339">
        <v>750.0</v>
      </c>
      <c r="G511" s="334">
        <v>2299.0</v>
      </c>
      <c r="H511" s="334"/>
      <c r="I511" s="286"/>
      <c r="J511" s="335">
        <v>366.0</v>
      </c>
      <c r="K511" s="332">
        <f t="shared" si="55"/>
        <v>0.159199652</v>
      </c>
      <c r="L511" s="319">
        <f t="shared" si="56"/>
        <v>-366</v>
      </c>
      <c r="M511" s="332">
        <f t="shared" si="57"/>
        <v>-1</v>
      </c>
      <c r="N511" s="331"/>
      <c r="O511" s="285"/>
      <c r="P511" s="285"/>
      <c r="Q511" s="319"/>
      <c r="R511" s="334"/>
    </row>
    <row r="512" ht="14.25" customHeight="1" outlineLevel="1">
      <c r="B512" s="367"/>
      <c r="E512" s="333" t="s">
        <v>510</v>
      </c>
      <c r="F512" s="339">
        <v>750.0</v>
      </c>
      <c r="G512" s="334">
        <v>2299.0</v>
      </c>
      <c r="H512" s="334"/>
      <c r="I512" s="286"/>
      <c r="J512" s="335">
        <v>366.0</v>
      </c>
      <c r="K512" s="332">
        <f t="shared" si="55"/>
        <v>0.159199652</v>
      </c>
      <c r="L512" s="319">
        <f t="shared" si="56"/>
        <v>-366</v>
      </c>
      <c r="M512" s="332">
        <f t="shared" si="57"/>
        <v>-1</v>
      </c>
      <c r="N512" s="331"/>
      <c r="O512" s="285"/>
      <c r="P512" s="285"/>
      <c r="Q512" s="319"/>
      <c r="R512" s="334"/>
    </row>
    <row r="513" ht="14.25" customHeight="1" outlineLevel="1">
      <c r="B513" s="367"/>
      <c r="C513" s="366"/>
      <c r="D513" s="367"/>
      <c r="E513" s="333" t="s">
        <v>114</v>
      </c>
      <c r="F513" s="339">
        <v>750.0</v>
      </c>
      <c r="G513" s="334"/>
      <c r="H513" s="334"/>
      <c r="I513" s="286"/>
      <c r="J513" s="335">
        <v>366.0</v>
      </c>
      <c r="K513" s="332" t="str">
        <f t="shared" si="55"/>
        <v>#DIV/0!</v>
      </c>
      <c r="L513" s="319">
        <f t="shared" si="56"/>
        <v>-366</v>
      </c>
      <c r="M513" s="332">
        <f t="shared" si="57"/>
        <v>-1</v>
      </c>
      <c r="N513" s="331"/>
      <c r="O513" s="285"/>
      <c r="P513" s="285"/>
      <c r="Q513" s="319"/>
      <c r="R513" s="334"/>
    </row>
    <row r="514" ht="14.25" customHeight="1" outlineLevel="1">
      <c r="A514" s="366" t="s">
        <v>732</v>
      </c>
      <c r="B514" s="367" t="s">
        <v>733</v>
      </c>
      <c r="C514" s="366" t="s">
        <v>732</v>
      </c>
      <c r="D514" s="367" t="s">
        <v>733</v>
      </c>
      <c r="E514" s="333" t="s">
        <v>159</v>
      </c>
      <c r="F514" s="339">
        <v>750.0</v>
      </c>
      <c r="G514" s="334">
        <v>2199.0</v>
      </c>
      <c r="H514" s="334"/>
      <c r="I514" s="286" t="str">
        <f>G514/R514</f>
        <v>#DIV/0!</v>
      </c>
      <c r="J514" s="335">
        <v>366.0</v>
      </c>
      <c r="K514" s="332">
        <f t="shared" si="55"/>
        <v>0.1664392906</v>
      </c>
      <c r="L514" s="319">
        <f t="shared" si="56"/>
        <v>-366</v>
      </c>
      <c r="M514" s="332">
        <f t="shared" si="57"/>
        <v>-1</v>
      </c>
      <c r="N514" s="331"/>
      <c r="O514" s="285"/>
      <c r="P514" s="285"/>
      <c r="Q514" s="319"/>
      <c r="R514" s="334"/>
    </row>
    <row r="515" ht="14.25" customHeight="1" outlineLevel="1">
      <c r="B515" s="367"/>
      <c r="E515" s="333" t="s">
        <v>160</v>
      </c>
      <c r="F515" s="339">
        <v>750.0</v>
      </c>
      <c r="G515" s="334">
        <v>2199.0</v>
      </c>
      <c r="H515" s="334"/>
      <c r="I515" s="286"/>
      <c r="J515" s="335">
        <v>366.0</v>
      </c>
      <c r="K515" s="332">
        <f t="shared" si="55"/>
        <v>0.1664392906</v>
      </c>
      <c r="L515" s="319">
        <f t="shared" si="56"/>
        <v>-366</v>
      </c>
      <c r="M515" s="332">
        <f t="shared" si="57"/>
        <v>-1</v>
      </c>
      <c r="N515" s="331"/>
      <c r="O515" s="285"/>
      <c r="P515" s="285"/>
      <c r="Q515" s="319"/>
      <c r="R515" s="334"/>
    </row>
    <row r="516" ht="14.25" customHeight="1" outlineLevel="1">
      <c r="B516" s="367"/>
      <c r="E516" s="333" t="s">
        <v>509</v>
      </c>
      <c r="F516" s="339">
        <v>750.0</v>
      </c>
      <c r="G516" s="334">
        <v>2299.0</v>
      </c>
      <c r="H516" s="334"/>
      <c r="I516" s="286"/>
      <c r="J516" s="335">
        <v>366.0</v>
      </c>
      <c r="K516" s="332">
        <f t="shared" si="55"/>
        <v>0.159199652</v>
      </c>
      <c r="L516" s="319">
        <f t="shared" si="56"/>
        <v>-366</v>
      </c>
      <c r="M516" s="332">
        <f t="shared" si="57"/>
        <v>-1</v>
      </c>
      <c r="N516" s="331"/>
      <c r="O516" s="285"/>
      <c r="P516" s="285"/>
      <c r="Q516" s="319"/>
      <c r="R516" s="334"/>
    </row>
    <row r="517" ht="14.25" customHeight="1" outlineLevel="1">
      <c r="B517" s="367"/>
      <c r="E517" s="333" t="s">
        <v>510</v>
      </c>
      <c r="F517" s="339">
        <v>750.0</v>
      </c>
      <c r="G517" s="334">
        <v>2299.0</v>
      </c>
      <c r="H517" s="334"/>
      <c r="I517" s="286"/>
      <c r="J517" s="335">
        <v>366.0</v>
      </c>
      <c r="K517" s="332">
        <f t="shared" si="55"/>
        <v>0.159199652</v>
      </c>
      <c r="L517" s="319">
        <f t="shared" si="56"/>
        <v>-366</v>
      </c>
      <c r="M517" s="332">
        <f t="shared" si="57"/>
        <v>-1</v>
      </c>
      <c r="N517" s="331"/>
      <c r="O517" s="285"/>
      <c r="P517" s="285"/>
      <c r="Q517" s="319"/>
      <c r="R517" s="334"/>
    </row>
    <row r="518" ht="14.25" customHeight="1" outlineLevel="1">
      <c r="B518" s="367"/>
      <c r="C518" s="366"/>
      <c r="D518" s="367"/>
      <c r="E518" s="333" t="s">
        <v>114</v>
      </c>
      <c r="F518" s="339">
        <v>750.0</v>
      </c>
      <c r="G518" s="334"/>
      <c r="H518" s="334"/>
      <c r="I518" s="286"/>
      <c r="J518" s="335">
        <v>366.0</v>
      </c>
      <c r="K518" s="332" t="str">
        <f t="shared" si="55"/>
        <v>#DIV/0!</v>
      </c>
      <c r="L518" s="319">
        <f t="shared" si="56"/>
        <v>-366</v>
      </c>
      <c r="M518" s="332">
        <f t="shared" si="57"/>
        <v>-1</v>
      </c>
      <c r="N518" s="331"/>
      <c r="O518" s="285"/>
      <c r="P518" s="285"/>
      <c r="Q518" s="319"/>
      <c r="R518" s="334"/>
    </row>
    <row r="519" ht="14.25" customHeight="1" outlineLevel="1">
      <c r="A519" s="327" t="s">
        <v>734</v>
      </c>
      <c r="B519" s="367" t="s">
        <v>735</v>
      </c>
      <c r="C519" s="327" t="s">
        <v>734</v>
      </c>
      <c r="D519" s="367" t="s">
        <v>735</v>
      </c>
      <c r="E519" s="333" t="s">
        <v>159</v>
      </c>
      <c r="F519" s="339">
        <v>750.0</v>
      </c>
      <c r="G519" s="334">
        <v>4299.0</v>
      </c>
      <c r="H519" s="334">
        <v>4299.0</v>
      </c>
      <c r="I519" s="286" t="str">
        <f>G519/R519</f>
        <v>#DIV/0!</v>
      </c>
      <c r="J519" s="335">
        <v>1682.0</v>
      </c>
      <c r="K519" s="332">
        <f t="shared" si="55"/>
        <v>0.3912537799</v>
      </c>
      <c r="L519" s="319">
        <f t="shared" si="56"/>
        <v>-1682</v>
      </c>
      <c r="M519" s="332">
        <f t="shared" si="57"/>
        <v>-1</v>
      </c>
      <c r="N519" s="331"/>
      <c r="O519" s="285" t="s">
        <v>112</v>
      </c>
      <c r="P519" s="285" t="s">
        <v>112</v>
      </c>
      <c r="Q519" s="319"/>
      <c r="R519" s="334"/>
    </row>
    <row r="520" ht="14.25" customHeight="1" outlineLevel="1">
      <c r="B520" s="367"/>
      <c r="E520" s="333" t="s">
        <v>160</v>
      </c>
      <c r="F520" s="339">
        <v>750.0</v>
      </c>
      <c r="G520" s="334">
        <v>4299.0</v>
      </c>
      <c r="H520" s="334"/>
      <c r="I520" s="286"/>
      <c r="J520" s="335">
        <v>1682.0</v>
      </c>
      <c r="K520" s="332">
        <f t="shared" si="55"/>
        <v>0.3912537799</v>
      </c>
      <c r="L520" s="319">
        <f t="shared" si="56"/>
        <v>-1682</v>
      </c>
      <c r="M520" s="332">
        <f t="shared" si="57"/>
        <v>-1</v>
      </c>
      <c r="N520" s="331"/>
      <c r="O520" s="285"/>
      <c r="P520" s="285"/>
      <c r="Q520" s="319"/>
      <c r="R520" s="334"/>
    </row>
    <row r="521" ht="14.25" customHeight="1" outlineLevel="1">
      <c r="B521" s="367"/>
      <c r="E521" s="333" t="s">
        <v>509</v>
      </c>
      <c r="F521" s="339">
        <v>750.0</v>
      </c>
      <c r="G521" s="334">
        <v>4399.0</v>
      </c>
      <c r="H521" s="334"/>
      <c r="I521" s="286"/>
      <c r="J521" s="335">
        <v>1682.0</v>
      </c>
      <c r="K521" s="332">
        <f t="shared" si="55"/>
        <v>0.3823596272</v>
      </c>
      <c r="L521" s="319">
        <f t="shared" si="56"/>
        <v>-1682</v>
      </c>
      <c r="M521" s="332">
        <f t="shared" si="57"/>
        <v>-1</v>
      </c>
      <c r="N521" s="331"/>
      <c r="O521" s="285"/>
      <c r="P521" s="285"/>
      <c r="Q521" s="319"/>
      <c r="R521" s="334"/>
    </row>
    <row r="522" ht="14.25" customHeight="1" outlineLevel="1">
      <c r="B522" s="367"/>
      <c r="E522" s="333" t="s">
        <v>510</v>
      </c>
      <c r="F522" s="339">
        <v>750.0</v>
      </c>
      <c r="G522" s="334">
        <v>4399.0</v>
      </c>
      <c r="H522" s="334"/>
      <c r="I522" s="286"/>
      <c r="J522" s="335">
        <v>1682.0</v>
      </c>
      <c r="K522" s="332">
        <f t="shared" si="55"/>
        <v>0.3823596272</v>
      </c>
      <c r="L522" s="319">
        <f t="shared" si="56"/>
        <v>-1682</v>
      </c>
      <c r="M522" s="332">
        <f t="shared" si="57"/>
        <v>-1</v>
      </c>
      <c r="N522" s="331"/>
      <c r="O522" s="285"/>
      <c r="P522" s="285"/>
      <c r="Q522" s="319"/>
      <c r="R522" s="334"/>
    </row>
    <row r="523" ht="14.25" customHeight="1" outlineLevel="1">
      <c r="B523" s="367"/>
      <c r="C523" s="327"/>
      <c r="D523" s="367"/>
      <c r="E523" s="333" t="s">
        <v>114</v>
      </c>
      <c r="F523" s="339">
        <v>750.0</v>
      </c>
      <c r="G523" s="334"/>
      <c r="H523" s="334"/>
      <c r="I523" s="286"/>
      <c r="J523" s="335">
        <v>1682.0</v>
      </c>
      <c r="K523" s="332" t="str">
        <f t="shared" si="55"/>
        <v>#DIV/0!</v>
      </c>
      <c r="L523" s="319">
        <f t="shared" si="56"/>
        <v>-1682</v>
      </c>
      <c r="M523" s="332">
        <f t="shared" si="57"/>
        <v>-1</v>
      </c>
      <c r="N523" s="331"/>
      <c r="O523" s="285"/>
      <c r="P523" s="285"/>
      <c r="Q523" s="319"/>
      <c r="R523" s="334"/>
    </row>
    <row r="524" ht="14.25" customHeight="1" outlineLevel="1">
      <c r="A524" s="327" t="s">
        <v>736</v>
      </c>
      <c r="B524" s="367" t="s">
        <v>737</v>
      </c>
      <c r="C524" s="327" t="s">
        <v>736</v>
      </c>
      <c r="D524" s="367" t="s">
        <v>737</v>
      </c>
      <c r="E524" s="333" t="s">
        <v>159</v>
      </c>
      <c r="F524" s="339">
        <v>750.0</v>
      </c>
      <c r="G524" s="334">
        <v>4299.0</v>
      </c>
      <c r="H524" s="334">
        <v>4299.0</v>
      </c>
      <c r="I524" s="286" t="str">
        <f>G524/R524</f>
        <v>#DIV/0!</v>
      </c>
      <c r="J524" s="335">
        <v>1682.0</v>
      </c>
      <c r="K524" s="332">
        <f t="shared" si="55"/>
        <v>0.3912537799</v>
      </c>
      <c r="L524" s="319">
        <f t="shared" si="56"/>
        <v>-1682</v>
      </c>
      <c r="M524" s="332">
        <f t="shared" si="57"/>
        <v>-1</v>
      </c>
      <c r="N524" s="331"/>
      <c r="O524" s="285" t="s">
        <v>112</v>
      </c>
      <c r="P524" s="285" t="s">
        <v>112</v>
      </c>
      <c r="Q524" s="319"/>
      <c r="R524" s="334"/>
    </row>
    <row r="525" ht="14.25" customHeight="1" outlineLevel="1">
      <c r="B525" s="367"/>
      <c r="E525" s="333" t="s">
        <v>160</v>
      </c>
      <c r="F525" s="339">
        <v>750.0</v>
      </c>
      <c r="G525" s="334">
        <v>4299.0</v>
      </c>
      <c r="H525" s="334"/>
      <c r="I525" s="286"/>
      <c r="J525" s="335">
        <v>1682.0</v>
      </c>
      <c r="K525" s="332">
        <f t="shared" si="55"/>
        <v>0.3912537799</v>
      </c>
      <c r="L525" s="319">
        <f t="shared" si="56"/>
        <v>-1682</v>
      </c>
      <c r="M525" s="332">
        <f t="shared" si="57"/>
        <v>-1</v>
      </c>
      <c r="N525" s="331"/>
      <c r="O525" s="285"/>
      <c r="P525" s="285"/>
      <c r="Q525" s="319"/>
      <c r="R525" s="334"/>
    </row>
    <row r="526" ht="14.25" customHeight="1" outlineLevel="1">
      <c r="B526" s="367"/>
      <c r="E526" s="333" t="s">
        <v>509</v>
      </c>
      <c r="F526" s="339">
        <v>750.0</v>
      </c>
      <c r="G526" s="334">
        <v>4399.0</v>
      </c>
      <c r="H526" s="334"/>
      <c r="I526" s="286"/>
      <c r="J526" s="335">
        <v>1682.0</v>
      </c>
      <c r="K526" s="332">
        <f t="shared" si="55"/>
        <v>0.3823596272</v>
      </c>
      <c r="L526" s="319">
        <f t="shared" si="56"/>
        <v>-1682</v>
      </c>
      <c r="M526" s="332">
        <f t="shared" si="57"/>
        <v>-1</v>
      </c>
      <c r="N526" s="331"/>
      <c r="O526" s="285"/>
      <c r="P526" s="285"/>
      <c r="Q526" s="319"/>
      <c r="R526" s="334"/>
    </row>
    <row r="527" ht="14.25" customHeight="1" outlineLevel="1">
      <c r="B527" s="367"/>
      <c r="E527" s="333" t="s">
        <v>510</v>
      </c>
      <c r="F527" s="339">
        <v>750.0</v>
      </c>
      <c r="G527" s="334">
        <v>4399.0</v>
      </c>
      <c r="H527" s="334"/>
      <c r="I527" s="286"/>
      <c r="J527" s="335">
        <v>1682.0</v>
      </c>
      <c r="K527" s="332">
        <f t="shared" si="55"/>
        <v>0.3823596272</v>
      </c>
      <c r="L527" s="319">
        <f t="shared" si="56"/>
        <v>-1682</v>
      </c>
      <c r="M527" s="332">
        <f t="shared" si="57"/>
        <v>-1</v>
      </c>
      <c r="N527" s="331"/>
      <c r="O527" s="285"/>
      <c r="P527" s="285"/>
      <c r="Q527" s="319"/>
      <c r="R527" s="334"/>
    </row>
    <row r="528" ht="14.25" customHeight="1" outlineLevel="1">
      <c r="B528" s="367"/>
      <c r="C528" s="327"/>
      <c r="D528" s="367"/>
      <c r="E528" s="333" t="s">
        <v>114</v>
      </c>
      <c r="F528" s="339">
        <v>750.0</v>
      </c>
      <c r="G528" s="334"/>
      <c r="H528" s="334"/>
      <c r="I528" s="286"/>
      <c r="J528" s="335">
        <v>1682.0</v>
      </c>
      <c r="K528" s="332" t="str">
        <f t="shared" si="55"/>
        <v>#DIV/0!</v>
      </c>
      <c r="L528" s="319">
        <f t="shared" si="56"/>
        <v>-1682</v>
      </c>
      <c r="M528" s="332">
        <f t="shared" si="57"/>
        <v>-1</v>
      </c>
      <c r="N528" s="331"/>
      <c r="O528" s="285"/>
      <c r="P528" s="285"/>
      <c r="Q528" s="319"/>
      <c r="R528" s="334"/>
    </row>
    <row r="529" ht="14.25" customHeight="1" outlineLevel="1">
      <c r="A529" s="327" t="s">
        <v>738</v>
      </c>
      <c r="B529" s="367"/>
      <c r="C529" s="327" t="s">
        <v>738</v>
      </c>
      <c r="D529" s="367" t="s">
        <v>731</v>
      </c>
      <c r="E529" s="333" t="s">
        <v>159</v>
      </c>
      <c r="F529" s="339">
        <v>750.0</v>
      </c>
      <c r="G529" s="334">
        <v>3499.0</v>
      </c>
      <c r="H529" s="334"/>
      <c r="I529" s="286"/>
      <c r="J529" s="335">
        <v>895.0</v>
      </c>
      <c r="K529" s="332">
        <f t="shared" si="55"/>
        <v>0.2557873678</v>
      </c>
      <c r="L529" s="319">
        <f t="shared" si="56"/>
        <v>-895</v>
      </c>
      <c r="M529" s="332">
        <f t="shared" si="57"/>
        <v>-1</v>
      </c>
      <c r="N529" s="331"/>
      <c r="O529" s="285"/>
      <c r="P529" s="285"/>
      <c r="Q529" s="319"/>
      <c r="R529" s="334"/>
    </row>
    <row r="530" ht="14.25" customHeight="1" outlineLevel="1">
      <c r="B530" s="367"/>
      <c r="E530" s="333" t="s">
        <v>160</v>
      </c>
      <c r="F530" s="339">
        <v>750.0</v>
      </c>
      <c r="G530" s="334">
        <v>3499.0</v>
      </c>
      <c r="H530" s="334"/>
      <c r="I530" s="286"/>
      <c r="J530" s="335">
        <v>895.0</v>
      </c>
      <c r="K530" s="332">
        <f t="shared" si="55"/>
        <v>0.2557873678</v>
      </c>
      <c r="L530" s="319">
        <f t="shared" si="56"/>
        <v>-895</v>
      </c>
      <c r="M530" s="332">
        <f t="shared" si="57"/>
        <v>-1</v>
      </c>
      <c r="N530" s="331"/>
      <c r="O530" s="285"/>
      <c r="P530" s="285"/>
      <c r="Q530" s="319"/>
      <c r="R530" s="334"/>
    </row>
    <row r="531" ht="14.25" customHeight="1" outlineLevel="1">
      <c r="B531" s="367"/>
      <c r="E531" s="333" t="s">
        <v>509</v>
      </c>
      <c r="F531" s="339">
        <v>750.0</v>
      </c>
      <c r="G531" s="334">
        <v>3799.0</v>
      </c>
      <c r="H531" s="334"/>
      <c r="I531" s="286"/>
      <c r="J531" s="335">
        <v>895.0</v>
      </c>
      <c r="K531" s="332">
        <f t="shared" si="55"/>
        <v>0.2355883127</v>
      </c>
      <c r="L531" s="319">
        <f t="shared" si="56"/>
        <v>-895</v>
      </c>
      <c r="M531" s="332">
        <f t="shared" si="57"/>
        <v>-1</v>
      </c>
      <c r="N531" s="331"/>
      <c r="O531" s="285"/>
      <c r="P531" s="285"/>
      <c r="Q531" s="319"/>
      <c r="R531" s="334"/>
    </row>
    <row r="532" ht="14.25" customHeight="1" outlineLevel="1">
      <c r="B532" s="367"/>
      <c r="E532" s="333" t="s">
        <v>622</v>
      </c>
      <c r="F532" s="339">
        <v>750.0</v>
      </c>
      <c r="G532" s="334">
        <v>3799.0</v>
      </c>
      <c r="H532" s="334"/>
      <c r="I532" s="286"/>
      <c r="J532" s="335">
        <v>895.0</v>
      </c>
      <c r="K532" s="332">
        <f t="shared" si="55"/>
        <v>0.2355883127</v>
      </c>
      <c r="L532" s="319">
        <f t="shared" si="56"/>
        <v>-895</v>
      </c>
      <c r="M532" s="332">
        <f t="shared" si="57"/>
        <v>-1</v>
      </c>
      <c r="N532" s="331"/>
      <c r="O532" s="285"/>
      <c r="P532" s="285"/>
      <c r="Q532" s="319"/>
      <c r="R532" s="334"/>
    </row>
    <row r="533" ht="14.25" customHeight="1" outlineLevel="1">
      <c r="B533" s="367"/>
      <c r="C533" s="327"/>
      <c r="D533" s="367"/>
      <c r="E533" s="333" t="s">
        <v>114</v>
      </c>
      <c r="F533" s="339">
        <v>750.0</v>
      </c>
      <c r="G533" s="334"/>
      <c r="H533" s="334"/>
      <c r="I533" s="286"/>
      <c r="J533" s="335">
        <v>895.0</v>
      </c>
      <c r="K533" s="332" t="str">
        <f t="shared" si="55"/>
        <v>#DIV/0!</v>
      </c>
      <c r="L533" s="319">
        <f t="shared" si="56"/>
        <v>-895</v>
      </c>
      <c r="M533" s="332">
        <f t="shared" si="57"/>
        <v>-1</v>
      </c>
      <c r="N533" s="331"/>
      <c r="O533" s="285"/>
      <c r="P533" s="285"/>
      <c r="Q533" s="319"/>
      <c r="R533" s="334"/>
    </row>
    <row r="534" ht="14.25" customHeight="1">
      <c r="A534" s="288" t="s">
        <v>739</v>
      </c>
      <c r="B534" s="289"/>
      <c r="C534" s="288" t="s">
        <v>739</v>
      </c>
      <c r="D534" s="347"/>
      <c r="E534" s="322" t="s">
        <v>159</v>
      </c>
      <c r="F534" s="323"/>
      <c r="G534" s="294"/>
      <c r="H534" s="294"/>
      <c r="I534" s="324"/>
      <c r="J534" s="325"/>
      <c r="K534" s="297"/>
      <c r="L534" s="326"/>
      <c r="M534" s="297"/>
      <c r="N534" s="299"/>
      <c r="O534" s="290"/>
      <c r="P534" s="290"/>
      <c r="Q534" s="298"/>
      <c r="R534" s="294"/>
    </row>
    <row r="535" ht="14.25" customHeight="1">
      <c r="B535" s="289"/>
      <c r="D535" s="347"/>
      <c r="E535" s="322" t="s">
        <v>160</v>
      </c>
      <c r="F535" s="323"/>
      <c r="G535" s="294"/>
      <c r="H535" s="294"/>
      <c r="I535" s="324"/>
      <c r="J535" s="325"/>
      <c r="K535" s="297"/>
      <c r="L535" s="326"/>
      <c r="M535" s="297"/>
      <c r="N535" s="299"/>
      <c r="O535" s="290"/>
      <c r="P535" s="290"/>
      <c r="Q535" s="298"/>
      <c r="R535" s="294"/>
    </row>
    <row r="536" ht="14.25" customHeight="1">
      <c r="B536" s="289"/>
      <c r="D536" s="347"/>
      <c r="E536" s="322" t="s">
        <v>509</v>
      </c>
      <c r="F536" s="323"/>
      <c r="G536" s="294"/>
      <c r="H536" s="294"/>
      <c r="I536" s="324"/>
      <c r="J536" s="325"/>
      <c r="K536" s="297"/>
      <c r="L536" s="326"/>
      <c r="M536" s="297"/>
      <c r="N536" s="299"/>
      <c r="O536" s="290"/>
      <c r="P536" s="290"/>
      <c r="Q536" s="298"/>
      <c r="R536" s="294"/>
    </row>
    <row r="537" ht="14.25" customHeight="1">
      <c r="B537" s="289"/>
      <c r="D537" s="347"/>
      <c r="E537" s="322" t="s">
        <v>510</v>
      </c>
      <c r="F537" s="323"/>
      <c r="G537" s="294"/>
      <c r="H537" s="294"/>
      <c r="I537" s="324"/>
      <c r="J537" s="325"/>
      <c r="K537" s="297"/>
      <c r="L537" s="326"/>
      <c r="M537" s="297"/>
      <c r="N537" s="299"/>
      <c r="O537" s="290"/>
      <c r="P537" s="290"/>
      <c r="Q537" s="298"/>
      <c r="R537" s="294"/>
    </row>
    <row r="538" ht="14.25" customHeight="1">
      <c r="B538" s="289"/>
      <c r="C538" s="288"/>
      <c r="D538" s="347"/>
      <c r="E538" s="322" t="s">
        <v>114</v>
      </c>
      <c r="F538" s="323"/>
      <c r="G538" s="294"/>
      <c r="H538" s="294"/>
      <c r="I538" s="324"/>
      <c r="J538" s="325"/>
      <c r="K538" s="297"/>
      <c r="L538" s="326"/>
      <c r="M538" s="297"/>
      <c r="N538" s="299"/>
      <c r="O538" s="290"/>
      <c r="P538" s="290"/>
      <c r="Q538" s="298"/>
      <c r="R538" s="294"/>
    </row>
    <row r="539" ht="14.25" customHeight="1" outlineLevel="1">
      <c r="A539" s="327" t="s">
        <v>740</v>
      </c>
      <c r="B539" s="327"/>
      <c r="C539" s="327" t="s">
        <v>740</v>
      </c>
      <c r="D539" s="368" t="s">
        <v>731</v>
      </c>
      <c r="E539" s="333" t="s">
        <v>159</v>
      </c>
      <c r="F539" s="337">
        <v>750.0</v>
      </c>
      <c r="G539" s="334">
        <v>2199.0</v>
      </c>
      <c r="H539" s="341"/>
      <c r="I539" s="286"/>
      <c r="J539" s="335">
        <v>373.0</v>
      </c>
      <c r="K539" s="332">
        <f t="shared" ref="K539:K578" si="58">J539/G539</f>
        <v>0.1696225557</v>
      </c>
      <c r="L539" s="319">
        <f t="shared" ref="L539:L578" si="59">Q539-J539</f>
        <v>-373</v>
      </c>
      <c r="M539" s="332">
        <f t="shared" ref="M539:M578" si="60">Q539/J539-1</f>
        <v>-1</v>
      </c>
      <c r="N539" s="331"/>
      <c r="O539" s="285"/>
      <c r="P539" s="285"/>
      <c r="Q539" s="300"/>
      <c r="R539" s="341"/>
    </row>
    <row r="540" ht="14.25" customHeight="1" outlineLevel="1">
      <c r="B540" s="327"/>
      <c r="D540" s="305"/>
      <c r="E540" s="333" t="s">
        <v>160</v>
      </c>
      <c r="F540" s="337">
        <v>750.0</v>
      </c>
      <c r="G540" s="334">
        <v>2199.0</v>
      </c>
      <c r="H540" s="341"/>
      <c r="I540" s="286"/>
      <c r="J540" s="335">
        <v>373.0</v>
      </c>
      <c r="K540" s="332">
        <f t="shared" si="58"/>
        <v>0.1696225557</v>
      </c>
      <c r="L540" s="319">
        <f t="shared" si="59"/>
        <v>-373</v>
      </c>
      <c r="M540" s="332">
        <f t="shared" si="60"/>
        <v>-1</v>
      </c>
      <c r="N540" s="331"/>
      <c r="O540" s="285"/>
      <c r="P540" s="285"/>
      <c r="Q540" s="300"/>
      <c r="R540" s="341"/>
    </row>
    <row r="541" ht="14.25" customHeight="1" outlineLevel="1">
      <c r="B541" s="327"/>
      <c r="D541" s="305"/>
      <c r="E541" s="333" t="s">
        <v>509</v>
      </c>
      <c r="F541" s="337">
        <v>750.0</v>
      </c>
      <c r="G541" s="334">
        <v>2299.0</v>
      </c>
      <c r="H541" s="341"/>
      <c r="I541" s="286"/>
      <c r="J541" s="335">
        <v>373.0</v>
      </c>
      <c r="K541" s="332">
        <f t="shared" si="58"/>
        <v>0.1622444541</v>
      </c>
      <c r="L541" s="319">
        <f t="shared" si="59"/>
        <v>-373</v>
      </c>
      <c r="M541" s="332">
        <f t="shared" si="60"/>
        <v>-1</v>
      </c>
      <c r="N541" s="331"/>
      <c r="O541" s="285"/>
      <c r="P541" s="285"/>
      <c r="Q541" s="300"/>
      <c r="R541" s="341"/>
    </row>
    <row r="542" ht="14.25" customHeight="1" outlineLevel="1">
      <c r="B542" s="327"/>
      <c r="D542" s="305"/>
      <c r="E542" s="333" t="s">
        <v>510</v>
      </c>
      <c r="F542" s="337">
        <v>750.0</v>
      </c>
      <c r="G542" s="334">
        <v>2299.0</v>
      </c>
      <c r="H542" s="341"/>
      <c r="I542" s="286"/>
      <c r="J542" s="335">
        <v>373.0</v>
      </c>
      <c r="K542" s="332">
        <f t="shared" si="58"/>
        <v>0.1622444541</v>
      </c>
      <c r="L542" s="319">
        <f t="shared" si="59"/>
        <v>-373</v>
      </c>
      <c r="M542" s="332">
        <f t="shared" si="60"/>
        <v>-1</v>
      </c>
      <c r="N542" s="331"/>
      <c r="O542" s="285"/>
      <c r="P542" s="285"/>
      <c r="Q542" s="300"/>
      <c r="R542" s="341"/>
    </row>
    <row r="543" ht="14.25" customHeight="1" outlineLevel="1">
      <c r="B543" s="327"/>
      <c r="C543" s="327"/>
      <c r="D543" s="368"/>
      <c r="E543" s="333" t="s">
        <v>114</v>
      </c>
      <c r="F543" s="337">
        <v>750.0</v>
      </c>
      <c r="G543" s="334"/>
      <c r="H543" s="341"/>
      <c r="I543" s="286"/>
      <c r="J543" s="335">
        <v>373.0</v>
      </c>
      <c r="K543" s="332" t="str">
        <f t="shared" si="58"/>
        <v>#DIV/0!</v>
      </c>
      <c r="L543" s="319">
        <f t="shared" si="59"/>
        <v>-373</v>
      </c>
      <c r="M543" s="332">
        <f t="shared" si="60"/>
        <v>-1</v>
      </c>
      <c r="N543" s="331"/>
      <c r="O543" s="285"/>
      <c r="P543" s="285"/>
      <c r="Q543" s="300"/>
      <c r="R543" s="341"/>
    </row>
    <row r="544" ht="14.25" customHeight="1" outlineLevel="1">
      <c r="A544" s="327" t="s">
        <v>740</v>
      </c>
      <c r="B544" s="327"/>
      <c r="C544" s="327" t="s">
        <v>740</v>
      </c>
      <c r="D544" s="368" t="s">
        <v>731</v>
      </c>
      <c r="E544" s="333" t="s">
        <v>159</v>
      </c>
      <c r="F544" s="337">
        <v>125.0</v>
      </c>
      <c r="G544" s="341">
        <v>369.0</v>
      </c>
      <c r="H544" s="341"/>
      <c r="I544" s="286"/>
      <c r="J544" s="335">
        <v>62.0</v>
      </c>
      <c r="K544" s="332">
        <f t="shared" si="58"/>
        <v>0.1680216802</v>
      </c>
      <c r="L544" s="319">
        <f t="shared" si="59"/>
        <v>-62</v>
      </c>
      <c r="M544" s="332">
        <f t="shared" si="60"/>
        <v>-1</v>
      </c>
      <c r="N544" s="331"/>
      <c r="O544" s="285"/>
      <c r="P544" s="285"/>
      <c r="Q544" s="300"/>
      <c r="R544" s="341"/>
    </row>
    <row r="545" ht="14.25" customHeight="1" outlineLevel="1">
      <c r="B545" s="327"/>
      <c r="D545" s="305"/>
      <c r="E545" s="333" t="s">
        <v>160</v>
      </c>
      <c r="F545" s="337">
        <v>125.0</v>
      </c>
      <c r="G545" s="341">
        <v>369.0</v>
      </c>
      <c r="H545" s="341"/>
      <c r="I545" s="286"/>
      <c r="J545" s="335">
        <v>62.0</v>
      </c>
      <c r="K545" s="332">
        <f t="shared" si="58"/>
        <v>0.1680216802</v>
      </c>
      <c r="L545" s="319">
        <f t="shared" si="59"/>
        <v>-62</v>
      </c>
      <c r="M545" s="332">
        <f t="shared" si="60"/>
        <v>-1</v>
      </c>
      <c r="N545" s="331"/>
      <c r="O545" s="285"/>
      <c r="P545" s="285"/>
      <c r="Q545" s="300"/>
      <c r="R545" s="341"/>
    </row>
    <row r="546" ht="14.25" customHeight="1" outlineLevel="1">
      <c r="B546" s="327"/>
      <c r="D546" s="305"/>
      <c r="E546" s="333" t="s">
        <v>509</v>
      </c>
      <c r="F546" s="337">
        <v>125.0</v>
      </c>
      <c r="G546" s="341">
        <v>389.0</v>
      </c>
      <c r="H546" s="341"/>
      <c r="I546" s="286"/>
      <c r="J546" s="335">
        <v>62.0</v>
      </c>
      <c r="K546" s="332">
        <f t="shared" si="58"/>
        <v>0.1593830334</v>
      </c>
      <c r="L546" s="319">
        <f t="shared" si="59"/>
        <v>-62</v>
      </c>
      <c r="M546" s="332">
        <f t="shared" si="60"/>
        <v>-1</v>
      </c>
      <c r="N546" s="331"/>
      <c r="O546" s="285"/>
      <c r="P546" s="285"/>
      <c r="Q546" s="300"/>
      <c r="R546" s="341"/>
    </row>
    <row r="547" ht="14.25" customHeight="1" outlineLevel="1">
      <c r="B547" s="327"/>
      <c r="D547" s="305"/>
      <c r="E547" s="333" t="s">
        <v>510</v>
      </c>
      <c r="F547" s="337">
        <v>125.0</v>
      </c>
      <c r="G547" s="341">
        <v>389.0</v>
      </c>
      <c r="H547" s="341"/>
      <c r="I547" s="286"/>
      <c r="J547" s="335">
        <v>62.0</v>
      </c>
      <c r="K547" s="332">
        <f t="shared" si="58"/>
        <v>0.1593830334</v>
      </c>
      <c r="L547" s="319">
        <f t="shared" si="59"/>
        <v>-62</v>
      </c>
      <c r="M547" s="332">
        <f t="shared" si="60"/>
        <v>-1</v>
      </c>
      <c r="N547" s="331"/>
      <c r="O547" s="285"/>
      <c r="P547" s="285"/>
      <c r="Q547" s="300"/>
      <c r="R547" s="341"/>
    </row>
    <row r="548" ht="14.25" customHeight="1" outlineLevel="1">
      <c r="B548" s="327"/>
      <c r="C548" s="327"/>
      <c r="D548" s="368"/>
      <c r="E548" s="333" t="s">
        <v>114</v>
      </c>
      <c r="F548" s="337">
        <v>125.0</v>
      </c>
      <c r="G548" s="341"/>
      <c r="H548" s="341"/>
      <c r="I548" s="286"/>
      <c r="J548" s="335">
        <v>62.0</v>
      </c>
      <c r="K548" s="332" t="str">
        <f t="shared" si="58"/>
        <v>#DIV/0!</v>
      </c>
      <c r="L548" s="319">
        <f t="shared" si="59"/>
        <v>-62</v>
      </c>
      <c r="M548" s="332">
        <f t="shared" si="60"/>
        <v>-1</v>
      </c>
      <c r="N548" s="331"/>
      <c r="O548" s="285"/>
      <c r="P548" s="285"/>
      <c r="Q548" s="300"/>
      <c r="R548" s="341"/>
    </row>
    <row r="549" ht="14.25" customHeight="1" outlineLevel="1">
      <c r="A549" s="327" t="s">
        <v>741</v>
      </c>
      <c r="B549" s="327"/>
      <c r="C549" s="327" t="s">
        <v>742</v>
      </c>
      <c r="D549" s="368" t="s">
        <v>731</v>
      </c>
      <c r="E549" s="333" t="s">
        <v>159</v>
      </c>
      <c r="F549" s="337">
        <v>750.0</v>
      </c>
      <c r="G549" s="334">
        <v>2299.0</v>
      </c>
      <c r="H549" s="341"/>
      <c r="I549" s="286"/>
      <c r="J549" s="335">
        <v>443.0</v>
      </c>
      <c r="K549" s="332">
        <f t="shared" si="58"/>
        <v>0.192692475</v>
      </c>
      <c r="L549" s="319">
        <f t="shared" si="59"/>
        <v>-443</v>
      </c>
      <c r="M549" s="332">
        <f t="shared" si="60"/>
        <v>-1</v>
      </c>
      <c r="N549" s="331"/>
      <c r="O549" s="285"/>
      <c r="P549" s="285"/>
      <c r="Q549" s="300"/>
      <c r="R549" s="341"/>
    </row>
    <row r="550" ht="14.25" customHeight="1" outlineLevel="1">
      <c r="B550" s="327"/>
      <c r="D550" s="305"/>
      <c r="E550" s="333" t="s">
        <v>160</v>
      </c>
      <c r="F550" s="337">
        <v>750.0</v>
      </c>
      <c r="G550" s="334">
        <v>2299.0</v>
      </c>
      <c r="H550" s="341"/>
      <c r="I550" s="286"/>
      <c r="J550" s="335">
        <v>443.0</v>
      </c>
      <c r="K550" s="332">
        <f t="shared" si="58"/>
        <v>0.192692475</v>
      </c>
      <c r="L550" s="319">
        <f t="shared" si="59"/>
        <v>-443</v>
      </c>
      <c r="M550" s="332">
        <f t="shared" si="60"/>
        <v>-1</v>
      </c>
      <c r="N550" s="331"/>
      <c r="O550" s="285"/>
      <c r="P550" s="285"/>
      <c r="Q550" s="300"/>
      <c r="R550" s="341"/>
    </row>
    <row r="551" ht="14.25" customHeight="1" outlineLevel="1">
      <c r="B551" s="327"/>
      <c r="D551" s="305"/>
      <c r="E551" s="333" t="s">
        <v>509</v>
      </c>
      <c r="F551" s="337">
        <v>750.0</v>
      </c>
      <c r="G551" s="334">
        <v>2399.0</v>
      </c>
      <c r="H551" s="341"/>
      <c r="I551" s="286"/>
      <c r="J551" s="335">
        <v>443.0</v>
      </c>
      <c r="K551" s="332">
        <f t="shared" si="58"/>
        <v>0.1846602751</v>
      </c>
      <c r="L551" s="319">
        <f t="shared" si="59"/>
        <v>-443</v>
      </c>
      <c r="M551" s="332">
        <f t="shared" si="60"/>
        <v>-1</v>
      </c>
      <c r="N551" s="331"/>
      <c r="O551" s="285"/>
      <c r="P551" s="285"/>
      <c r="Q551" s="300"/>
      <c r="R551" s="341"/>
    </row>
    <row r="552" ht="14.25" customHeight="1" outlineLevel="1">
      <c r="B552" s="327"/>
      <c r="D552" s="305"/>
      <c r="E552" s="333" t="s">
        <v>510</v>
      </c>
      <c r="F552" s="337">
        <v>750.0</v>
      </c>
      <c r="G552" s="334">
        <v>2399.0</v>
      </c>
      <c r="H552" s="341"/>
      <c r="I552" s="286"/>
      <c r="J552" s="335">
        <v>443.0</v>
      </c>
      <c r="K552" s="332">
        <f t="shared" si="58"/>
        <v>0.1846602751</v>
      </c>
      <c r="L552" s="319">
        <f t="shared" si="59"/>
        <v>-443</v>
      </c>
      <c r="M552" s="332">
        <f t="shared" si="60"/>
        <v>-1</v>
      </c>
      <c r="N552" s="331"/>
      <c r="O552" s="285"/>
      <c r="P552" s="285"/>
      <c r="Q552" s="300"/>
      <c r="R552" s="341"/>
    </row>
    <row r="553" ht="14.25" customHeight="1" outlineLevel="1">
      <c r="B553" s="327"/>
      <c r="C553" s="327"/>
      <c r="D553" s="368"/>
      <c r="E553" s="333" t="s">
        <v>114</v>
      </c>
      <c r="F553" s="337">
        <v>750.0</v>
      </c>
      <c r="G553" s="334"/>
      <c r="H553" s="341"/>
      <c r="I553" s="286"/>
      <c r="J553" s="335">
        <v>443.0</v>
      </c>
      <c r="K553" s="332" t="str">
        <f t="shared" si="58"/>
        <v>#DIV/0!</v>
      </c>
      <c r="L553" s="319">
        <f t="shared" si="59"/>
        <v>-443</v>
      </c>
      <c r="M553" s="332">
        <f t="shared" si="60"/>
        <v>-1</v>
      </c>
      <c r="N553" s="331"/>
      <c r="O553" s="285"/>
      <c r="P553" s="285"/>
      <c r="Q553" s="300"/>
      <c r="R553" s="341"/>
    </row>
    <row r="554" ht="14.25" customHeight="1" outlineLevel="1">
      <c r="A554" s="327" t="s">
        <v>741</v>
      </c>
      <c r="B554" s="327"/>
      <c r="C554" s="327" t="s">
        <v>742</v>
      </c>
      <c r="D554" s="368" t="s">
        <v>731</v>
      </c>
      <c r="E554" s="333" t="s">
        <v>159</v>
      </c>
      <c r="F554" s="337">
        <v>125.0</v>
      </c>
      <c r="G554" s="341">
        <v>389.0</v>
      </c>
      <c r="H554" s="341"/>
      <c r="I554" s="286"/>
      <c r="J554" s="335">
        <v>73.0</v>
      </c>
      <c r="K554" s="332">
        <f t="shared" si="58"/>
        <v>0.1876606684</v>
      </c>
      <c r="L554" s="319">
        <f t="shared" si="59"/>
        <v>-73</v>
      </c>
      <c r="M554" s="332">
        <f t="shared" si="60"/>
        <v>-1</v>
      </c>
      <c r="N554" s="331"/>
      <c r="O554" s="285"/>
      <c r="P554" s="285"/>
      <c r="Q554" s="300"/>
      <c r="R554" s="341"/>
    </row>
    <row r="555" ht="14.25" customHeight="1" outlineLevel="1">
      <c r="B555" s="327"/>
      <c r="D555" s="305"/>
      <c r="E555" s="333" t="s">
        <v>160</v>
      </c>
      <c r="F555" s="337">
        <v>125.0</v>
      </c>
      <c r="G555" s="341">
        <v>389.0</v>
      </c>
      <c r="H555" s="341"/>
      <c r="I555" s="286"/>
      <c r="J555" s="335">
        <v>73.0</v>
      </c>
      <c r="K555" s="332">
        <f t="shared" si="58"/>
        <v>0.1876606684</v>
      </c>
      <c r="L555" s="319">
        <f t="shared" si="59"/>
        <v>-73</v>
      </c>
      <c r="M555" s="332">
        <f t="shared" si="60"/>
        <v>-1</v>
      </c>
      <c r="N555" s="331"/>
      <c r="O555" s="285"/>
      <c r="P555" s="285"/>
      <c r="Q555" s="300"/>
      <c r="R555" s="341"/>
    </row>
    <row r="556" ht="14.25" customHeight="1" outlineLevel="1">
      <c r="B556" s="327"/>
      <c r="D556" s="305"/>
      <c r="E556" s="333" t="s">
        <v>509</v>
      </c>
      <c r="F556" s="337">
        <v>125.0</v>
      </c>
      <c r="G556" s="341">
        <v>399.0</v>
      </c>
      <c r="H556" s="341"/>
      <c r="I556" s="286"/>
      <c r="J556" s="335">
        <v>73.0</v>
      </c>
      <c r="K556" s="332">
        <f t="shared" si="58"/>
        <v>0.1829573935</v>
      </c>
      <c r="L556" s="319">
        <f t="shared" si="59"/>
        <v>-73</v>
      </c>
      <c r="M556" s="332">
        <f t="shared" si="60"/>
        <v>-1</v>
      </c>
      <c r="N556" s="331"/>
      <c r="O556" s="285"/>
      <c r="P556" s="285"/>
      <c r="Q556" s="300"/>
      <c r="R556" s="341"/>
    </row>
    <row r="557" ht="14.25" customHeight="1" outlineLevel="1">
      <c r="B557" s="327"/>
      <c r="D557" s="305"/>
      <c r="E557" s="333" t="s">
        <v>510</v>
      </c>
      <c r="F557" s="337">
        <v>125.0</v>
      </c>
      <c r="G557" s="341">
        <v>399.0</v>
      </c>
      <c r="H557" s="341"/>
      <c r="I557" s="286"/>
      <c r="J557" s="335">
        <v>73.0</v>
      </c>
      <c r="K557" s="332">
        <f t="shared" si="58"/>
        <v>0.1829573935</v>
      </c>
      <c r="L557" s="319">
        <f t="shared" si="59"/>
        <v>-73</v>
      </c>
      <c r="M557" s="332">
        <f t="shared" si="60"/>
        <v>-1</v>
      </c>
      <c r="N557" s="331"/>
      <c r="O557" s="285"/>
      <c r="P557" s="285"/>
      <c r="Q557" s="300"/>
      <c r="R557" s="341"/>
    </row>
    <row r="558" ht="14.25" customHeight="1" outlineLevel="1">
      <c r="B558" s="327"/>
      <c r="C558" s="327"/>
      <c r="D558" s="368"/>
      <c r="E558" s="333" t="s">
        <v>114</v>
      </c>
      <c r="F558" s="337">
        <v>125.0</v>
      </c>
      <c r="G558" s="341"/>
      <c r="H558" s="341"/>
      <c r="I558" s="286"/>
      <c r="J558" s="335">
        <v>73.0</v>
      </c>
      <c r="K558" s="332" t="str">
        <f t="shared" si="58"/>
        <v>#DIV/0!</v>
      </c>
      <c r="L558" s="319">
        <f t="shared" si="59"/>
        <v>-73</v>
      </c>
      <c r="M558" s="332">
        <f t="shared" si="60"/>
        <v>-1</v>
      </c>
      <c r="N558" s="331"/>
      <c r="O558" s="285"/>
      <c r="P558" s="285"/>
      <c r="Q558" s="300"/>
      <c r="R558" s="341"/>
    </row>
    <row r="559" ht="14.25" customHeight="1" outlineLevel="1">
      <c r="A559" s="327" t="s">
        <v>743</v>
      </c>
      <c r="B559" s="327"/>
      <c r="C559" s="327" t="s">
        <v>743</v>
      </c>
      <c r="D559" s="368" t="s">
        <v>731</v>
      </c>
      <c r="E559" s="333" t="s">
        <v>159</v>
      </c>
      <c r="F559" s="337">
        <v>750.0</v>
      </c>
      <c r="G559" s="341">
        <v>2399.0</v>
      </c>
      <c r="H559" s="341"/>
      <c r="I559" s="286"/>
      <c r="J559" s="335">
        <v>451.0</v>
      </c>
      <c r="K559" s="332">
        <f t="shared" si="58"/>
        <v>0.1879949979</v>
      </c>
      <c r="L559" s="319">
        <f t="shared" si="59"/>
        <v>-451</v>
      </c>
      <c r="M559" s="332">
        <f t="shared" si="60"/>
        <v>-1</v>
      </c>
      <c r="N559" s="331"/>
      <c r="O559" s="285"/>
      <c r="P559" s="285"/>
      <c r="Q559" s="300"/>
      <c r="R559" s="341"/>
    </row>
    <row r="560" ht="14.25" customHeight="1" outlineLevel="1">
      <c r="B560" s="327"/>
      <c r="D560" s="305"/>
      <c r="E560" s="333" t="s">
        <v>160</v>
      </c>
      <c r="F560" s="337">
        <v>750.0</v>
      </c>
      <c r="G560" s="341">
        <v>2399.0</v>
      </c>
      <c r="H560" s="341"/>
      <c r="I560" s="286"/>
      <c r="J560" s="335">
        <v>451.0</v>
      </c>
      <c r="K560" s="332">
        <f t="shared" si="58"/>
        <v>0.1879949979</v>
      </c>
      <c r="L560" s="319">
        <f t="shared" si="59"/>
        <v>-451</v>
      </c>
      <c r="M560" s="332">
        <f t="shared" si="60"/>
        <v>-1</v>
      </c>
      <c r="N560" s="331"/>
      <c r="O560" s="285"/>
      <c r="P560" s="285"/>
      <c r="Q560" s="300"/>
      <c r="R560" s="341"/>
    </row>
    <row r="561" ht="14.25" customHeight="1" outlineLevel="1">
      <c r="B561" s="327"/>
      <c r="D561" s="305"/>
      <c r="E561" s="333" t="s">
        <v>509</v>
      </c>
      <c r="F561" s="337">
        <v>750.0</v>
      </c>
      <c r="G561" s="341">
        <v>2499.0</v>
      </c>
      <c r="H561" s="341"/>
      <c r="I561" s="286"/>
      <c r="J561" s="335">
        <v>451.0</v>
      </c>
      <c r="K561" s="332">
        <f t="shared" si="58"/>
        <v>0.1804721889</v>
      </c>
      <c r="L561" s="319">
        <f t="shared" si="59"/>
        <v>-451</v>
      </c>
      <c r="M561" s="332">
        <f t="shared" si="60"/>
        <v>-1</v>
      </c>
      <c r="N561" s="331"/>
      <c r="O561" s="285"/>
      <c r="P561" s="285"/>
      <c r="Q561" s="300"/>
      <c r="R561" s="341"/>
    </row>
    <row r="562" ht="14.25" customHeight="1" outlineLevel="1">
      <c r="B562" s="327"/>
      <c r="D562" s="305"/>
      <c r="E562" s="333" t="s">
        <v>510</v>
      </c>
      <c r="F562" s="337">
        <v>750.0</v>
      </c>
      <c r="G562" s="341">
        <v>2499.0</v>
      </c>
      <c r="H562" s="341"/>
      <c r="I562" s="286"/>
      <c r="J562" s="335">
        <v>451.0</v>
      </c>
      <c r="K562" s="332">
        <f t="shared" si="58"/>
        <v>0.1804721889</v>
      </c>
      <c r="L562" s="319">
        <f t="shared" si="59"/>
        <v>-451</v>
      </c>
      <c r="M562" s="332">
        <f t="shared" si="60"/>
        <v>-1</v>
      </c>
      <c r="N562" s="331"/>
      <c r="O562" s="285"/>
      <c r="P562" s="285"/>
      <c r="Q562" s="300"/>
      <c r="R562" s="341"/>
    </row>
    <row r="563" ht="14.25" customHeight="1" outlineLevel="1">
      <c r="B563" s="327"/>
      <c r="C563" s="327"/>
      <c r="D563" s="368"/>
      <c r="E563" s="333" t="s">
        <v>114</v>
      </c>
      <c r="F563" s="337">
        <v>750.0</v>
      </c>
      <c r="G563" s="341"/>
      <c r="H563" s="341"/>
      <c r="I563" s="286"/>
      <c r="J563" s="335">
        <v>451.0</v>
      </c>
      <c r="K563" s="332" t="str">
        <f t="shared" si="58"/>
        <v>#DIV/0!</v>
      </c>
      <c r="L563" s="319">
        <f t="shared" si="59"/>
        <v>-451</v>
      </c>
      <c r="M563" s="332">
        <f t="shared" si="60"/>
        <v>-1</v>
      </c>
      <c r="N563" s="331"/>
      <c r="O563" s="285"/>
      <c r="P563" s="285"/>
      <c r="Q563" s="300"/>
      <c r="R563" s="341"/>
    </row>
    <row r="564" ht="14.25" customHeight="1" outlineLevel="1">
      <c r="A564" s="327" t="s">
        <v>743</v>
      </c>
      <c r="B564" s="327"/>
      <c r="C564" s="327" t="s">
        <v>743</v>
      </c>
      <c r="D564" s="368" t="s">
        <v>731</v>
      </c>
      <c r="E564" s="333" t="s">
        <v>159</v>
      </c>
      <c r="F564" s="337">
        <v>125.0</v>
      </c>
      <c r="G564" s="341">
        <v>389.0</v>
      </c>
      <c r="H564" s="341"/>
      <c r="I564" s="286"/>
      <c r="J564" s="335">
        <v>75.0</v>
      </c>
      <c r="K564" s="332">
        <f t="shared" si="58"/>
        <v>0.1928020566</v>
      </c>
      <c r="L564" s="319">
        <f t="shared" si="59"/>
        <v>-75</v>
      </c>
      <c r="M564" s="332">
        <f t="shared" si="60"/>
        <v>-1</v>
      </c>
      <c r="N564" s="331"/>
      <c r="O564" s="285"/>
      <c r="P564" s="285"/>
      <c r="Q564" s="300"/>
      <c r="R564" s="341"/>
    </row>
    <row r="565" ht="14.25" customHeight="1" outlineLevel="1">
      <c r="B565" s="327"/>
      <c r="D565" s="305"/>
      <c r="E565" s="333" t="s">
        <v>160</v>
      </c>
      <c r="F565" s="337">
        <v>125.0</v>
      </c>
      <c r="G565" s="341">
        <v>389.0</v>
      </c>
      <c r="H565" s="341"/>
      <c r="I565" s="286"/>
      <c r="J565" s="335">
        <v>75.0</v>
      </c>
      <c r="K565" s="332">
        <f t="shared" si="58"/>
        <v>0.1928020566</v>
      </c>
      <c r="L565" s="319">
        <f t="shared" si="59"/>
        <v>-75</v>
      </c>
      <c r="M565" s="332">
        <f t="shared" si="60"/>
        <v>-1</v>
      </c>
      <c r="N565" s="331"/>
      <c r="O565" s="285"/>
      <c r="P565" s="285"/>
      <c r="Q565" s="300"/>
      <c r="R565" s="341"/>
    </row>
    <row r="566" ht="14.25" customHeight="1" outlineLevel="1">
      <c r="B566" s="327"/>
      <c r="D566" s="305"/>
      <c r="E566" s="333" t="s">
        <v>509</v>
      </c>
      <c r="F566" s="337">
        <v>125.0</v>
      </c>
      <c r="G566" s="341">
        <v>419.0</v>
      </c>
      <c r="H566" s="341"/>
      <c r="I566" s="286"/>
      <c r="J566" s="335">
        <v>75.0</v>
      </c>
      <c r="K566" s="332">
        <f t="shared" si="58"/>
        <v>0.1789976134</v>
      </c>
      <c r="L566" s="319">
        <f t="shared" si="59"/>
        <v>-75</v>
      </c>
      <c r="M566" s="332">
        <f t="shared" si="60"/>
        <v>-1</v>
      </c>
      <c r="N566" s="331"/>
      <c r="O566" s="285"/>
      <c r="P566" s="285"/>
      <c r="Q566" s="300"/>
      <c r="R566" s="341"/>
    </row>
    <row r="567" ht="14.25" customHeight="1" outlineLevel="1">
      <c r="B567" s="327"/>
      <c r="D567" s="305"/>
      <c r="E567" s="333" t="s">
        <v>510</v>
      </c>
      <c r="F567" s="337">
        <v>125.0</v>
      </c>
      <c r="G567" s="341">
        <v>419.0</v>
      </c>
      <c r="H567" s="341"/>
      <c r="I567" s="286"/>
      <c r="J567" s="335">
        <v>75.0</v>
      </c>
      <c r="K567" s="332">
        <f t="shared" si="58"/>
        <v>0.1789976134</v>
      </c>
      <c r="L567" s="319">
        <f t="shared" si="59"/>
        <v>-75</v>
      </c>
      <c r="M567" s="332">
        <f t="shared" si="60"/>
        <v>-1</v>
      </c>
      <c r="N567" s="331"/>
      <c r="O567" s="285"/>
      <c r="P567" s="285"/>
      <c r="Q567" s="300"/>
      <c r="R567" s="341"/>
    </row>
    <row r="568" ht="14.25" customHeight="1" outlineLevel="1">
      <c r="B568" s="327"/>
      <c r="C568" s="327"/>
      <c r="D568" s="368"/>
      <c r="E568" s="333" t="s">
        <v>114</v>
      </c>
      <c r="F568" s="337">
        <v>125.0</v>
      </c>
      <c r="G568" s="341"/>
      <c r="H568" s="341"/>
      <c r="I568" s="286"/>
      <c r="J568" s="335">
        <v>75.0</v>
      </c>
      <c r="K568" s="332" t="str">
        <f t="shared" si="58"/>
        <v>#DIV/0!</v>
      </c>
      <c r="L568" s="319">
        <f t="shared" si="59"/>
        <v>-75</v>
      </c>
      <c r="M568" s="332">
        <f t="shared" si="60"/>
        <v>-1</v>
      </c>
      <c r="N568" s="331"/>
      <c r="O568" s="285"/>
      <c r="P568" s="285"/>
      <c r="Q568" s="300"/>
      <c r="R568" s="341"/>
    </row>
    <row r="569" ht="14.25" customHeight="1" outlineLevel="1">
      <c r="A569" s="327" t="s">
        <v>744</v>
      </c>
      <c r="B569" s="327"/>
      <c r="C569" s="327" t="s">
        <v>744</v>
      </c>
      <c r="D569" s="368" t="s">
        <v>731</v>
      </c>
      <c r="E569" s="333" t="s">
        <v>159</v>
      </c>
      <c r="F569" s="337">
        <v>750.0</v>
      </c>
      <c r="G569" s="341">
        <v>3599.0</v>
      </c>
      <c r="H569" s="341"/>
      <c r="I569" s="286"/>
      <c r="J569" s="335">
        <v>744.0</v>
      </c>
      <c r="K569" s="332">
        <f t="shared" si="58"/>
        <v>0.20672409</v>
      </c>
      <c r="L569" s="319">
        <f t="shared" si="59"/>
        <v>-744</v>
      </c>
      <c r="M569" s="332">
        <f t="shared" si="60"/>
        <v>-1</v>
      </c>
      <c r="N569" s="331"/>
      <c r="O569" s="285"/>
      <c r="P569" s="285"/>
      <c r="Q569" s="300"/>
      <c r="R569" s="341"/>
    </row>
    <row r="570" ht="14.25" customHeight="1" outlineLevel="1">
      <c r="B570" s="327"/>
      <c r="D570" s="305"/>
      <c r="E570" s="333" t="s">
        <v>160</v>
      </c>
      <c r="F570" s="337">
        <v>750.0</v>
      </c>
      <c r="G570" s="341">
        <v>3599.0</v>
      </c>
      <c r="H570" s="341"/>
      <c r="I570" s="286"/>
      <c r="J570" s="335">
        <v>744.0</v>
      </c>
      <c r="K570" s="332">
        <f t="shared" si="58"/>
        <v>0.20672409</v>
      </c>
      <c r="L570" s="319">
        <f t="shared" si="59"/>
        <v>-744</v>
      </c>
      <c r="M570" s="332">
        <f t="shared" si="60"/>
        <v>-1</v>
      </c>
      <c r="N570" s="331"/>
      <c r="O570" s="285"/>
      <c r="P570" s="285"/>
      <c r="Q570" s="300"/>
      <c r="R570" s="341"/>
    </row>
    <row r="571" ht="14.25" customHeight="1" outlineLevel="1">
      <c r="B571" s="327"/>
      <c r="D571" s="305"/>
      <c r="E571" s="333" t="s">
        <v>509</v>
      </c>
      <c r="F571" s="337">
        <v>750.0</v>
      </c>
      <c r="G571" s="341">
        <v>3699.0</v>
      </c>
      <c r="H571" s="341"/>
      <c r="I571" s="286"/>
      <c r="J571" s="335">
        <v>744.0</v>
      </c>
      <c r="K571" s="332">
        <f t="shared" si="58"/>
        <v>0.201135442</v>
      </c>
      <c r="L571" s="319">
        <f t="shared" si="59"/>
        <v>-744</v>
      </c>
      <c r="M571" s="332">
        <f t="shared" si="60"/>
        <v>-1</v>
      </c>
      <c r="N571" s="331"/>
      <c r="O571" s="285"/>
      <c r="P571" s="285"/>
      <c r="Q571" s="300"/>
      <c r="R571" s="341"/>
    </row>
    <row r="572" ht="14.25" customHeight="1" outlineLevel="1">
      <c r="B572" s="327"/>
      <c r="D572" s="305"/>
      <c r="E572" s="333" t="s">
        <v>510</v>
      </c>
      <c r="F572" s="337">
        <v>750.0</v>
      </c>
      <c r="G572" s="341">
        <v>3699.0</v>
      </c>
      <c r="H572" s="341"/>
      <c r="I572" s="286"/>
      <c r="J572" s="335">
        <v>744.0</v>
      </c>
      <c r="K572" s="332">
        <f t="shared" si="58"/>
        <v>0.201135442</v>
      </c>
      <c r="L572" s="319">
        <f t="shared" si="59"/>
        <v>-744</v>
      </c>
      <c r="M572" s="332">
        <f t="shared" si="60"/>
        <v>-1</v>
      </c>
      <c r="N572" s="331"/>
      <c r="O572" s="285"/>
      <c r="P572" s="285"/>
      <c r="Q572" s="300"/>
      <c r="R572" s="341"/>
    </row>
    <row r="573" ht="14.25" customHeight="1" outlineLevel="1">
      <c r="B573" s="327"/>
      <c r="C573" s="327"/>
      <c r="D573" s="368"/>
      <c r="E573" s="333" t="s">
        <v>114</v>
      </c>
      <c r="F573" s="337">
        <v>750.0</v>
      </c>
      <c r="G573" s="341"/>
      <c r="H573" s="341"/>
      <c r="I573" s="286"/>
      <c r="J573" s="335">
        <v>744.0</v>
      </c>
      <c r="K573" s="332" t="str">
        <f t="shared" si="58"/>
        <v>#DIV/0!</v>
      </c>
      <c r="L573" s="319">
        <f t="shared" si="59"/>
        <v>-744</v>
      </c>
      <c r="M573" s="332">
        <f t="shared" si="60"/>
        <v>-1</v>
      </c>
      <c r="N573" s="331"/>
      <c r="O573" s="285"/>
      <c r="P573" s="285"/>
      <c r="Q573" s="300"/>
      <c r="R573" s="341"/>
    </row>
    <row r="574" ht="14.25" customHeight="1" outlineLevel="1">
      <c r="A574" s="327" t="s">
        <v>744</v>
      </c>
      <c r="B574" s="327"/>
      <c r="C574" s="327" t="s">
        <v>744</v>
      </c>
      <c r="D574" s="368" t="s">
        <v>731</v>
      </c>
      <c r="E574" s="333" t="s">
        <v>159</v>
      </c>
      <c r="F574" s="337">
        <v>125.0</v>
      </c>
      <c r="G574" s="341">
        <v>599.0</v>
      </c>
      <c r="H574" s="341"/>
      <c r="I574" s="286"/>
      <c r="J574" s="335">
        <v>124.0</v>
      </c>
      <c r="K574" s="332">
        <f t="shared" si="58"/>
        <v>0.2070116861</v>
      </c>
      <c r="L574" s="319">
        <f t="shared" si="59"/>
        <v>-124</v>
      </c>
      <c r="M574" s="332">
        <f t="shared" si="60"/>
        <v>-1</v>
      </c>
      <c r="N574" s="331"/>
      <c r="O574" s="285"/>
      <c r="P574" s="285"/>
      <c r="Q574" s="300"/>
      <c r="R574" s="341"/>
    </row>
    <row r="575" ht="14.25" customHeight="1" outlineLevel="1">
      <c r="B575" s="327"/>
      <c r="D575" s="305"/>
      <c r="E575" s="333" t="s">
        <v>160</v>
      </c>
      <c r="F575" s="337">
        <v>125.0</v>
      </c>
      <c r="G575" s="341">
        <v>599.0</v>
      </c>
      <c r="H575" s="341"/>
      <c r="I575" s="286"/>
      <c r="J575" s="335">
        <v>124.0</v>
      </c>
      <c r="K575" s="332">
        <f t="shared" si="58"/>
        <v>0.2070116861</v>
      </c>
      <c r="L575" s="319">
        <f t="shared" si="59"/>
        <v>-124</v>
      </c>
      <c r="M575" s="332">
        <f t="shared" si="60"/>
        <v>-1</v>
      </c>
      <c r="N575" s="331"/>
      <c r="O575" s="285"/>
      <c r="P575" s="285"/>
      <c r="Q575" s="300"/>
      <c r="R575" s="341"/>
    </row>
    <row r="576" ht="14.25" customHeight="1" outlineLevel="1">
      <c r="B576" s="327"/>
      <c r="D576" s="305"/>
      <c r="E576" s="333" t="s">
        <v>509</v>
      </c>
      <c r="F576" s="337">
        <v>125.0</v>
      </c>
      <c r="G576" s="341">
        <v>619.0</v>
      </c>
      <c r="H576" s="341"/>
      <c r="I576" s="286"/>
      <c r="J576" s="335">
        <v>124.0</v>
      </c>
      <c r="K576" s="332">
        <f t="shared" si="58"/>
        <v>0.2003231018</v>
      </c>
      <c r="L576" s="319">
        <f t="shared" si="59"/>
        <v>-124</v>
      </c>
      <c r="M576" s="332">
        <f t="shared" si="60"/>
        <v>-1</v>
      </c>
      <c r="N576" s="331"/>
      <c r="O576" s="285"/>
      <c r="P576" s="285"/>
      <c r="Q576" s="300"/>
      <c r="R576" s="341"/>
    </row>
    <row r="577" ht="14.25" customHeight="1" outlineLevel="1">
      <c r="B577" s="327"/>
      <c r="D577" s="305"/>
      <c r="E577" s="333" t="s">
        <v>622</v>
      </c>
      <c r="F577" s="337">
        <v>125.0</v>
      </c>
      <c r="G577" s="341">
        <v>619.0</v>
      </c>
      <c r="H577" s="341"/>
      <c r="I577" s="286"/>
      <c r="J577" s="335">
        <v>124.0</v>
      </c>
      <c r="K577" s="332">
        <f t="shared" si="58"/>
        <v>0.2003231018</v>
      </c>
      <c r="L577" s="319">
        <f t="shared" si="59"/>
        <v>-124</v>
      </c>
      <c r="M577" s="332">
        <f t="shared" si="60"/>
        <v>-1</v>
      </c>
      <c r="N577" s="331"/>
      <c r="O577" s="285"/>
      <c r="P577" s="285"/>
      <c r="Q577" s="300"/>
      <c r="R577" s="341"/>
    </row>
    <row r="578" ht="14.25" customHeight="1" outlineLevel="1">
      <c r="B578" s="327"/>
      <c r="C578" s="327"/>
      <c r="D578" s="368"/>
      <c r="E578" s="333" t="s">
        <v>114</v>
      </c>
      <c r="F578" s="337">
        <v>125.0</v>
      </c>
      <c r="G578" s="341"/>
      <c r="H578" s="341"/>
      <c r="I578" s="286"/>
      <c r="J578" s="335">
        <v>124.0</v>
      </c>
      <c r="K578" s="332" t="str">
        <f t="shared" si="58"/>
        <v>#DIV/0!</v>
      </c>
      <c r="L578" s="319">
        <f t="shared" si="59"/>
        <v>-124</v>
      </c>
      <c r="M578" s="332">
        <f t="shared" si="60"/>
        <v>-1</v>
      </c>
      <c r="N578" s="331"/>
      <c r="O578" s="285"/>
      <c r="P578" s="285"/>
      <c r="Q578" s="300"/>
      <c r="R578" s="341"/>
    </row>
    <row r="579" ht="14.25" customHeight="1" outlineLevel="1">
      <c r="A579" s="288" t="s">
        <v>745</v>
      </c>
      <c r="B579" s="289"/>
      <c r="C579" s="289"/>
      <c r="D579" s="289"/>
      <c r="E579" s="322" t="s">
        <v>159</v>
      </c>
      <c r="F579" s="356"/>
      <c r="G579" s="357"/>
      <c r="H579" s="357"/>
      <c r="I579" s="324"/>
      <c r="J579" s="325"/>
      <c r="K579" s="297"/>
      <c r="L579" s="326"/>
      <c r="M579" s="297"/>
      <c r="N579" s="299"/>
      <c r="O579" s="304"/>
      <c r="P579" s="304"/>
      <c r="Q579" s="326"/>
      <c r="R579" s="357"/>
    </row>
    <row r="580" ht="14.25" customHeight="1" outlineLevel="1">
      <c r="B580" s="289"/>
      <c r="C580" s="289"/>
      <c r="D580" s="289"/>
      <c r="E580" s="322" t="s">
        <v>160</v>
      </c>
      <c r="F580" s="356"/>
      <c r="G580" s="357"/>
      <c r="H580" s="357"/>
      <c r="I580" s="324"/>
      <c r="J580" s="325"/>
      <c r="K580" s="297"/>
      <c r="L580" s="326"/>
      <c r="M580" s="297"/>
      <c r="N580" s="299"/>
      <c r="O580" s="304"/>
      <c r="P580" s="304"/>
      <c r="Q580" s="326"/>
      <c r="R580" s="357"/>
    </row>
    <row r="581" ht="14.25" customHeight="1" outlineLevel="1">
      <c r="B581" s="289"/>
      <c r="C581" s="289"/>
      <c r="D581" s="289"/>
      <c r="E581" s="322" t="s">
        <v>509</v>
      </c>
      <c r="F581" s="356"/>
      <c r="G581" s="357"/>
      <c r="H581" s="357"/>
      <c r="I581" s="324"/>
      <c r="J581" s="325"/>
      <c r="K581" s="297"/>
      <c r="L581" s="326"/>
      <c r="M581" s="297"/>
      <c r="N581" s="299"/>
      <c r="O581" s="304"/>
      <c r="P581" s="304"/>
      <c r="Q581" s="326"/>
      <c r="R581" s="357"/>
    </row>
    <row r="582" ht="14.25" customHeight="1" outlineLevel="1">
      <c r="B582" s="289"/>
      <c r="C582" s="289"/>
      <c r="D582" s="289"/>
      <c r="E582" s="322" t="s">
        <v>622</v>
      </c>
      <c r="F582" s="356"/>
      <c r="G582" s="357"/>
      <c r="H582" s="357"/>
      <c r="I582" s="324"/>
      <c r="J582" s="325"/>
      <c r="K582" s="297"/>
      <c r="L582" s="326"/>
      <c r="M582" s="297"/>
      <c r="N582" s="299"/>
      <c r="O582" s="304"/>
      <c r="P582" s="304"/>
      <c r="Q582" s="326"/>
      <c r="R582" s="357"/>
    </row>
    <row r="583" ht="14.25" customHeight="1" outlineLevel="1">
      <c r="B583" s="289"/>
      <c r="C583" s="289"/>
      <c r="D583" s="289"/>
      <c r="E583" s="322" t="s">
        <v>114</v>
      </c>
      <c r="F583" s="356"/>
      <c r="G583" s="357"/>
      <c r="H583" s="357"/>
      <c r="I583" s="324"/>
      <c r="J583" s="325"/>
      <c r="K583" s="297"/>
      <c r="L583" s="326"/>
      <c r="M583" s="297"/>
      <c r="N583" s="299"/>
      <c r="O583" s="304"/>
      <c r="P583" s="304"/>
      <c r="Q583" s="326"/>
      <c r="R583" s="357"/>
    </row>
    <row r="584" ht="14.25" customHeight="1" outlineLevel="1">
      <c r="A584" s="327" t="s">
        <v>746</v>
      </c>
      <c r="B584" s="327" t="s">
        <v>747</v>
      </c>
      <c r="C584" s="327" t="s">
        <v>746</v>
      </c>
      <c r="D584" s="327" t="s">
        <v>747</v>
      </c>
      <c r="E584" s="333" t="s">
        <v>159</v>
      </c>
      <c r="F584" s="339">
        <v>750.0</v>
      </c>
      <c r="G584" s="334">
        <v>2199.0</v>
      </c>
      <c r="H584" s="334"/>
      <c r="I584" s="286"/>
      <c r="J584" s="335">
        <v>358.0</v>
      </c>
      <c r="K584" s="332">
        <f t="shared" ref="K584:K623" si="61">J584/G584</f>
        <v>0.1628012733</v>
      </c>
      <c r="L584" s="319">
        <f t="shared" ref="L584:L623" si="62">Q584-J584</f>
        <v>-358</v>
      </c>
      <c r="M584" s="332">
        <f t="shared" ref="M584:M623" si="63">Q584/J584-1</f>
        <v>-1</v>
      </c>
      <c r="N584" s="331"/>
      <c r="O584" s="285"/>
      <c r="P584" s="285"/>
      <c r="Q584" s="319"/>
      <c r="R584" s="334"/>
    </row>
    <row r="585" ht="14.25" customHeight="1" outlineLevel="1">
      <c r="E585" s="333" t="s">
        <v>160</v>
      </c>
      <c r="F585" s="339">
        <v>750.0</v>
      </c>
      <c r="G585" s="334">
        <v>2199.0</v>
      </c>
      <c r="H585" s="334"/>
      <c r="I585" s="286"/>
      <c r="J585" s="335">
        <v>358.0</v>
      </c>
      <c r="K585" s="332">
        <f t="shared" si="61"/>
        <v>0.1628012733</v>
      </c>
      <c r="L585" s="319">
        <f t="shared" si="62"/>
        <v>-358</v>
      </c>
      <c r="M585" s="332">
        <f t="shared" si="63"/>
        <v>-1</v>
      </c>
      <c r="N585" s="331"/>
      <c r="O585" s="285"/>
      <c r="P585" s="285"/>
      <c r="Q585" s="319"/>
      <c r="R585" s="334"/>
    </row>
    <row r="586" ht="14.25" customHeight="1" outlineLevel="1">
      <c r="E586" s="333" t="s">
        <v>509</v>
      </c>
      <c r="F586" s="339">
        <v>750.0</v>
      </c>
      <c r="G586" s="334">
        <v>2299.0</v>
      </c>
      <c r="H586" s="334"/>
      <c r="I586" s="286"/>
      <c r="J586" s="335">
        <v>358.0</v>
      </c>
      <c r="K586" s="332">
        <f t="shared" si="61"/>
        <v>0.1557198782</v>
      </c>
      <c r="L586" s="319">
        <f t="shared" si="62"/>
        <v>-358</v>
      </c>
      <c r="M586" s="332">
        <f t="shared" si="63"/>
        <v>-1</v>
      </c>
      <c r="N586" s="331"/>
      <c r="O586" s="285"/>
      <c r="P586" s="285"/>
      <c r="Q586" s="319"/>
      <c r="R586" s="334"/>
    </row>
    <row r="587" ht="14.25" customHeight="1" outlineLevel="1">
      <c r="E587" s="333" t="s">
        <v>510</v>
      </c>
      <c r="F587" s="339">
        <v>750.0</v>
      </c>
      <c r="G587" s="334">
        <v>2299.0</v>
      </c>
      <c r="H587" s="334"/>
      <c r="I587" s="286"/>
      <c r="J587" s="335">
        <v>358.0</v>
      </c>
      <c r="K587" s="332">
        <f t="shared" si="61"/>
        <v>0.1557198782</v>
      </c>
      <c r="L587" s="319">
        <f t="shared" si="62"/>
        <v>-358</v>
      </c>
      <c r="M587" s="332">
        <f t="shared" si="63"/>
        <v>-1</v>
      </c>
      <c r="N587" s="331"/>
      <c r="O587" s="285"/>
      <c r="P587" s="285"/>
      <c r="Q587" s="319"/>
      <c r="R587" s="334"/>
    </row>
    <row r="588" ht="14.25" customHeight="1" outlineLevel="1">
      <c r="B588" s="327"/>
      <c r="C588" s="327"/>
      <c r="D588" s="327"/>
      <c r="E588" s="333" t="s">
        <v>114</v>
      </c>
      <c r="F588" s="339">
        <v>750.0</v>
      </c>
      <c r="G588" s="334"/>
      <c r="H588" s="334"/>
      <c r="I588" s="286"/>
      <c r="J588" s="335">
        <v>358.0</v>
      </c>
      <c r="K588" s="332" t="str">
        <f t="shared" si="61"/>
        <v>#DIV/0!</v>
      </c>
      <c r="L588" s="319">
        <f t="shared" si="62"/>
        <v>-358</v>
      </c>
      <c r="M588" s="332">
        <f t="shared" si="63"/>
        <v>-1</v>
      </c>
      <c r="N588" s="331"/>
      <c r="O588" s="285"/>
      <c r="P588" s="285"/>
      <c r="Q588" s="319"/>
      <c r="R588" s="334"/>
    </row>
    <row r="589" ht="14.25" customHeight="1" outlineLevel="1">
      <c r="A589" s="327" t="s">
        <v>746</v>
      </c>
      <c r="B589" s="327"/>
      <c r="C589" s="327" t="s">
        <v>746</v>
      </c>
      <c r="D589" s="327" t="s">
        <v>747</v>
      </c>
      <c r="E589" s="333" t="s">
        <v>159</v>
      </c>
      <c r="F589" s="339">
        <v>125.0</v>
      </c>
      <c r="G589" s="341">
        <v>369.0</v>
      </c>
      <c r="H589" s="334"/>
      <c r="I589" s="286"/>
      <c r="J589" s="335">
        <v>60.0</v>
      </c>
      <c r="K589" s="332">
        <f t="shared" si="61"/>
        <v>0.162601626</v>
      </c>
      <c r="L589" s="319">
        <f t="shared" si="62"/>
        <v>-60</v>
      </c>
      <c r="M589" s="332">
        <f t="shared" si="63"/>
        <v>-1</v>
      </c>
      <c r="N589" s="331"/>
      <c r="O589" s="285"/>
      <c r="P589" s="285"/>
      <c r="Q589" s="319"/>
      <c r="R589" s="334"/>
    </row>
    <row r="590" ht="14.25" customHeight="1" outlineLevel="1">
      <c r="B590" s="327"/>
      <c r="E590" s="333" t="s">
        <v>160</v>
      </c>
      <c r="F590" s="339">
        <v>125.0</v>
      </c>
      <c r="G590" s="341">
        <v>369.0</v>
      </c>
      <c r="H590" s="334"/>
      <c r="I590" s="286"/>
      <c r="J590" s="335">
        <v>60.0</v>
      </c>
      <c r="K590" s="332">
        <f t="shared" si="61"/>
        <v>0.162601626</v>
      </c>
      <c r="L590" s="319">
        <f t="shared" si="62"/>
        <v>-60</v>
      </c>
      <c r="M590" s="332">
        <f t="shared" si="63"/>
        <v>-1</v>
      </c>
      <c r="N590" s="331"/>
      <c r="O590" s="285"/>
      <c r="P590" s="285"/>
      <c r="Q590" s="319"/>
      <c r="R590" s="334"/>
    </row>
    <row r="591" ht="14.25" customHeight="1" outlineLevel="1">
      <c r="B591" s="327"/>
      <c r="E591" s="333" t="s">
        <v>509</v>
      </c>
      <c r="F591" s="339">
        <v>125.0</v>
      </c>
      <c r="G591" s="341">
        <v>389.0</v>
      </c>
      <c r="H591" s="334"/>
      <c r="I591" s="286"/>
      <c r="J591" s="335">
        <v>60.0</v>
      </c>
      <c r="K591" s="332">
        <f t="shared" si="61"/>
        <v>0.1542416452</v>
      </c>
      <c r="L591" s="319">
        <f t="shared" si="62"/>
        <v>-60</v>
      </c>
      <c r="M591" s="332">
        <f t="shared" si="63"/>
        <v>-1</v>
      </c>
      <c r="N591" s="331"/>
      <c r="O591" s="285"/>
      <c r="P591" s="285"/>
      <c r="Q591" s="319"/>
      <c r="R591" s="334"/>
    </row>
    <row r="592" ht="14.25" customHeight="1" outlineLevel="1">
      <c r="B592" s="327"/>
      <c r="E592" s="333" t="s">
        <v>510</v>
      </c>
      <c r="F592" s="339">
        <v>125.0</v>
      </c>
      <c r="G592" s="341">
        <v>389.0</v>
      </c>
      <c r="H592" s="334"/>
      <c r="I592" s="286"/>
      <c r="J592" s="335">
        <v>60.0</v>
      </c>
      <c r="K592" s="332">
        <f t="shared" si="61"/>
        <v>0.1542416452</v>
      </c>
      <c r="L592" s="319">
        <f t="shared" si="62"/>
        <v>-60</v>
      </c>
      <c r="M592" s="332">
        <f t="shared" si="63"/>
        <v>-1</v>
      </c>
      <c r="N592" s="331"/>
      <c r="O592" s="285"/>
      <c r="P592" s="285"/>
      <c r="Q592" s="319"/>
      <c r="R592" s="334"/>
    </row>
    <row r="593" ht="14.25" customHeight="1" outlineLevel="1">
      <c r="B593" s="327"/>
      <c r="C593" s="327"/>
      <c r="D593" s="327"/>
      <c r="E593" s="333" t="s">
        <v>114</v>
      </c>
      <c r="F593" s="339">
        <v>125.0</v>
      </c>
      <c r="G593" s="341"/>
      <c r="H593" s="334"/>
      <c r="I593" s="286"/>
      <c r="J593" s="335">
        <v>60.0</v>
      </c>
      <c r="K593" s="332" t="str">
        <f t="shared" si="61"/>
        <v>#DIV/0!</v>
      </c>
      <c r="L593" s="319">
        <f t="shared" si="62"/>
        <v>-60</v>
      </c>
      <c r="M593" s="332">
        <f t="shared" si="63"/>
        <v>-1</v>
      </c>
      <c r="N593" s="331"/>
      <c r="O593" s="285"/>
      <c r="P593" s="285"/>
      <c r="Q593" s="319"/>
      <c r="R593" s="334"/>
    </row>
    <row r="594" ht="14.25" customHeight="1" outlineLevel="1">
      <c r="A594" s="327" t="s">
        <v>748</v>
      </c>
      <c r="B594" s="327" t="s">
        <v>747</v>
      </c>
      <c r="C594" s="327" t="s">
        <v>748</v>
      </c>
      <c r="D594" s="327" t="s">
        <v>747</v>
      </c>
      <c r="E594" s="333" t="s">
        <v>159</v>
      </c>
      <c r="F594" s="339">
        <v>750.0</v>
      </c>
      <c r="G594" s="334">
        <v>2199.0</v>
      </c>
      <c r="H594" s="334"/>
      <c r="I594" s="286"/>
      <c r="J594" s="335">
        <v>356.0</v>
      </c>
      <c r="K594" s="332">
        <f t="shared" si="61"/>
        <v>0.161891769</v>
      </c>
      <c r="L594" s="319">
        <f t="shared" si="62"/>
        <v>-356</v>
      </c>
      <c r="M594" s="332">
        <f t="shared" si="63"/>
        <v>-1</v>
      </c>
      <c r="N594" s="331"/>
      <c r="O594" s="285"/>
      <c r="P594" s="285"/>
      <c r="Q594" s="319"/>
      <c r="R594" s="334"/>
    </row>
    <row r="595" ht="14.25" customHeight="1" outlineLevel="1">
      <c r="E595" s="333" t="s">
        <v>160</v>
      </c>
      <c r="F595" s="339">
        <v>750.0</v>
      </c>
      <c r="G595" s="334">
        <v>2199.0</v>
      </c>
      <c r="H595" s="334"/>
      <c r="I595" s="286"/>
      <c r="J595" s="335">
        <v>356.0</v>
      </c>
      <c r="K595" s="332">
        <f t="shared" si="61"/>
        <v>0.161891769</v>
      </c>
      <c r="L595" s="319">
        <f t="shared" si="62"/>
        <v>-356</v>
      </c>
      <c r="M595" s="332">
        <f t="shared" si="63"/>
        <v>-1</v>
      </c>
      <c r="N595" s="331"/>
      <c r="O595" s="285"/>
      <c r="P595" s="285"/>
      <c r="Q595" s="319"/>
      <c r="R595" s="334"/>
    </row>
    <row r="596" ht="14.25" customHeight="1" outlineLevel="1">
      <c r="E596" s="333" t="s">
        <v>509</v>
      </c>
      <c r="F596" s="339">
        <v>750.0</v>
      </c>
      <c r="G596" s="334">
        <v>2299.0</v>
      </c>
      <c r="H596" s="334"/>
      <c r="I596" s="286"/>
      <c r="J596" s="335">
        <v>356.0</v>
      </c>
      <c r="K596" s="332">
        <f t="shared" si="61"/>
        <v>0.1548499348</v>
      </c>
      <c r="L596" s="319">
        <f t="shared" si="62"/>
        <v>-356</v>
      </c>
      <c r="M596" s="332">
        <f t="shared" si="63"/>
        <v>-1</v>
      </c>
      <c r="N596" s="331"/>
      <c r="O596" s="285"/>
      <c r="P596" s="285"/>
      <c r="Q596" s="319"/>
      <c r="R596" s="334"/>
    </row>
    <row r="597" ht="14.25" customHeight="1" outlineLevel="1">
      <c r="E597" s="333" t="s">
        <v>510</v>
      </c>
      <c r="F597" s="339">
        <v>750.0</v>
      </c>
      <c r="G597" s="334">
        <v>2299.0</v>
      </c>
      <c r="H597" s="334"/>
      <c r="I597" s="286"/>
      <c r="J597" s="335">
        <v>356.0</v>
      </c>
      <c r="K597" s="332">
        <f t="shared" si="61"/>
        <v>0.1548499348</v>
      </c>
      <c r="L597" s="319">
        <f t="shared" si="62"/>
        <v>-356</v>
      </c>
      <c r="M597" s="332">
        <f t="shared" si="63"/>
        <v>-1</v>
      </c>
      <c r="N597" s="331"/>
      <c r="O597" s="285"/>
      <c r="P597" s="285"/>
      <c r="Q597" s="319"/>
      <c r="R597" s="334"/>
    </row>
    <row r="598" ht="14.25" customHeight="1" outlineLevel="1">
      <c r="B598" s="327"/>
      <c r="C598" s="327"/>
      <c r="D598" s="327"/>
      <c r="E598" s="333" t="s">
        <v>114</v>
      </c>
      <c r="F598" s="339">
        <v>750.0</v>
      </c>
      <c r="G598" s="334"/>
      <c r="H598" s="334"/>
      <c r="I598" s="286"/>
      <c r="J598" s="335">
        <v>356.0</v>
      </c>
      <c r="K598" s="332" t="str">
        <f t="shared" si="61"/>
        <v>#DIV/0!</v>
      </c>
      <c r="L598" s="319">
        <f t="shared" si="62"/>
        <v>-356</v>
      </c>
      <c r="M598" s="332">
        <f t="shared" si="63"/>
        <v>-1</v>
      </c>
      <c r="N598" s="331"/>
      <c r="O598" s="285"/>
      <c r="P598" s="285"/>
      <c r="Q598" s="319"/>
      <c r="R598" s="334"/>
    </row>
    <row r="599" ht="14.25" customHeight="1" outlineLevel="1">
      <c r="A599" s="327" t="s">
        <v>748</v>
      </c>
      <c r="B599" s="327"/>
      <c r="C599" s="327" t="s">
        <v>748</v>
      </c>
      <c r="D599" s="327" t="s">
        <v>747</v>
      </c>
      <c r="E599" s="333" t="s">
        <v>159</v>
      </c>
      <c r="F599" s="339">
        <v>125.0</v>
      </c>
      <c r="G599" s="341">
        <v>369.0</v>
      </c>
      <c r="H599" s="334"/>
      <c r="I599" s="286"/>
      <c r="J599" s="335">
        <v>59.0</v>
      </c>
      <c r="K599" s="332">
        <f t="shared" si="61"/>
        <v>0.1598915989</v>
      </c>
      <c r="L599" s="319">
        <f t="shared" si="62"/>
        <v>-59</v>
      </c>
      <c r="M599" s="332">
        <f t="shared" si="63"/>
        <v>-1</v>
      </c>
      <c r="N599" s="331"/>
      <c r="O599" s="285"/>
      <c r="P599" s="285"/>
      <c r="Q599" s="319"/>
      <c r="R599" s="334"/>
    </row>
    <row r="600" ht="14.25" customHeight="1" outlineLevel="1">
      <c r="B600" s="327"/>
      <c r="E600" s="333" t="s">
        <v>160</v>
      </c>
      <c r="F600" s="339">
        <v>125.0</v>
      </c>
      <c r="G600" s="341">
        <v>369.0</v>
      </c>
      <c r="H600" s="334"/>
      <c r="I600" s="286"/>
      <c r="J600" s="335">
        <v>59.0</v>
      </c>
      <c r="K600" s="332">
        <f t="shared" si="61"/>
        <v>0.1598915989</v>
      </c>
      <c r="L600" s="319">
        <f t="shared" si="62"/>
        <v>-59</v>
      </c>
      <c r="M600" s="332">
        <f t="shared" si="63"/>
        <v>-1</v>
      </c>
      <c r="N600" s="331"/>
      <c r="O600" s="285"/>
      <c r="P600" s="285"/>
      <c r="Q600" s="319"/>
      <c r="R600" s="334"/>
    </row>
    <row r="601" ht="14.25" customHeight="1" outlineLevel="1">
      <c r="B601" s="327"/>
      <c r="E601" s="333" t="s">
        <v>509</v>
      </c>
      <c r="F601" s="339">
        <v>125.0</v>
      </c>
      <c r="G601" s="341">
        <v>389.0</v>
      </c>
      <c r="H601" s="334"/>
      <c r="I601" s="286"/>
      <c r="J601" s="335">
        <v>59.0</v>
      </c>
      <c r="K601" s="332">
        <f t="shared" si="61"/>
        <v>0.1516709512</v>
      </c>
      <c r="L601" s="319">
        <f t="shared" si="62"/>
        <v>-59</v>
      </c>
      <c r="M601" s="332">
        <f t="shared" si="63"/>
        <v>-1</v>
      </c>
      <c r="N601" s="331"/>
      <c r="O601" s="285"/>
      <c r="P601" s="285"/>
      <c r="Q601" s="319"/>
      <c r="R601" s="334"/>
    </row>
    <row r="602" ht="14.25" customHeight="1" outlineLevel="1">
      <c r="B602" s="327"/>
      <c r="E602" s="333" t="s">
        <v>510</v>
      </c>
      <c r="F602" s="339">
        <v>125.0</v>
      </c>
      <c r="G602" s="341">
        <v>389.0</v>
      </c>
      <c r="H602" s="334"/>
      <c r="I602" s="286"/>
      <c r="J602" s="335">
        <v>59.0</v>
      </c>
      <c r="K602" s="332">
        <f t="shared" si="61"/>
        <v>0.1516709512</v>
      </c>
      <c r="L602" s="319">
        <f t="shared" si="62"/>
        <v>-59</v>
      </c>
      <c r="M602" s="332">
        <f t="shared" si="63"/>
        <v>-1</v>
      </c>
      <c r="N602" s="331"/>
      <c r="O602" s="285"/>
      <c r="P602" s="285"/>
      <c r="Q602" s="319"/>
      <c r="R602" s="334"/>
    </row>
    <row r="603" ht="14.25" customHeight="1" outlineLevel="1">
      <c r="B603" s="327"/>
      <c r="C603" s="327"/>
      <c r="D603" s="327"/>
      <c r="E603" s="333" t="s">
        <v>114</v>
      </c>
      <c r="F603" s="339">
        <v>125.0</v>
      </c>
      <c r="G603" s="341"/>
      <c r="H603" s="334"/>
      <c r="I603" s="286"/>
      <c r="J603" s="335">
        <v>59.0</v>
      </c>
      <c r="K603" s="332" t="str">
        <f t="shared" si="61"/>
        <v>#DIV/0!</v>
      </c>
      <c r="L603" s="319">
        <f t="shared" si="62"/>
        <v>-59</v>
      </c>
      <c r="M603" s="332">
        <f t="shared" si="63"/>
        <v>-1</v>
      </c>
      <c r="N603" s="331"/>
      <c r="O603" s="285"/>
      <c r="P603" s="285"/>
      <c r="Q603" s="319"/>
      <c r="R603" s="334"/>
    </row>
    <row r="604" ht="14.25" customHeight="1" outlineLevel="1">
      <c r="A604" s="327" t="s">
        <v>749</v>
      </c>
      <c r="B604" s="327"/>
      <c r="C604" s="327" t="s">
        <v>749</v>
      </c>
      <c r="D604" s="327" t="s">
        <v>747</v>
      </c>
      <c r="E604" s="333" t="s">
        <v>159</v>
      </c>
      <c r="F604" s="339">
        <v>750.0</v>
      </c>
      <c r="G604" s="334">
        <v>2299.0</v>
      </c>
      <c r="H604" s="334"/>
      <c r="I604" s="286"/>
      <c r="J604" s="335">
        <v>373.0</v>
      </c>
      <c r="K604" s="332">
        <f t="shared" si="61"/>
        <v>0.1622444541</v>
      </c>
      <c r="L604" s="319">
        <f t="shared" si="62"/>
        <v>-373</v>
      </c>
      <c r="M604" s="332">
        <f t="shared" si="63"/>
        <v>-1</v>
      </c>
      <c r="N604" s="331"/>
      <c r="O604" s="285"/>
      <c r="P604" s="285"/>
      <c r="Q604" s="319"/>
      <c r="R604" s="334"/>
    </row>
    <row r="605" ht="14.25" customHeight="1" outlineLevel="1">
      <c r="B605" s="327"/>
      <c r="E605" s="333" t="s">
        <v>160</v>
      </c>
      <c r="F605" s="339">
        <v>750.0</v>
      </c>
      <c r="G605" s="334">
        <v>2299.0</v>
      </c>
      <c r="H605" s="334"/>
      <c r="I605" s="286"/>
      <c r="J605" s="335">
        <v>373.0</v>
      </c>
      <c r="K605" s="332">
        <f t="shared" si="61"/>
        <v>0.1622444541</v>
      </c>
      <c r="L605" s="319">
        <f t="shared" si="62"/>
        <v>-373</v>
      </c>
      <c r="M605" s="332">
        <f t="shared" si="63"/>
        <v>-1</v>
      </c>
      <c r="N605" s="331"/>
      <c r="O605" s="285"/>
      <c r="P605" s="285"/>
      <c r="Q605" s="319"/>
      <c r="R605" s="334"/>
    </row>
    <row r="606" ht="14.25" customHeight="1" outlineLevel="1">
      <c r="B606" s="327"/>
      <c r="E606" s="333" t="s">
        <v>509</v>
      </c>
      <c r="F606" s="339">
        <v>750.0</v>
      </c>
      <c r="G606" s="334">
        <v>2399.0</v>
      </c>
      <c r="H606" s="334"/>
      <c r="I606" s="286"/>
      <c r="J606" s="335">
        <v>373.0</v>
      </c>
      <c r="K606" s="332">
        <f t="shared" si="61"/>
        <v>0.1554814506</v>
      </c>
      <c r="L606" s="319">
        <f t="shared" si="62"/>
        <v>-373</v>
      </c>
      <c r="M606" s="332">
        <f t="shared" si="63"/>
        <v>-1</v>
      </c>
      <c r="N606" s="331"/>
      <c r="O606" s="285"/>
      <c r="P606" s="285"/>
      <c r="Q606" s="319"/>
      <c r="R606" s="334"/>
    </row>
    <row r="607" ht="14.25" customHeight="1" outlineLevel="1">
      <c r="B607" s="327"/>
      <c r="E607" s="333" t="s">
        <v>510</v>
      </c>
      <c r="F607" s="339">
        <v>750.0</v>
      </c>
      <c r="G607" s="334">
        <v>2399.0</v>
      </c>
      <c r="H607" s="334"/>
      <c r="I607" s="286"/>
      <c r="J607" s="335">
        <v>373.0</v>
      </c>
      <c r="K607" s="332">
        <f t="shared" si="61"/>
        <v>0.1554814506</v>
      </c>
      <c r="L607" s="319">
        <f t="shared" si="62"/>
        <v>-373</v>
      </c>
      <c r="M607" s="332">
        <f t="shared" si="63"/>
        <v>-1</v>
      </c>
      <c r="N607" s="331"/>
      <c r="O607" s="285"/>
      <c r="P607" s="285"/>
      <c r="Q607" s="319"/>
      <c r="R607" s="334"/>
    </row>
    <row r="608" ht="14.25" customHeight="1" outlineLevel="1">
      <c r="B608" s="327"/>
      <c r="C608" s="327"/>
      <c r="D608" s="327"/>
      <c r="E608" s="333" t="s">
        <v>114</v>
      </c>
      <c r="F608" s="339">
        <v>750.0</v>
      </c>
      <c r="G608" s="334"/>
      <c r="H608" s="334"/>
      <c r="I608" s="286"/>
      <c r="J608" s="335">
        <v>373.0</v>
      </c>
      <c r="K608" s="332" t="str">
        <f t="shared" si="61"/>
        <v>#DIV/0!</v>
      </c>
      <c r="L608" s="319">
        <f t="shared" si="62"/>
        <v>-373</v>
      </c>
      <c r="M608" s="332">
        <f t="shared" si="63"/>
        <v>-1</v>
      </c>
      <c r="N608" s="331"/>
      <c r="O608" s="285"/>
      <c r="P608" s="285"/>
      <c r="Q608" s="319"/>
      <c r="R608" s="334"/>
    </row>
    <row r="609" ht="14.25" customHeight="1" outlineLevel="1">
      <c r="A609" s="327" t="s">
        <v>749</v>
      </c>
      <c r="B609" s="327"/>
      <c r="C609" s="327" t="s">
        <v>749</v>
      </c>
      <c r="D609" s="327" t="s">
        <v>747</v>
      </c>
      <c r="E609" s="333" t="s">
        <v>159</v>
      </c>
      <c r="F609" s="339">
        <v>125.0</v>
      </c>
      <c r="G609" s="341">
        <v>389.0</v>
      </c>
      <c r="H609" s="334"/>
      <c r="I609" s="286"/>
      <c r="J609" s="335">
        <v>62.0</v>
      </c>
      <c r="K609" s="332">
        <f t="shared" si="61"/>
        <v>0.1593830334</v>
      </c>
      <c r="L609" s="319">
        <f t="shared" si="62"/>
        <v>-62</v>
      </c>
      <c r="M609" s="332">
        <f t="shared" si="63"/>
        <v>-1</v>
      </c>
      <c r="N609" s="331"/>
      <c r="O609" s="285"/>
      <c r="P609" s="285"/>
      <c r="Q609" s="319"/>
      <c r="R609" s="334"/>
    </row>
    <row r="610" ht="14.25" customHeight="1" outlineLevel="1">
      <c r="B610" s="327"/>
      <c r="E610" s="333" t="s">
        <v>160</v>
      </c>
      <c r="F610" s="339">
        <v>125.0</v>
      </c>
      <c r="G610" s="341">
        <v>389.0</v>
      </c>
      <c r="H610" s="334"/>
      <c r="I610" s="286"/>
      <c r="J610" s="335">
        <v>62.0</v>
      </c>
      <c r="K610" s="332">
        <f t="shared" si="61"/>
        <v>0.1593830334</v>
      </c>
      <c r="L610" s="319">
        <f t="shared" si="62"/>
        <v>-62</v>
      </c>
      <c r="M610" s="332">
        <f t="shared" si="63"/>
        <v>-1</v>
      </c>
      <c r="N610" s="331"/>
      <c r="O610" s="285"/>
      <c r="P610" s="285"/>
      <c r="Q610" s="319"/>
      <c r="R610" s="334"/>
    </row>
    <row r="611" ht="14.25" customHeight="1" outlineLevel="1">
      <c r="B611" s="327"/>
      <c r="E611" s="333" t="s">
        <v>509</v>
      </c>
      <c r="F611" s="339">
        <v>125.0</v>
      </c>
      <c r="G611" s="341">
        <v>399.0</v>
      </c>
      <c r="H611" s="334"/>
      <c r="I611" s="286"/>
      <c r="J611" s="335">
        <v>62.0</v>
      </c>
      <c r="K611" s="332">
        <f t="shared" si="61"/>
        <v>0.1553884712</v>
      </c>
      <c r="L611" s="319">
        <f t="shared" si="62"/>
        <v>-62</v>
      </c>
      <c r="M611" s="332">
        <f t="shared" si="63"/>
        <v>-1</v>
      </c>
      <c r="N611" s="331"/>
      <c r="O611" s="285"/>
      <c r="P611" s="285"/>
      <c r="Q611" s="319"/>
      <c r="R611" s="334"/>
    </row>
    <row r="612" ht="14.25" customHeight="1" outlineLevel="1">
      <c r="B612" s="327"/>
      <c r="E612" s="333" t="s">
        <v>510</v>
      </c>
      <c r="F612" s="339">
        <v>125.0</v>
      </c>
      <c r="G612" s="341">
        <v>399.0</v>
      </c>
      <c r="H612" s="334"/>
      <c r="I612" s="286"/>
      <c r="J612" s="335">
        <v>62.0</v>
      </c>
      <c r="K612" s="332">
        <f t="shared" si="61"/>
        <v>0.1553884712</v>
      </c>
      <c r="L612" s="319">
        <f t="shared" si="62"/>
        <v>-62</v>
      </c>
      <c r="M612" s="332">
        <f t="shared" si="63"/>
        <v>-1</v>
      </c>
      <c r="N612" s="331"/>
      <c r="O612" s="285"/>
      <c r="P612" s="285"/>
      <c r="Q612" s="319"/>
      <c r="R612" s="334"/>
    </row>
    <row r="613" ht="14.25" customHeight="1" outlineLevel="1">
      <c r="B613" s="327"/>
      <c r="C613" s="327"/>
      <c r="D613" s="327"/>
      <c r="E613" s="333" t="s">
        <v>114</v>
      </c>
      <c r="F613" s="339">
        <v>125.0</v>
      </c>
      <c r="G613" s="341"/>
      <c r="H613" s="334"/>
      <c r="I613" s="286"/>
      <c r="J613" s="335">
        <v>62.0</v>
      </c>
      <c r="K613" s="332" t="str">
        <f t="shared" si="61"/>
        <v>#DIV/0!</v>
      </c>
      <c r="L613" s="319">
        <f t="shared" si="62"/>
        <v>-62</v>
      </c>
      <c r="M613" s="332">
        <f t="shared" si="63"/>
        <v>-1</v>
      </c>
      <c r="N613" s="331"/>
      <c r="O613" s="285"/>
      <c r="P613" s="285"/>
      <c r="Q613" s="319"/>
      <c r="R613" s="334"/>
    </row>
    <row r="614" ht="14.25" customHeight="1" outlineLevel="1">
      <c r="A614" s="327" t="s">
        <v>750</v>
      </c>
      <c r="B614" s="327"/>
      <c r="C614" s="327" t="s">
        <v>750</v>
      </c>
      <c r="D614" s="327" t="s">
        <v>747</v>
      </c>
      <c r="E614" s="333" t="s">
        <v>159</v>
      </c>
      <c r="F614" s="339">
        <v>750.0</v>
      </c>
      <c r="G614" s="341">
        <v>3599.0</v>
      </c>
      <c r="H614" s="334"/>
      <c r="I614" s="286"/>
      <c r="J614" s="335">
        <v>708.0</v>
      </c>
      <c r="K614" s="332">
        <f t="shared" si="61"/>
        <v>0.1967213115</v>
      </c>
      <c r="L614" s="319">
        <f t="shared" si="62"/>
        <v>-708</v>
      </c>
      <c r="M614" s="332">
        <f t="shared" si="63"/>
        <v>-1</v>
      </c>
      <c r="N614" s="331"/>
      <c r="O614" s="285"/>
      <c r="P614" s="285"/>
      <c r="Q614" s="319"/>
      <c r="R614" s="334"/>
    </row>
    <row r="615" ht="14.25" customHeight="1" outlineLevel="1">
      <c r="B615" s="327"/>
      <c r="E615" s="333" t="s">
        <v>160</v>
      </c>
      <c r="F615" s="339">
        <v>750.0</v>
      </c>
      <c r="G615" s="341">
        <v>3599.0</v>
      </c>
      <c r="H615" s="334"/>
      <c r="I615" s="286"/>
      <c r="J615" s="335">
        <v>708.0</v>
      </c>
      <c r="K615" s="332">
        <f t="shared" si="61"/>
        <v>0.1967213115</v>
      </c>
      <c r="L615" s="319">
        <f t="shared" si="62"/>
        <v>-708</v>
      </c>
      <c r="M615" s="332">
        <f t="shared" si="63"/>
        <v>-1</v>
      </c>
      <c r="N615" s="331"/>
      <c r="O615" s="285"/>
      <c r="P615" s="285"/>
      <c r="Q615" s="319"/>
      <c r="R615" s="334"/>
    </row>
    <row r="616" ht="14.25" customHeight="1" outlineLevel="1">
      <c r="B616" s="327"/>
      <c r="E616" s="333" t="s">
        <v>509</v>
      </c>
      <c r="F616" s="339">
        <v>750.0</v>
      </c>
      <c r="G616" s="341">
        <v>3699.0</v>
      </c>
      <c r="H616" s="334"/>
      <c r="I616" s="286"/>
      <c r="J616" s="335">
        <v>708.0</v>
      </c>
      <c r="K616" s="332">
        <f t="shared" si="61"/>
        <v>0.1914030819</v>
      </c>
      <c r="L616" s="319">
        <f t="shared" si="62"/>
        <v>-708</v>
      </c>
      <c r="M616" s="332">
        <f t="shared" si="63"/>
        <v>-1</v>
      </c>
      <c r="N616" s="331"/>
      <c r="O616" s="285"/>
      <c r="P616" s="285"/>
      <c r="Q616" s="319"/>
      <c r="R616" s="334"/>
    </row>
    <row r="617" ht="14.25" customHeight="1" outlineLevel="1">
      <c r="B617" s="327"/>
      <c r="E617" s="333" t="s">
        <v>510</v>
      </c>
      <c r="F617" s="339">
        <v>750.0</v>
      </c>
      <c r="G617" s="341">
        <v>3699.0</v>
      </c>
      <c r="H617" s="334"/>
      <c r="I617" s="286"/>
      <c r="J617" s="335">
        <v>708.0</v>
      </c>
      <c r="K617" s="332">
        <f t="shared" si="61"/>
        <v>0.1914030819</v>
      </c>
      <c r="L617" s="319">
        <f t="shared" si="62"/>
        <v>-708</v>
      </c>
      <c r="M617" s="332">
        <f t="shared" si="63"/>
        <v>-1</v>
      </c>
      <c r="N617" s="331"/>
      <c r="O617" s="285"/>
      <c r="P617" s="285"/>
      <c r="Q617" s="319"/>
      <c r="R617" s="334"/>
    </row>
    <row r="618" ht="14.25" customHeight="1" outlineLevel="1">
      <c r="B618" s="327"/>
      <c r="C618" s="327"/>
      <c r="D618" s="327"/>
      <c r="E618" s="333" t="s">
        <v>114</v>
      </c>
      <c r="F618" s="339">
        <v>750.0</v>
      </c>
      <c r="G618" s="341"/>
      <c r="H618" s="334"/>
      <c r="I618" s="286"/>
      <c r="J618" s="335">
        <v>708.0</v>
      </c>
      <c r="K618" s="332" t="str">
        <f t="shared" si="61"/>
        <v>#DIV/0!</v>
      </c>
      <c r="L618" s="319">
        <f t="shared" si="62"/>
        <v>-708</v>
      </c>
      <c r="M618" s="332">
        <f t="shared" si="63"/>
        <v>-1</v>
      </c>
      <c r="N618" s="331"/>
      <c r="O618" s="285"/>
      <c r="P618" s="285"/>
      <c r="Q618" s="319"/>
      <c r="R618" s="334"/>
    </row>
    <row r="619" ht="14.25" customHeight="1" outlineLevel="1">
      <c r="A619" s="327" t="s">
        <v>750</v>
      </c>
      <c r="B619" s="327"/>
      <c r="C619" s="327" t="s">
        <v>750</v>
      </c>
      <c r="D619" s="327" t="s">
        <v>747</v>
      </c>
      <c r="E619" s="333" t="s">
        <v>159</v>
      </c>
      <c r="F619" s="339">
        <v>125.0</v>
      </c>
      <c r="G619" s="341">
        <v>599.0</v>
      </c>
      <c r="H619" s="334"/>
      <c r="I619" s="286"/>
      <c r="J619" s="335">
        <v>118.0</v>
      </c>
      <c r="K619" s="332">
        <f t="shared" si="61"/>
        <v>0.1969949917</v>
      </c>
      <c r="L619" s="319">
        <f t="shared" si="62"/>
        <v>-118</v>
      </c>
      <c r="M619" s="332">
        <f t="shared" si="63"/>
        <v>-1</v>
      </c>
      <c r="N619" s="331"/>
      <c r="O619" s="285"/>
      <c r="P619" s="285"/>
      <c r="Q619" s="319"/>
      <c r="R619" s="334"/>
    </row>
    <row r="620" ht="14.25" customHeight="1" outlineLevel="1">
      <c r="B620" s="327"/>
      <c r="E620" s="333" t="s">
        <v>160</v>
      </c>
      <c r="F620" s="339">
        <v>125.0</v>
      </c>
      <c r="G620" s="341">
        <v>599.0</v>
      </c>
      <c r="H620" s="334"/>
      <c r="I620" s="286"/>
      <c r="J620" s="335">
        <v>118.0</v>
      </c>
      <c r="K620" s="332">
        <f t="shared" si="61"/>
        <v>0.1969949917</v>
      </c>
      <c r="L620" s="319">
        <f t="shared" si="62"/>
        <v>-118</v>
      </c>
      <c r="M620" s="332">
        <f t="shared" si="63"/>
        <v>-1</v>
      </c>
      <c r="N620" s="331"/>
      <c r="O620" s="285"/>
      <c r="P620" s="285"/>
      <c r="Q620" s="319"/>
      <c r="R620" s="334"/>
    </row>
    <row r="621" ht="14.25" customHeight="1" outlineLevel="1">
      <c r="B621" s="327"/>
      <c r="E621" s="333" t="s">
        <v>509</v>
      </c>
      <c r="F621" s="339">
        <v>125.0</v>
      </c>
      <c r="G621" s="341">
        <v>619.0</v>
      </c>
      <c r="H621" s="334"/>
      <c r="I621" s="286"/>
      <c r="J621" s="335">
        <v>118.0</v>
      </c>
      <c r="K621" s="332">
        <f t="shared" si="61"/>
        <v>0.1906300485</v>
      </c>
      <c r="L621" s="319">
        <f t="shared" si="62"/>
        <v>-118</v>
      </c>
      <c r="M621" s="332">
        <f t="shared" si="63"/>
        <v>-1</v>
      </c>
      <c r="N621" s="331"/>
      <c r="O621" s="285"/>
      <c r="P621" s="285"/>
      <c r="Q621" s="319"/>
      <c r="R621" s="334"/>
    </row>
    <row r="622" ht="14.25" customHeight="1" outlineLevel="1">
      <c r="B622" s="327"/>
      <c r="E622" s="333" t="s">
        <v>510</v>
      </c>
      <c r="F622" s="339">
        <v>125.0</v>
      </c>
      <c r="G622" s="341">
        <v>619.0</v>
      </c>
      <c r="H622" s="334"/>
      <c r="I622" s="286"/>
      <c r="J622" s="335">
        <v>118.0</v>
      </c>
      <c r="K622" s="332">
        <f t="shared" si="61"/>
        <v>0.1906300485</v>
      </c>
      <c r="L622" s="319">
        <f t="shared" si="62"/>
        <v>-118</v>
      </c>
      <c r="M622" s="332">
        <f t="shared" si="63"/>
        <v>-1</v>
      </c>
      <c r="N622" s="331"/>
      <c r="O622" s="285"/>
      <c r="P622" s="285"/>
      <c r="Q622" s="319"/>
      <c r="R622" s="334"/>
    </row>
    <row r="623" ht="14.25" customHeight="1" outlineLevel="1">
      <c r="B623" s="327"/>
      <c r="C623" s="327"/>
      <c r="D623" s="327"/>
      <c r="E623" s="333" t="s">
        <v>114</v>
      </c>
      <c r="F623" s="339">
        <v>125.0</v>
      </c>
      <c r="G623" s="341"/>
      <c r="H623" s="334"/>
      <c r="I623" s="286"/>
      <c r="J623" s="335">
        <v>118.0</v>
      </c>
      <c r="K623" s="332" t="str">
        <f t="shared" si="61"/>
        <v>#DIV/0!</v>
      </c>
      <c r="L623" s="319">
        <f t="shared" si="62"/>
        <v>-118</v>
      </c>
      <c r="M623" s="332">
        <f t="shared" si="63"/>
        <v>-1</v>
      </c>
      <c r="N623" s="331"/>
      <c r="O623" s="285"/>
      <c r="P623" s="285"/>
      <c r="Q623" s="319"/>
      <c r="R623" s="334"/>
    </row>
    <row r="624" ht="14.25" customHeight="1">
      <c r="A624" s="288" t="s">
        <v>751</v>
      </c>
      <c r="B624" s="289"/>
      <c r="C624" s="288" t="s">
        <v>752</v>
      </c>
      <c r="D624" s="328"/>
      <c r="E624" s="322" t="s">
        <v>159</v>
      </c>
      <c r="F624" s="323"/>
      <c r="G624" s="294"/>
      <c r="H624" s="294"/>
      <c r="I624" s="324"/>
      <c r="J624" s="325"/>
      <c r="K624" s="297"/>
      <c r="L624" s="326"/>
      <c r="M624" s="297"/>
      <c r="N624" s="299"/>
      <c r="O624" s="297"/>
      <c r="P624" s="297"/>
      <c r="Q624" s="300"/>
      <c r="R624" s="294"/>
    </row>
    <row r="625" ht="14.25" customHeight="1">
      <c r="B625" s="289"/>
      <c r="D625" s="328"/>
      <c r="E625" s="322" t="s">
        <v>160</v>
      </c>
      <c r="F625" s="323"/>
      <c r="G625" s="294"/>
      <c r="H625" s="294"/>
      <c r="I625" s="324"/>
      <c r="J625" s="325"/>
      <c r="K625" s="297"/>
      <c r="L625" s="326"/>
      <c r="M625" s="297"/>
      <c r="N625" s="299"/>
      <c r="O625" s="297"/>
      <c r="P625" s="297"/>
      <c r="Q625" s="300"/>
      <c r="R625" s="294"/>
    </row>
    <row r="626" ht="14.25" customHeight="1">
      <c r="B626" s="289"/>
      <c r="D626" s="328"/>
      <c r="E626" s="322" t="s">
        <v>509</v>
      </c>
      <c r="F626" s="323"/>
      <c r="G626" s="294"/>
      <c r="H626" s="294"/>
      <c r="I626" s="324"/>
      <c r="J626" s="325"/>
      <c r="K626" s="297"/>
      <c r="L626" s="326"/>
      <c r="M626" s="297"/>
      <c r="N626" s="299"/>
      <c r="O626" s="297"/>
      <c r="P626" s="297"/>
      <c r="Q626" s="300"/>
      <c r="R626" s="294"/>
    </row>
    <row r="627" ht="14.25" customHeight="1">
      <c r="B627" s="289"/>
      <c r="D627" s="328"/>
      <c r="E627" s="322" t="s">
        <v>510</v>
      </c>
      <c r="F627" s="323"/>
      <c r="G627" s="294"/>
      <c r="H627" s="294"/>
      <c r="I627" s="324"/>
      <c r="J627" s="325"/>
      <c r="K627" s="297"/>
      <c r="L627" s="326"/>
      <c r="M627" s="297"/>
      <c r="N627" s="299"/>
      <c r="O627" s="297"/>
      <c r="P627" s="297"/>
      <c r="Q627" s="300"/>
      <c r="R627" s="294"/>
    </row>
    <row r="628" ht="14.25" customHeight="1">
      <c r="B628" s="289"/>
      <c r="C628" s="288"/>
      <c r="D628" s="328"/>
      <c r="E628" s="322" t="s">
        <v>114</v>
      </c>
      <c r="F628" s="323"/>
      <c r="G628" s="294"/>
      <c r="H628" s="294"/>
      <c r="I628" s="324"/>
      <c r="J628" s="325"/>
      <c r="K628" s="297"/>
      <c r="L628" s="326"/>
      <c r="M628" s="297"/>
      <c r="N628" s="299"/>
      <c r="O628" s="297"/>
      <c r="P628" s="297"/>
      <c r="Q628" s="300"/>
      <c r="R628" s="294"/>
    </row>
    <row r="629" ht="14.25" customHeight="1" outlineLevel="1">
      <c r="A629" s="327" t="s">
        <v>753</v>
      </c>
      <c r="B629" s="327"/>
      <c r="C629" s="327" t="s">
        <v>754</v>
      </c>
      <c r="D629" s="329"/>
      <c r="E629" s="333" t="s">
        <v>159</v>
      </c>
      <c r="F629" s="339">
        <v>200.0</v>
      </c>
      <c r="G629" s="369">
        <v>499.0</v>
      </c>
      <c r="H629" s="301">
        <v>399.0</v>
      </c>
      <c r="I629" s="312" t="str">
        <f>G629/R629</f>
        <v>#DIV/0!</v>
      </c>
      <c r="J629" s="313">
        <v>99.0</v>
      </c>
      <c r="K629" s="314">
        <f t="shared" ref="K629:K673" si="64">J629/G629</f>
        <v>0.1983967936</v>
      </c>
      <c r="L629" s="315">
        <f t="shared" ref="L629:L673" si="65">Q629-J629</f>
        <v>-99</v>
      </c>
      <c r="M629" s="316">
        <f t="shared" ref="M629:M673" si="66">Q629/J629-1</f>
        <v>-1</v>
      </c>
      <c r="N629" s="331"/>
      <c r="O629" s="285" t="s">
        <v>112</v>
      </c>
      <c r="P629" s="285" t="s">
        <v>112</v>
      </c>
      <c r="Q629" s="319"/>
      <c r="R629" s="311"/>
    </row>
    <row r="630" ht="14.25" customHeight="1" outlineLevel="1">
      <c r="B630" s="327"/>
      <c r="D630" s="329"/>
      <c r="E630" s="333" t="s">
        <v>160</v>
      </c>
      <c r="F630" s="339">
        <v>200.0</v>
      </c>
      <c r="G630" s="369">
        <v>499.0</v>
      </c>
      <c r="H630" s="301"/>
      <c r="I630" s="312"/>
      <c r="J630" s="313">
        <v>115.0</v>
      </c>
      <c r="K630" s="314">
        <f t="shared" si="64"/>
        <v>0.2304609218</v>
      </c>
      <c r="L630" s="315">
        <f t="shared" si="65"/>
        <v>-115</v>
      </c>
      <c r="M630" s="316">
        <f t="shared" si="66"/>
        <v>-1</v>
      </c>
      <c r="N630" s="331"/>
      <c r="O630" s="285"/>
      <c r="P630" s="285"/>
      <c r="Q630" s="319"/>
      <c r="R630" s="311"/>
    </row>
    <row r="631" ht="14.25" customHeight="1" outlineLevel="1">
      <c r="B631" s="327"/>
      <c r="D631" s="329"/>
      <c r="E631" s="333" t="s">
        <v>509</v>
      </c>
      <c r="F631" s="339">
        <v>200.0</v>
      </c>
      <c r="G631" s="369">
        <v>549.0</v>
      </c>
      <c r="H631" s="301"/>
      <c r="I631" s="312"/>
      <c r="J631" s="313">
        <v>118.0</v>
      </c>
      <c r="K631" s="314">
        <f t="shared" si="64"/>
        <v>0.2149362477</v>
      </c>
      <c r="L631" s="315">
        <f t="shared" si="65"/>
        <v>-118</v>
      </c>
      <c r="M631" s="316">
        <f t="shared" si="66"/>
        <v>-1</v>
      </c>
      <c r="N631" s="331"/>
      <c r="O631" s="285"/>
      <c r="P631" s="285"/>
      <c r="Q631" s="319"/>
      <c r="R631" s="311"/>
    </row>
    <row r="632" ht="14.25" customHeight="1" outlineLevel="1">
      <c r="B632" s="327"/>
      <c r="D632" s="329"/>
      <c r="E632" s="333" t="s">
        <v>510</v>
      </c>
      <c r="F632" s="339">
        <v>200.0</v>
      </c>
      <c r="G632" s="369">
        <v>549.0</v>
      </c>
      <c r="H632" s="301"/>
      <c r="I632" s="312"/>
      <c r="J632" s="313">
        <v>120.0</v>
      </c>
      <c r="K632" s="314">
        <f t="shared" si="64"/>
        <v>0.218579235</v>
      </c>
      <c r="L632" s="315">
        <f t="shared" si="65"/>
        <v>-120</v>
      </c>
      <c r="M632" s="316">
        <f t="shared" si="66"/>
        <v>-1</v>
      </c>
      <c r="N632" s="331"/>
      <c r="O632" s="285"/>
      <c r="P632" s="285"/>
      <c r="Q632" s="319"/>
      <c r="R632" s="311"/>
    </row>
    <row r="633" ht="14.25" customHeight="1" outlineLevel="1">
      <c r="B633" s="327"/>
      <c r="C633" s="327"/>
      <c r="D633" s="329"/>
      <c r="E633" s="333" t="s">
        <v>114</v>
      </c>
      <c r="F633" s="339">
        <v>200.0</v>
      </c>
      <c r="G633" s="369"/>
      <c r="H633" s="301"/>
      <c r="I633" s="312"/>
      <c r="J633" s="313">
        <v>120.0</v>
      </c>
      <c r="K633" s="314" t="str">
        <f t="shared" si="64"/>
        <v>#DIV/0!</v>
      </c>
      <c r="L633" s="315">
        <f t="shared" si="65"/>
        <v>-120</v>
      </c>
      <c r="M633" s="316">
        <f t="shared" si="66"/>
        <v>-1</v>
      </c>
      <c r="N633" s="331"/>
      <c r="O633" s="285"/>
      <c r="P633" s="285"/>
      <c r="Q633" s="319"/>
      <c r="R633" s="311"/>
    </row>
    <row r="634" ht="14.25" customHeight="1" outlineLevel="1">
      <c r="A634" s="327" t="s">
        <v>755</v>
      </c>
      <c r="B634" s="327"/>
      <c r="C634" s="327" t="s">
        <v>756</v>
      </c>
      <c r="D634" s="329"/>
      <c r="E634" s="362" t="s">
        <v>159</v>
      </c>
      <c r="F634" s="339">
        <v>200.0</v>
      </c>
      <c r="G634" s="369">
        <v>499.0</v>
      </c>
      <c r="H634" s="341">
        <v>399.0</v>
      </c>
      <c r="I634" s="286" t="str">
        <f>G634/R634</f>
        <v>#DIV/0!</v>
      </c>
      <c r="J634" s="313">
        <v>120.0</v>
      </c>
      <c r="K634" s="314">
        <f t="shared" si="64"/>
        <v>0.2404809619</v>
      </c>
      <c r="L634" s="315">
        <f t="shared" si="65"/>
        <v>-120</v>
      </c>
      <c r="M634" s="316">
        <f t="shared" si="66"/>
        <v>-1</v>
      </c>
      <c r="N634" s="331"/>
      <c r="O634" s="285" t="s">
        <v>112</v>
      </c>
      <c r="P634" s="285" t="s">
        <v>112</v>
      </c>
      <c r="Q634" s="319"/>
      <c r="R634" s="334"/>
    </row>
    <row r="635" ht="14.25" customHeight="1" outlineLevel="1">
      <c r="B635" s="327"/>
      <c r="D635" s="329"/>
      <c r="E635" s="362" t="s">
        <v>160</v>
      </c>
      <c r="F635" s="339">
        <v>200.0</v>
      </c>
      <c r="G635" s="369">
        <v>499.0</v>
      </c>
      <c r="H635" s="341"/>
      <c r="I635" s="286"/>
      <c r="J635" s="313">
        <v>120.0</v>
      </c>
      <c r="K635" s="314">
        <f t="shared" si="64"/>
        <v>0.2404809619</v>
      </c>
      <c r="L635" s="315">
        <f t="shared" si="65"/>
        <v>-120</v>
      </c>
      <c r="M635" s="316">
        <f t="shared" si="66"/>
        <v>-1</v>
      </c>
      <c r="N635" s="331"/>
      <c r="O635" s="285"/>
      <c r="P635" s="285"/>
      <c r="Q635" s="319"/>
      <c r="R635" s="334"/>
    </row>
    <row r="636" ht="14.25" customHeight="1" outlineLevel="1">
      <c r="B636" s="327"/>
      <c r="D636" s="329"/>
      <c r="E636" s="362" t="s">
        <v>509</v>
      </c>
      <c r="F636" s="339">
        <v>200.0</v>
      </c>
      <c r="G636" s="369">
        <v>549.0</v>
      </c>
      <c r="H636" s="341"/>
      <c r="I636" s="286"/>
      <c r="J636" s="313">
        <v>120.0</v>
      </c>
      <c r="K636" s="314">
        <f t="shared" si="64"/>
        <v>0.218579235</v>
      </c>
      <c r="L636" s="315">
        <f t="shared" si="65"/>
        <v>-120</v>
      </c>
      <c r="M636" s="316">
        <f t="shared" si="66"/>
        <v>-1</v>
      </c>
      <c r="N636" s="331"/>
      <c r="O636" s="285"/>
      <c r="P636" s="285"/>
      <c r="Q636" s="319"/>
      <c r="R636" s="334"/>
    </row>
    <row r="637" ht="14.25" customHeight="1" outlineLevel="1">
      <c r="B637" s="327"/>
      <c r="D637" s="329"/>
      <c r="E637" s="362" t="s">
        <v>622</v>
      </c>
      <c r="F637" s="339">
        <v>200.0</v>
      </c>
      <c r="G637" s="369">
        <v>549.0</v>
      </c>
      <c r="H637" s="341"/>
      <c r="I637" s="286"/>
      <c r="J637" s="313">
        <v>120.0</v>
      </c>
      <c r="K637" s="314">
        <f t="shared" si="64"/>
        <v>0.218579235</v>
      </c>
      <c r="L637" s="315">
        <f t="shared" si="65"/>
        <v>-120</v>
      </c>
      <c r="M637" s="316">
        <f t="shared" si="66"/>
        <v>-1</v>
      </c>
      <c r="N637" s="331"/>
      <c r="O637" s="285"/>
      <c r="P637" s="285"/>
      <c r="Q637" s="319"/>
      <c r="R637" s="334"/>
    </row>
    <row r="638" ht="14.25" customHeight="1" outlineLevel="1">
      <c r="B638" s="327"/>
      <c r="C638" s="327"/>
      <c r="D638" s="329"/>
      <c r="E638" s="362" t="s">
        <v>114</v>
      </c>
      <c r="F638" s="339">
        <v>200.0</v>
      </c>
      <c r="G638" s="369"/>
      <c r="H638" s="341"/>
      <c r="I638" s="286"/>
      <c r="J638" s="313">
        <v>120.0</v>
      </c>
      <c r="K638" s="314" t="str">
        <f t="shared" si="64"/>
        <v>#DIV/0!</v>
      </c>
      <c r="L638" s="315">
        <f t="shared" si="65"/>
        <v>-120</v>
      </c>
      <c r="M638" s="316">
        <f t="shared" si="66"/>
        <v>-1</v>
      </c>
      <c r="N638" s="331"/>
      <c r="O638" s="285"/>
      <c r="P638" s="285"/>
      <c r="Q638" s="319"/>
      <c r="R638" s="334"/>
    </row>
    <row r="639" ht="14.25" customHeight="1" outlineLevel="1">
      <c r="A639" s="327" t="s">
        <v>598</v>
      </c>
      <c r="B639" s="370" t="s">
        <v>757</v>
      </c>
      <c r="C639" s="327" t="s">
        <v>598</v>
      </c>
      <c r="D639" s="370" t="s">
        <v>758</v>
      </c>
      <c r="E639" s="333" t="s">
        <v>159</v>
      </c>
      <c r="F639" s="339">
        <v>250.0</v>
      </c>
      <c r="G639" s="369">
        <v>429.0</v>
      </c>
      <c r="H639" s="301">
        <v>389.0</v>
      </c>
      <c r="I639" s="312" t="str">
        <f>G639/R639</f>
        <v>#DIV/0!</v>
      </c>
      <c r="J639" s="313">
        <v>72.0</v>
      </c>
      <c r="K639" s="314">
        <f t="shared" si="64"/>
        <v>0.1678321678</v>
      </c>
      <c r="L639" s="315">
        <f t="shared" si="65"/>
        <v>-72</v>
      </c>
      <c r="M639" s="316">
        <f t="shared" si="66"/>
        <v>-1</v>
      </c>
      <c r="N639" s="331"/>
      <c r="O639" s="285" t="s">
        <v>112</v>
      </c>
      <c r="P639" s="285" t="s">
        <v>112</v>
      </c>
      <c r="Q639" s="300"/>
      <c r="R639" s="301"/>
    </row>
    <row r="640" ht="14.25" customHeight="1" outlineLevel="1">
      <c r="E640" s="333" t="s">
        <v>160</v>
      </c>
      <c r="F640" s="339">
        <v>250.0</v>
      </c>
      <c r="G640" s="369">
        <v>429.0</v>
      </c>
      <c r="H640" s="301"/>
      <c r="I640" s="312"/>
      <c r="J640" s="313">
        <v>72.0</v>
      </c>
      <c r="K640" s="314">
        <f t="shared" si="64"/>
        <v>0.1678321678</v>
      </c>
      <c r="L640" s="315">
        <f t="shared" si="65"/>
        <v>-72</v>
      </c>
      <c r="M640" s="316">
        <f t="shared" si="66"/>
        <v>-1</v>
      </c>
      <c r="N640" s="331"/>
      <c r="O640" s="285"/>
      <c r="P640" s="285"/>
      <c r="Q640" s="300"/>
      <c r="R640" s="301"/>
    </row>
    <row r="641" ht="14.25" customHeight="1" outlineLevel="1">
      <c r="E641" s="333" t="s">
        <v>509</v>
      </c>
      <c r="F641" s="339">
        <v>250.0</v>
      </c>
      <c r="G641" s="369">
        <v>449.0</v>
      </c>
      <c r="H641" s="301"/>
      <c r="I641" s="312"/>
      <c r="J641" s="313">
        <v>72.0</v>
      </c>
      <c r="K641" s="314">
        <f t="shared" si="64"/>
        <v>0.1603563474</v>
      </c>
      <c r="L641" s="315">
        <f t="shared" si="65"/>
        <v>-72</v>
      </c>
      <c r="M641" s="316">
        <f t="shared" si="66"/>
        <v>-1</v>
      </c>
      <c r="N641" s="331"/>
      <c r="O641" s="285"/>
      <c r="P641" s="285"/>
      <c r="Q641" s="300"/>
      <c r="R641" s="301"/>
    </row>
    <row r="642" ht="14.25" customHeight="1" outlineLevel="1">
      <c r="E642" s="333" t="s">
        <v>510</v>
      </c>
      <c r="F642" s="339">
        <v>250.0</v>
      </c>
      <c r="G642" s="341">
        <v>449.0</v>
      </c>
      <c r="H642" s="341"/>
      <c r="I642" s="286"/>
      <c r="J642" s="335">
        <v>72.0</v>
      </c>
      <c r="K642" s="332">
        <f t="shared" si="64"/>
        <v>0.1603563474</v>
      </c>
      <c r="L642" s="319">
        <f t="shared" si="65"/>
        <v>-72</v>
      </c>
      <c r="M642" s="332">
        <f t="shared" si="66"/>
        <v>-1</v>
      </c>
      <c r="N642" s="331"/>
      <c r="O642" s="285"/>
      <c r="P642" s="285"/>
      <c r="Q642" s="300"/>
      <c r="R642" s="341"/>
    </row>
    <row r="643" ht="14.25" customHeight="1" outlineLevel="1">
      <c r="B643" s="370"/>
      <c r="C643" s="327"/>
      <c r="D643" s="370"/>
      <c r="E643" s="333" t="s">
        <v>114</v>
      </c>
      <c r="F643" s="339">
        <v>250.0</v>
      </c>
      <c r="G643" s="341"/>
      <c r="H643" s="341"/>
      <c r="I643" s="286"/>
      <c r="J643" s="335">
        <v>72.0</v>
      </c>
      <c r="K643" s="332" t="str">
        <f t="shared" si="64"/>
        <v>#DIV/0!</v>
      </c>
      <c r="L643" s="319">
        <f t="shared" si="65"/>
        <v>-72</v>
      </c>
      <c r="M643" s="332">
        <f t="shared" si="66"/>
        <v>-1</v>
      </c>
      <c r="N643" s="331"/>
      <c r="O643" s="285"/>
      <c r="P643" s="285"/>
      <c r="Q643" s="300"/>
      <c r="R643" s="341"/>
    </row>
    <row r="644" ht="14.25" customHeight="1" outlineLevel="1">
      <c r="A644" s="327" t="s">
        <v>759</v>
      </c>
      <c r="B644" s="327"/>
      <c r="C644" s="327" t="s">
        <v>759</v>
      </c>
      <c r="D644" s="329"/>
      <c r="E644" s="333" t="s">
        <v>159</v>
      </c>
      <c r="F644" s="339">
        <v>200.0</v>
      </c>
      <c r="G644" s="341">
        <v>429.0</v>
      </c>
      <c r="H644" s="341"/>
      <c r="I644" s="286"/>
      <c r="J644" s="335">
        <v>98.0</v>
      </c>
      <c r="K644" s="332">
        <f t="shared" si="64"/>
        <v>0.2284382284</v>
      </c>
      <c r="L644" s="319">
        <f t="shared" si="65"/>
        <v>-98</v>
      </c>
      <c r="M644" s="332">
        <f t="shared" si="66"/>
        <v>-1</v>
      </c>
      <c r="N644" s="331"/>
      <c r="O644" s="285"/>
      <c r="P644" s="285"/>
      <c r="Q644" s="300"/>
      <c r="R644" s="341"/>
    </row>
    <row r="645" ht="14.25" customHeight="1" outlineLevel="1">
      <c r="B645" s="327"/>
      <c r="D645" s="329"/>
      <c r="E645" s="333" t="s">
        <v>160</v>
      </c>
      <c r="F645" s="339">
        <v>200.0</v>
      </c>
      <c r="G645" s="341">
        <v>429.0</v>
      </c>
      <c r="H645" s="341"/>
      <c r="I645" s="286"/>
      <c r="J645" s="335">
        <v>98.0</v>
      </c>
      <c r="K645" s="332">
        <f t="shared" si="64"/>
        <v>0.2284382284</v>
      </c>
      <c r="L645" s="319">
        <f t="shared" si="65"/>
        <v>-98</v>
      </c>
      <c r="M645" s="332">
        <f t="shared" si="66"/>
        <v>-1</v>
      </c>
      <c r="N645" s="331"/>
      <c r="O645" s="285"/>
      <c r="P645" s="285"/>
      <c r="Q645" s="300"/>
      <c r="R645" s="341"/>
    </row>
    <row r="646" ht="14.25" customHeight="1" outlineLevel="1">
      <c r="B646" s="327"/>
      <c r="D646" s="329"/>
      <c r="E646" s="333" t="s">
        <v>509</v>
      </c>
      <c r="F646" s="339">
        <v>200.0</v>
      </c>
      <c r="G646" s="341">
        <v>449.0</v>
      </c>
      <c r="H646" s="341"/>
      <c r="I646" s="286"/>
      <c r="J646" s="335">
        <v>98.0</v>
      </c>
      <c r="K646" s="332">
        <f t="shared" si="64"/>
        <v>0.2182628062</v>
      </c>
      <c r="L646" s="319">
        <f t="shared" si="65"/>
        <v>-98</v>
      </c>
      <c r="M646" s="332">
        <f t="shared" si="66"/>
        <v>-1</v>
      </c>
      <c r="N646" s="331"/>
      <c r="O646" s="285"/>
      <c r="P646" s="285"/>
      <c r="Q646" s="300"/>
      <c r="R646" s="341"/>
    </row>
    <row r="647" ht="14.25" customHeight="1" outlineLevel="1">
      <c r="B647" s="327"/>
      <c r="D647" s="329"/>
      <c r="E647" s="333" t="s">
        <v>622</v>
      </c>
      <c r="F647" s="339">
        <v>200.0</v>
      </c>
      <c r="G647" s="341">
        <v>449.0</v>
      </c>
      <c r="H647" s="341"/>
      <c r="I647" s="286"/>
      <c r="J647" s="335">
        <v>98.0</v>
      </c>
      <c r="K647" s="332">
        <f t="shared" si="64"/>
        <v>0.2182628062</v>
      </c>
      <c r="L647" s="319">
        <f t="shared" si="65"/>
        <v>-98</v>
      </c>
      <c r="M647" s="332">
        <f t="shared" si="66"/>
        <v>-1</v>
      </c>
      <c r="N647" s="331"/>
      <c r="O647" s="285"/>
      <c r="P647" s="285"/>
      <c r="Q647" s="300"/>
      <c r="R647" s="341"/>
    </row>
    <row r="648" ht="14.25" customHeight="1" outlineLevel="1">
      <c r="B648" s="327"/>
      <c r="C648" s="327"/>
      <c r="D648" s="329"/>
      <c r="E648" s="333" t="s">
        <v>114</v>
      </c>
      <c r="F648" s="339">
        <v>200.0</v>
      </c>
      <c r="G648" s="341"/>
      <c r="H648" s="341"/>
      <c r="I648" s="286"/>
      <c r="J648" s="335">
        <v>98.0</v>
      </c>
      <c r="K648" s="332" t="str">
        <f t="shared" si="64"/>
        <v>#DIV/0!</v>
      </c>
      <c r="L648" s="319">
        <f t="shared" si="65"/>
        <v>-98</v>
      </c>
      <c r="M648" s="332">
        <f t="shared" si="66"/>
        <v>-1</v>
      </c>
      <c r="N648" s="331"/>
      <c r="O648" s="285"/>
      <c r="P648" s="285"/>
      <c r="Q648" s="300"/>
      <c r="R648" s="341"/>
    </row>
    <row r="649" ht="14.25" customHeight="1" outlineLevel="1">
      <c r="A649" s="327" t="s">
        <v>760</v>
      </c>
      <c r="B649" s="370" t="s">
        <v>761</v>
      </c>
      <c r="C649" s="327" t="s">
        <v>760</v>
      </c>
      <c r="D649" s="370" t="s">
        <v>762</v>
      </c>
      <c r="E649" s="333" t="s">
        <v>159</v>
      </c>
      <c r="F649" s="339">
        <v>200.0</v>
      </c>
      <c r="G649" s="369">
        <v>469.0</v>
      </c>
      <c r="H649" s="301">
        <v>439.0</v>
      </c>
      <c r="I649" s="312" t="str">
        <f>G649/R649</f>
        <v>#DIV/0!</v>
      </c>
      <c r="J649" s="313">
        <v>89.0</v>
      </c>
      <c r="K649" s="314">
        <f t="shared" si="64"/>
        <v>0.1897654584</v>
      </c>
      <c r="L649" s="315">
        <f t="shared" si="65"/>
        <v>-89</v>
      </c>
      <c r="M649" s="316">
        <f t="shared" si="66"/>
        <v>-1</v>
      </c>
      <c r="N649" s="317"/>
      <c r="O649" s="318" t="s">
        <v>112</v>
      </c>
      <c r="P649" s="318" t="s">
        <v>112</v>
      </c>
      <c r="Q649" s="300"/>
      <c r="R649" s="301"/>
    </row>
    <row r="650" ht="14.25" customHeight="1" outlineLevel="1">
      <c r="E650" s="333" t="s">
        <v>160</v>
      </c>
      <c r="F650" s="339">
        <v>200.0</v>
      </c>
      <c r="G650" s="369">
        <v>469.0</v>
      </c>
      <c r="H650" s="301"/>
      <c r="I650" s="312"/>
      <c r="J650" s="313">
        <v>89.0</v>
      </c>
      <c r="K650" s="314">
        <f t="shared" si="64"/>
        <v>0.1897654584</v>
      </c>
      <c r="L650" s="315">
        <f t="shared" si="65"/>
        <v>-89</v>
      </c>
      <c r="M650" s="316">
        <f t="shared" si="66"/>
        <v>-1</v>
      </c>
      <c r="N650" s="317"/>
      <c r="O650" s="318"/>
      <c r="P650" s="318"/>
      <c r="Q650" s="300"/>
      <c r="R650" s="301"/>
    </row>
    <row r="651" ht="14.25" customHeight="1" outlineLevel="1">
      <c r="E651" s="333" t="s">
        <v>509</v>
      </c>
      <c r="F651" s="339">
        <v>200.0</v>
      </c>
      <c r="G651" s="369">
        <v>489.0</v>
      </c>
      <c r="H651" s="301"/>
      <c r="I651" s="312"/>
      <c r="J651" s="313">
        <v>89.0</v>
      </c>
      <c r="K651" s="314">
        <f t="shared" si="64"/>
        <v>0.18200409</v>
      </c>
      <c r="L651" s="315">
        <f t="shared" si="65"/>
        <v>-89</v>
      </c>
      <c r="M651" s="316">
        <f t="shared" si="66"/>
        <v>-1</v>
      </c>
      <c r="N651" s="317"/>
      <c r="O651" s="318"/>
      <c r="P651" s="318"/>
      <c r="Q651" s="300"/>
      <c r="R651" s="301"/>
    </row>
    <row r="652" ht="14.25" customHeight="1" outlineLevel="1">
      <c r="E652" s="333" t="s">
        <v>510</v>
      </c>
      <c r="F652" s="339">
        <v>200.0</v>
      </c>
      <c r="G652" s="369">
        <v>489.0</v>
      </c>
      <c r="H652" s="301"/>
      <c r="I652" s="312"/>
      <c r="J652" s="313">
        <v>89.0</v>
      </c>
      <c r="K652" s="314">
        <f t="shared" si="64"/>
        <v>0.18200409</v>
      </c>
      <c r="L652" s="315">
        <f t="shared" si="65"/>
        <v>-89</v>
      </c>
      <c r="M652" s="316">
        <f t="shared" si="66"/>
        <v>-1</v>
      </c>
      <c r="N652" s="317"/>
      <c r="O652" s="318"/>
      <c r="P652" s="318"/>
      <c r="Q652" s="300"/>
      <c r="R652" s="301"/>
    </row>
    <row r="653" ht="14.25" customHeight="1" outlineLevel="1">
      <c r="B653" s="370"/>
      <c r="C653" s="327"/>
      <c r="D653" s="370"/>
      <c r="E653" s="333" t="s">
        <v>114</v>
      </c>
      <c r="F653" s="339">
        <v>200.0</v>
      </c>
      <c r="G653" s="369"/>
      <c r="H653" s="301"/>
      <c r="I653" s="312"/>
      <c r="J653" s="313">
        <v>89.0</v>
      </c>
      <c r="K653" s="314" t="str">
        <f t="shared" si="64"/>
        <v>#DIV/0!</v>
      </c>
      <c r="L653" s="315">
        <f t="shared" si="65"/>
        <v>-89</v>
      </c>
      <c r="M653" s="316">
        <f t="shared" si="66"/>
        <v>-1</v>
      </c>
      <c r="N653" s="317"/>
      <c r="O653" s="318"/>
      <c r="P653" s="318"/>
      <c r="Q653" s="300"/>
      <c r="R653" s="301"/>
    </row>
    <row r="654" ht="14.25" customHeight="1" outlineLevel="1">
      <c r="A654" s="327" t="s">
        <v>763</v>
      </c>
      <c r="B654" s="327" t="s">
        <v>764</v>
      </c>
      <c r="C654" s="327" t="s">
        <v>765</v>
      </c>
      <c r="D654" s="327" t="s">
        <v>764</v>
      </c>
      <c r="E654" s="333" t="s">
        <v>159</v>
      </c>
      <c r="F654" s="339">
        <v>200.0</v>
      </c>
      <c r="G654" s="369">
        <v>599.0</v>
      </c>
      <c r="H654" s="301">
        <v>559.0</v>
      </c>
      <c r="I654" s="312" t="str">
        <f>G654/R654</f>
        <v>#DIV/0!</v>
      </c>
      <c r="J654" s="313">
        <v>105.0</v>
      </c>
      <c r="K654" s="314">
        <f t="shared" si="64"/>
        <v>0.1752921536</v>
      </c>
      <c r="L654" s="315">
        <f t="shared" si="65"/>
        <v>-105</v>
      </c>
      <c r="M654" s="316">
        <f t="shared" si="66"/>
        <v>-1</v>
      </c>
      <c r="N654" s="317"/>
      <c r="O654" s="318" t="s">
        <v>112</v>
      </c>
      <c r="P654" s="318" t="s">
        <v>112</v>
      </c>
      <c r="Q654" s="300"/>
      <c r="R654" s="301"/>
    </row>
    <row r="655" ht="14.25" customHeight="1" outlineLevel="1">
      <c r="E655" s="333" t="s">
        <v>160</v>
      </c>
      <c r="F655" s="339">
        <v>200.0</v>
      </c>
      <c r="G655" s="369">
        <v>599.0</v>
      </c>
      <c r="H655" s="301"/>
      <c r="I655" s="312"/>
      <c r="J655" s="313">
        <v>100.0</v>
      </c>
      <c r="K655" s="314">
        <f t="shared" si="64"/>
        <v>0.1669449082</v>
      </c>
      <c r="L655" s="315">
        <f t="shared" si="65"/>
        <v>-100</v>
      </c>
      <c r="M655" s="316">
        <f t="shared" si="66"/>
        <v>-1</v>
      </c>
      <c r="N655" s="317"/>
      <c r="O655" s="318"/>
      <c r="P655" s="318"/>
      <c r="Q655" s="300"/>
      <c r="R655" s="301"/>
    </row>
    <row r="656" ht="14.25" customHeight="1" outlineLevel="1">
      <c r="E656" s="333" t="s">
        <v>509</v>
      </c>
      <c r="F656" s="339">
        <v>200.0</v>
      </c>
      <c r="G656" s="369">
        <v>599.0</v>
      </c>
      <c r="H656" s="301"/>
      <c r="I656" s="312"/>
      <c r="J656" s="313">
        <v>77.0</v>
      </c>
      <c r="K656" s="314">
        <f t="shared" si="64"/>
        <v>0.1285475793</v>
      </c>
      <c r="L656" s="315">
        <f t="shared" si="65"/>
        <v>-77</v>
      </c>
      <c r="M656" s="316">
        <f t="shared" si="66"/>
        <v>-1</v>
      </c>
      <c r="N656" s="317"/>
      <c r="O656" s="318"/>
      <c r="P656" s="318"/>
      <c r="Q656" s="300"/>
      <c r="R656" s="301"/>
    </row>
    <row r="657" ht="14.25" customHeight="1" outlineLevel="1">
      <c r="E657" s="333" t="s">
        <v>510</v>
      </c>
      <c r="F657" s="339">
        <v>200.0</v>
      </c>
      <c r="G657" s="369">
        <v>599.0</v>
      </c>
      <c r="H657" s="301"/>
      <c r="I657" s="312"/>
      <c r="J657" s="313">
        <v>103.0</v>
      </c>
      <c r="K657" s="314">
        <f t="shared" si="64"/>
        <v>0.1719532554</v>
      </c>
      <c r="L657" s="315">
        <f t="shared" si="65"/>
        <v>-103</v>
      </c>
      <c r="M657" s="316">
        <f t="shared" si="66"/>
        <v>-1</v>
      </c>
      <c r="N657" s="317"/>
      <c r="O657" s="318"/>
      <c r="P657" s="318"/>
      <c r="Q657" s="300"/>
      <c r="R657" s="301"/>
    </row>
    <row r="658" ht="14.25" customHeight="1" outlineLevel="1">
      <c r="B658" s="327"/>
      <c r="C658" s="327"/>
      <c r="D658" s="327"/>
      <c r="E658" s="333" t="s">
        <v>114</v>
      </c>
      <c r="F658" s="339">
        <v>200.0</v>
      </c>
      <c r="G658" s="369"/>
      <c r="H658" s="301"/>
      <c r="I658" s="312"/>
      <c r="J658" s="313">
        <v>103.0</v>
      </c>
      <c r="K658" s="314" t="str">
        <f t="shared" si="64"/>
        <v>#DIV/0!</v>
      </c>
      <c r="L658" s="315">
        <f t="shared" si="65"/>
        <v>-103</v>
      </c>
      <c r="M658" s="316">
        <f t="shared" si="66"/>
        <v>-1</v>
      </c>
      <c r="N658" s="317"/>
      <c r="O658" s="318"/>
      <c r="P658" s="318"/>
      <c r="Q658" s="300"/>
      <c r="R658" s="301"/>
    </row>
    <row r="659" ht="14.25" customHeight="1" outlineLevel="1">
      <c r="A659" s="327" t="s">
        <v>766</v>
      </c>
      <c r="B659" s="370" t="s">
        <v>767</v>
      </c>
      <c r="C659" s="327" t="s">
        <v>766</v>
      </c>
      <c r="D659" s="370" t="s">
        <v>768</v>
      </c>
      <c r="E659" s="333" t="s">
        <v>159</v>
      </c>
      <c r="F659" s="339">
        <v>200.0</v>
      </c>
      <c r="G659" s="371">
        <v>599.0</v>
      </c>
      <c r="H659" s="311">
        <v>499.0</v>
      </c>
      <c r="I659" s="312" t="str">
        <f>G659/R659</f>
        <v>#DIV/0!</v>
      </c>
      <c r="J659" s="313">
        <v>149.0</v>
      </c>
      <c r="K659" s="314">
        <f t="shared" si="64"/>
        <v>0.2487479132</v>
      </c>
      <c r="L659" s="315">
        <f t="shared" si="65"/>
        <v>-149</v>
      </c>
      <c r="M659" s="316">
        <f t="shared" si="66"/>
        <v>-1</v>
      </c>
      <c r="N659" s="331"/>
      <c r="O659" s="318" t="s">
        <v>112</v>
      </c>
      <c r="P659" s="318" t="s">
        <v>112</v>
      </c>
      <c r="Q659" s="319"/>
      <c r="R659" s="311"/>
    </row>
    <row r="660" ht="14.25" customHeight="1" outlineLevel="1">
      <c r="E660" s="333" t="s">
        <v>160</v>
      </c>
      <c r="F660" s="339">
        <v>200.0</v>
      </c>
      <c r="G660" s="371">
        <v>599.0</v>
      </c>
      <c r="H660" s="311"/>
      <c r="I660" s="312"/>
      <c r="J660" s="313">
        <v>116.0</v>
      </c>
      <c r="K660" s="314">
        <f t="shared" si="64"/>
        <v>0.1936560935</v>
      </c>
      <c r="L660" s="315">
        <f t="shared" si="65"/>
        <v>-116</v>
      </c>
      <c r="M660" s="316">
        <f t="shared" si="66"/>
        <v>-1</v>
      </c>
      <c r="N660" s="331"/>
      <c r="O660" s="318"/>
      <c r="P660" s="318"/>
      <c r="Q660" s="319"/>
      <c r="R660" s="311"/>
    </row>
    <row r="661" ht="14.25" customHeight="1" outlineLevel="1">
      <c r="E661" s="333" t="s">
        <v>509</v>
      </c>
      <c r="F661" s="339">
        <v>200.0</v>
      </c>
      <c r="G661" s="371">
        <v>599.0</v>
      </c>
      <c r="H661" s="311"/>
      <c r="I661" s="312"/>
      <c r="J661" s="313">
        <v>114.0</v>
      </c>
      <c r="K661" s="314">
        <f t="shared" si="64"/>
        <v>0.1903171953</v>
      </c>
      <c r="L661" s="315">
        <f t="shared" si="65"/>
        <v>-114</v>
      </c>
      <c r="M661" s="316">
        <f t="shared" si="66"/>
        <v>-1</v>
      </c>
      <c r="N661" s="331"/>
      <c r="O661" s="318"/>
      <c r="P661" s="318"/>
      <c r="Q661" s="319"/>
      <c r="R661" s="311"/>
    </row>
    <row r="662" ht="14.25" customHeight="1" outlineLevel="1">
      <c r="E662" s="333" t="s">
        <v>510</v>
      </c>
      <c r="F662" s="339">
        <v>200.0</v>
      </c>
      <c r="G662" s="371">
        <v>599.0</v>
      </c>
      <c r="H662" s="311"/>
      <c r="I662" s="312"/>
      <c r="J662" s="313">
        <v>100.0</v>
      </c>
      <c r="K662" s="314">
        <f t="shared" si="64"/>
        <v>0.1669449082</v>
      </c>
      <c r="L662" s="315">
        <f t="shared" si="65"/>
        <v>-100</v>
      </c>
      <c r="M662" s="316">
        <f t="shared" si="66"/>
        <v>-1</v>
      </c>
      <c r="N662" s="331"/>
      <c r="O662" s="318"/>
      <c r="P662" s="318"/>
      <c r="Q662" s="319"/>
      <c r="R662" s="311"/>
    </row>
    <row r="663" ht="14.25" customHeight="1" outlineLevel="1">
      <c r="B663" s="370"/>
      <c r="C663" s="327"/>
      <c r="D663" s="370"/>
      <c r="E663" s="333" t="s">
        <v>114</v>
      </c>
      <c r="F663" s="339">
        <v>200.0</v>
      </c>
      <c r="G663" s="371"/>
      <c r="H663" s="311"/>
      <c r="I663" s="312"/>
      <c r="J663" s="313">
        <v>100.0</v>
      </c>
      <c r="K663" s="314" t="str">
        <f t="shared" si="64"/>
        <v>#DIV/0!</v>
      </c>
      <c r="L663" s="315">
        <f t="shared" si="65"/>
        <v>-100</v>
      </c>
      <c r="M663" s="316">
        <f t="shared" si="66"/>
        <v>-1</v>
      </c>
      <c r="N663" s="331"/>
      <c r="O663" s="318"/>
      <c r="P663" s="318"/>
      <c r="Q663" s="319"/>
      <c r="R663" s="311"/>
    </row>
    <row r="664" ht="14.25" customHeight="1" outlineLevel="1">
      <c r="A664" s="327" t="s">
        <v>769</v>
      </c>
      <c r="B664" s="327"/>
      <c r="C664" s="327" t="s">
        <v>770</v>
      </c>
      <c r="D664" s="329"/>
      <c r="E664" s="333" t="s">
        <v>159</v>
      </c>
      <c r="F664" s="339">
        <v>200.0</v>
      </c>
      <c r="G664" s="369">
        <v>429.0</v>
      </c>
      <c r="H664" s="301">
        <v>369.0</v>
      </c>
      <c r="I664" s="312" t="str">
        <f>G664/R664</f>
        <v>#DIV/0!</v>
      </c>
      <c r="J664" s="313">
        <v>91.0</v>
      </c>
      <c r="K664" s="314">
        <f t="shared" si="64"/>
        <v>0.2121212121</v>
      </c>
      <c r="L664" s="315">
        <f t="shared" si="65"/>
        <v>-91</v>
      </c>
      <c r="M664" s="316">
        <f t="shared" si="66"/>
        <v>-1</v>
      </c>
      <c r="N664" s="317"/>
      <c r="O664" s="318" t="s">
        <v>112</v>
      </c>
      <c r="P664" s="318" t="s">
        <v>112</v>
      </c>
      <c r="Q664" s="300"/>
      <c r="R664" s="301"/>
    </row>
    <row r="665" ht="14.25" customHeight="1" outlineLevel="1">
      <c r="B665" s="327"/>
      <c r="D665" s="329"/>
      <c r="E665" s="333" t="s">
        <v>160</v>
      </c>
      <c r="F665" s="339">
        <v>200.0</v>
      </c>
      <c r="G665" s="369">
        <v>429.0</v>
      </c>
      <c r="H665" s="301"/>
      <c r="I665" s="312"/>
      <c r="J665" s="313">
        <v>93.0</v>
      </c>
      <c r="K665" s="314">
        <f t="shared" si="64"/>
        <v>0.2167832168</v>
      </c>
      <c r="L665" s="315">
        <f t="shared" si="65"/>
        <v>-93</v>
      </c>
      <c r="M665" s="316">
        <f t="shared" si="66"/>
        <v>-1</v>
      </c>
      <c r="N665" s="317"/>
      <c r="O665" s="318"/>
      <c r="P665" s="318"/>
      <c r="Q665" s="300"/>
      <c r="R665" s="301"/>
    </row>
    <row r="666" ht="14.25" customHeight="1" outlineLevel="1">
      <c r="B666" s="327"/>
      <c r="D666" s="329"/>
      <c r="E666" s="333" t="s">
        <v>509</v>
      </c>
      <c r="F666" s="339">
        <v>200.0</v>
      </c>
      <c r="G666" s="369">
        <v>449.0</v>
      </c>
      <c r="H666" s="301"/>
      <c r="I666" s="312"/>
      <c r="J666" s="313">
        <v>95.0</v>
      </c>
      <c r="K666" s="314">
        <f t="shared" si="64"/>
        <v>0.2115812918</v>
      </c>
      <c r="L666" s="315">
        <f t="shared" si="65"/>
        <v>-95</v>
      </c>
      <c r="M666" s="316">
        <f t="shared" si="66"/>
        <v>-1</v>
      </c>
      <c r="N666" s="317"/>
      <c r="O666" s="318"/>
      <c r="P666" s="318"/>
      <c r="Q666" s="300"/>
      <c r="R666" s="301"/>
    </row>
    <row r="667" ht="14.25" customHeight="1" outlineLevel="1">
      <c r="B667" s="327"/>
      <c r="D667" s="329"/>
      <c r="E667" s="333" t="s">
        <v>510</v>
      </c>
      <c r="F667" s="339">
        <v>200.0</v>
      </c>
      <c r="G667" s="369">
        <v>449.0</v>
      </c>
      <c r="H667" s="301"/>
      <c r="I667" s="312"/>
      <c r="J667" s="313">
        <v>100.0</v>
      </c>
      <c r="K667" s="314">
        <f t="shared" si="64"/>
        <v>0.2227171492</v>
      </c>
      <c r="L667" s="315">
        <f t="shared" si="65"/>
        <v>-100</v>
      </c>
      <c r="M667" s="316">
        <f t="shared" si="66"/>
        <v>-1</v>
      </c>
      <c r="N667" s="317"/>
      <c r="O667" s="318"/>
      <c r="P667" s="318"/>
      <c r="Q667" s="300"/>
      <c r="R667" s="301"/>
    </row>
    <row r="668" ht="14.25" customHeight="1" outlineLevel="1">
      <c r="B668" s="327"/>
      <c r="C668" s="327"/>
      <c r="D668" s="329"/>
      <c r="E668" s="333" t="s">
        <v>114</v>
      </c>
      <c r="F668" s="339">
        <v>200.0</v>
      </c>
      <c r="G668" s="369"/>
      <c r="H668" s="301"/>
      <c r="I668" s="312"/>
      <c r="J668" s="313">
        <v>100.0</v>
      </c>
      <c r="K668" s="314" t="str">
        <f t="shared" si="64"/>
        <v>#DIV/0!</v>
      </c>
      <c r="L668" s="315">
        <f t="shared" si="65"/>
        <v>-100</v>
      </c>
      <c r="M668" s="316">
        <f t="shared" si="66"/>
        <v>-1</v>
      </c>
      <c r="N668" s="317"/>
      <c r="O668" s="318"/>
      <c r="P668" s="318"/>
      <c r="Q668" s="300"/>
      <c r="R668" s="301"/>
    </row>
    <row r="669" ht="14.25" customHeight="1" outlineLevel="1">
      <c r="A669" s="327" t="s">
        <v>771</v>
      </c>
      <c r="B669" s="370" t="s">
        <v>772</v>
      </c>
      <c r="C669" s="327" t="s">
        <v>771</v>
      </c>
      <c r="D669" s="370"/>
      <c r="E669" s="333" t="s">
        <v>159</v>
      </c>
      <c r="F669" s="339">
        <v>200.0</v>
      </c>
      <c r="G669" s="371">
        <v>419.0</v>
      </c>
      <c r="H669" s="311">
        <v>379.0</v>
      </c>
      <c r="I669" s="312" t="str">
        <f>G669/R669</f>
        <v>#DIV/0!</v>
      </c>
      <c r="J669" s="313">
        <v>85.0</v>
      </c>
      <c r="K669" s="314">
        <f t="shared" si="64"/>
        <v>0.2028639618</v>
      </c>
      <c r="L669" s="315">
        <f t="shared" si="65"/>
        <v>-85</v>
      </c>
      <c r="M669" s="316">
        <f t="shared" si="66"/>
        <v>-1</v>
      </c>
      <c r="N669" s="331"/>
      <c r="O669" s="318" t="s">
        <v>112</v>
      </c>
      <c r="P669" s="318" t="s">
        <v>112</v>
      </c>
      <c r="Q669" s="319"/>
      <c r="R669" s="311"/>
    </row>
    <row r="670" ht="14.25" customHeight="1" outlineLevel="1">
      <c r="E670" s="333" t="s">
        <v>160</v>
      </c>
      <c r="F670" s="339">
        <v>200.0</v>
      </c>
      <c r="G670" s="371">
        <v>419.0</v>
      </c>
      <c r="H670" s="311"/>
      <c r="I670" s="312"/>
      <c r="J670" s="313">
        <v>74.0</v>
      </c>
      <c r="K670" s="314">
        <f t="shared" si="64"/>
        <v>0.1766109785</v>
      </c>
      <c r="L670" s="315">
        <f t="shared" si="65"/>
        <v>-74</v>
      </c>
      <c r="M670" s="316">
        <f t="shared" si="66"/>
        <v>-1</v>
      </c>
      <c r="N670" s="331"/>
      <c r="O670" s="318"/>
      <c r="P670" s="318"/>
      <c r="Q670" s="319"/>
      <c r="R670" s="311"/>
    </row>
    <row r="671" ht="14.25" customHeight="1" outlineLevel="1">
      <c r="E671" s="333" t="s">
        <v>509</v>
      </c>
      <c r="F671" s="339">
        <v>200.0</v>
      </c>
      <c r="G671" s="371">
        <v>439.0</v>
      </c>
      <c r="H671" s="311"/>
      <c r="I671" s="312"/>
      <c r="J671" s="313">
        <v>85.0</v>
      </c>
      <c r="K671" s="314">
        <f t="shared" si="64"/>
        <v>0.1936218679</v>
      </c>
      <c r="L671" s="315">
        <f t="shared" si="65"/>
        <v>-85</v>
      </c>
      <c r="M671" s="316">
        <f t="shared" si="66"/>
        <v>-1</v>
      </c>
      <c r="N671" s="331"/>
      <c r="O671" s="318"/>
      <c r="P671" s="318"/>
      <c r="Q671" s="319"/>
      <c r="R671" s="311"/>
    </row>
    <row r="672" ht="14.25" customHeight="1" outlineLevel="1">
      <c r="E672" s="333" t="s">
        <v>510</v>
      </c>
      <c r="F672" s="339">
        <v>200.0</v>
      </c>
      <c r="G672" s="371">
        <v>439.0</v>
      </c>
      <c r="H672" s="311"/>
      <c r="I672" s="312"/>
      <c r="J672" s="313">
        <v>62.0</v>
      </c>
      <c r="K672" s="314">
        <f t="shared" si="64"/>
        <v>0.1412300683</v>
      </c>
      <c r="L672" s="315">
        <f t="shared" si="65"/>
        <v>-62</v>
      </c>
      <c r="M672" s="316">
        <f t="shared" si="66"/>
        <v>-1</v>
      </c>
      <c r="N672" s="331"/>
      <c r="O672" s="318"/>
      <c r="P672" s="318"/>
      <c r="Q672" s="319"/>
      <c r="R672" s="311"/>
    </row>
    <row r="673" ht="14.25" customHeight="1" outlineLevel="1">
      <c r="B673" s="370"/>
      <c r="C673" s="327"/>
      <c r="D673" s="370"/>
      <c r="E673" s="333" t="s">
        <v>114</v>
      </c>
      <c r="F673" s="339">
        <v>200.0</v>
      </c>
      <c r="G673" s="371"/>
      <c r="H673" s="311"/>
      <c r="I673" s="312"/>
      <c r="J673" s="313">
        <v>62.0</v>
      </c>
      <c r="K673" s="314" t="str">
        <f t="shared" si="64"/>
        <v>#DIV/0!</v>
      </c>
      <c r="L673" s="315">
        <f t="shared" si="65"/>
        <v>-62</v>
      </c>
      <c r="M673" s="316">
        <f t="shared" si="66"/>
        <v>-1</v>
      </c>
      <c r="N673" s="331"/>
      <c r="O673" s="318"/>
      <c r="P673" s="318"/>
      <c r="Q673" s="319"/>
      <c r="R673" s="311"/>
    </row>
    <row r="674" ht="14.25" customHeight="1">
      <c r="A674" s="288" t="s">
        <v>773</v>
      </c>
      <c r="B674" s="289"/>
      <c r="C674" s="288" t="s">
        <v>774</v>
      </c>
      <c r="D674" s="289"/>
      <c r="E674" s="322" t="s">
        <v>159</v>
      </c>
      <c r="F674" s="323"/>
      <c r="G674" s="294"/>
      <c r="H674" s="294"/>
      <c r="I674" s="324"/>
      <c r="J674" s="325"/>
      <c r="K674" s="297"/>
      <c r="L674" s="326"/>
      <c r="M674" s="297"/>
      <c r="N674" s="299"/>
      <c r="O674" s="290"/>
      <c r="P674" s="290"/>
      <c r="Q674" s="300"/>
      <c r="R674" s="294"/>
    </row>
    <row r="675" ht="14.25" customHeight="1">
      <c r="B675" s="289"/>
      <c r="D675" s="289"/>
      <c r="E675" s="322" t="s">
        <v>160</v>
      </c>
      <c r="F675" s="323"/>
      <c r="G675" s="294"/>
      <c r="H675" s="294"/>
      <c r="I675" s="324"/>
      <c r="J675" s="325"/>
      <c r="K675" s="297"/>
      <c r="L675" s="326"/>
      <c r="M675" s="297"/>
      <c r="N675" s="299"/>
      <c r="O675" s="290"/>
      <c r="P675" s="290"/>
      <c r="Q675" s="300"/>
      <c r="R675" s="294"/>
    </row>
    <row r="676" ht="14.25" customHeight="1">
      <c r="B676" s="289"/>
      <c r="D676" s="289"/>
      <c r="E676" s="322" t="s">
        <v>509</v>
      </c>
      <c r="F676" s="323"/>
      <c r="G676" s="294"/>
      <c r="H676" s="294"/>
      <c r="I676" s="324"/>
      <c r="J676" s="325"/>
      <c r="K676" s="297"/>
      <c r="L676" s="326"/>
      <c r="M676" s="297"/>
      <c r="N676" s="299"/>
      <c r="O676" s="290"/>
      <c r="P676" s="290"/>
      <c r="Q676" s="300"/>
      <c r="R676" s="294"/>
    </row>
    <row r="677" ht="14.25" customHeight="1">
      <c r="B677" s="289"/>
      <c r="D677" s="289"/>
      <c r="E677" s="322" t="s">
        <v>510</v>
      </c>
      <c r="F677" s="323"/>
      <c r="G677" s="294"/>
      <c r="H677" s="294"/>
      <c r="I677" s="324"/>
      <c r="J677" s="325"/>
      <c r="K677" s="297"/>
      <c r="L677" s="326"/>
      <c r="M677" s="297"/>
      <c r="N677" s="299"/>
      <c r="O677" s="290"/>
      <c r="P677" s="290"/>
      <c r="Q677" s="300"/>
      <c r="R677" s="294"/>
    </row>
    <row r="678" ht="14.25" customHeight="1">
      <c r="B678" s="289"/>
      <c r="C678" s="288"/>
      <c r="D678" s="289"/>
      <c r="E678" s="322" t="s">
        <v>114</v>
      </c>
      <c r="F678" s="323"/>
      <c r="G678" s="294"/>
      <c r="H678" s="294"/>
      <c r="I678" s="324"/>
      <c r="J678" s="325"/>
      <c r="K678" s="297"/>
      <c r="L678" s="326"/>
      <c r="M678" s="297"/>
      <c r="N678" s="299"/>
      <c r="O678" s="290"/>
      <c r="P678" s="290"/>
      <c r="Q678" s="300"/>
      <c r="R678" s="294"/>
    </row>
    <row r="679" ht="14.25" customHeight="1" outlineLevel="1">
      <c r="A679" s="327" t="s">
        <v>775</v>
      </c>
      <c r="B679" s="327" t="s">
        <v>776</v>
      </c>
      <c r="C679" s="327" t="s">
        <v>775</v>
      </c>
      <c r="D679" s="327" t="s">
        <v>776</v>
      </c>
      <c r="E679" s="333" t="s">
        <v>159</v>
      </c>
      <c r="F679" s="337">
        <v>100.0</v>
      </c>
      <c r="G679" s="334">
        <v>459.0</v>
      </c>
      <c r="H679" s="334">
        <v>429.0</v>
      </c>
      <c r="I679" s="286" t="str">
        <f>G679/R679</f>
        <v>#DIV/0!</v>
      </c>
      <c r="J679" s="335">
        <v>89.0</v>
      </c>
      <c r="K679" s="332">
        <f t="shared" ref="K679:K718" si="67">J679/G679</f>
        <v>0.1938997821</v>
      </c>
      <c r="L679" s="319">
        <f t="shared" ref="L679:L718" si="68">Q679-J679</f>
        <v>-89</v>
      </c>
      <c r="M679" s="332">
        <f t="shared" ref="M679:M718" si="69">Q679/J679-1</f>
        <v>-1</v>
      </c>
      <c r="N679" s="331"/>
      <c r="O679" s="285" t="s">
        <v>112</v>
      </c>
      <c r="P679" s="285" t="s">
        <v>112</v>
      </c>
      <c r="Q679" s="319"/>
      <c r="R679" s="334"/>
    </row>
    <row r="680" ht="14.25" customHeight="1" outlineLevel="1">
      <c r="E680" s="333" t="s">
        <v>160</v>
      </c>
      <c r="F680" s="337">
        <v>100.0</v>
      </c>
      <c r="G680" s="334">
        <v>459.0</v>
      </c>
      <c r="H680" s="334"/>
      <c r="I680" s="286"/>
      <c r="J680" s="335">
        <v>89.0</v>
      </c>
      <c r="K680" s="332">
        <f t="shared" si="67"/>
        <v>0.1938997821</v>
      </c>
      <c r="L680" s="319">
        <f t="shared" si="68"/>
        <v>-89</v>
      </c>
      <c r="M680" s="332">
        <f t="shared" si="69"/>
        <v>-1</v>
      </c>
      <c r="N680" s="331"/>
      <c r="O680" s="285"/>
      <c r="P680" s="285"/>
      <c r="Q680" s="319"/>
      <c r="R680" s="334"/>
    </row>
    <row r="681" ht="14.25" customHeight="1" outlineLevel="1">
      <c r="E681" s="333" t="s">
        <v>509</v>
      </c>
      <c r="F681" s="337">
        <v>100.0</v>
      </c>
      <c r="G681" s="334">
        <v>499.0</v>
      </c>
      <c r="H681" s="334"/>
      <c r="I681" s="286"/>
      <c r="J681" s="335">
        <v>89.0</v>
      </c>
      <c r="K681" s="332">
        <f t="shared" si="67"/>
        <v>0.1783567134</v>
      </c>
      <c r="L681" s="319">
        <f t="shared" si="68"/>
        <v>-89</v>
      </c>
      <c r="M681" s="332">
        <f t="shared" si="69"/>
        <v>-1</v>
      </c>
      <c r="N681" s="331"/>
      <c r="O681" s="285"/>
      <c r="P681" s="285"/>
      <c r="Q681" s="319"/>
      <c r="R681" s="334"/>
    </row>
    <row r="682" ht="14.25" customHeight="1" outlineLevel="1">
      <c r="E682" s="333" t="s">
        <v>510</v>
      </c>
      <c r="F682" s="337">
        <v>100.0</v>
      </c>
      <c r="G682" s="334">
        <v>499.0</v>
      </c>
      <c r="H682" s="334"/>
      <c r="I682" s="286"/>
      <c r="J682" s="335">
        <v>89.0</v>
      </c>
      <c r="K682" s="332">
        <f t="shared" si="67"/>
        <v>0.1783567134</v>
      </c>
      <c r="L682" s="319">
        <f t="shared" si="68"/>
        <v>-89</v>
      </c>
      <c r="M682" s="332">
        <f t="shared" si="69"/>
        <v>-1</v>
      </c>
      <c r="N682" s="331"/>
      <c r="O682" s="285"/>
      <c r="P682" s="285"/>
      <c r="Q682" s="319"/>
      <c r="R682" s="334"/>
    </row>
    <row r="683" ht="14.25" customHeight="1" outlineLevel="1">
      <c r="B683" s="327"/>
      <c r="C683" s="327"/>
      <c r="D683" s="327"/>
      <c r="E683" s="333" t="s">
        <v>114</v>
      </c>
      <c r="F683" s="337">
        <v>100.0</v>
      </c>
      <c r="G683" s="334"/>
      <c r="H683" s="334"/>
      <c r="I683" s="286"/>
      <c r="J683" s="335">
        <v>89.0</v>
      </c>
      <c r="K683" s="332" t="str">
        <f t="shared" si="67"/>
        <v>#DIV/0!</v>
      </c>
      <c r="L683" s="319">
        <f t="shared" si="68"/>
        <v>-89</v>
      </c>
      <c r="M683" s="332">
        <f t="shared" si="69"/>
        <v>-1</v>
      </c>
      <c r="N683" s="331"/>
      <c r="O683" s="285"/>
      <c r="P683" s="285"/>
      <c r="Q683" s="319"/>
      <c r="R683" s="334"/>
    </row>
    <row r="684" ht="14.25" customHeight="1" outlineLevel="1">
      <c r="A684" s="327" t="s">
        <v>777</v>
      </c>
      <c r="B684" s="327" t="s">
        <v>778</v>
      </c>
      <c r="C684" s="327" t="s">
        <v>777</v>
      </c>
      <c r="D684" s="327" t="s">
        <v>779</v>
      </c>
      <c r="E684" s="333" t="s">
        <v>159</v>
      </c>
      <c r="F684" s="337">
        <v>200.0</v>
      </c>
      <c r="G684" s="341">
        <v>499.0</v>
      </c>
      <c r="H684" s="341">
        <v>429.0</v>
      </c>
      <c r="I684" s="286" t="str">
        <f>G684/R684</f>
        <v>#DIV/0!</v>
      </c>
      <c r="J684" s="335">
        <v>94.0</v>
      </c>
      <c r="K684" s="332">
        <f t="shared" si="67"/>
        <v>0.1883767535</v>
      </c>
      <c r="L684" s="319">
        <f t="shared" si="68"/>
        <v>-94</v>
      </c>
      <c r="M684" s="332">
        <f t="shared" si="69"/>
        <v>-1</v>
      </c>
      <c r="N684" s="331"/>
      <c r="O684" s="285" t="s">
        <v>112</v>
      </c>
      <c r="P684" s="285" t="s">
        <v>112</v>
      </c>
      <c r="Q684" s="300"/>
      <c r="R684" s="341"/>
    </row>
    <row r="685" ht="14.25" customHeight="1" outlineLevel="1">
      <c r="E685" s="333" t="s">
        <v>160</v>
      </c>
      <c r="F685" s="337">
        <v>200.0</v>
      </c>
      <c r="G685" s="341">
        <v>499.0</v>
      </c>
      <c r="H685" s="334"/>
      <c r="I685" s="286"/>
      <c r="J685" s="335">
        <v>94.0</v>
      </c>
      <c r="K685" s="332">
        <f t="shared" si="67"/>
        <v>0.1883767535</v>
      </c>
      <c r="L685" s="319">
        <f t="shared" si="68"/>
        <v>-94</v>
      </c>
      <c r="M685" s="332">
        <f t="shared" si="69"/>
        <v>-1</v>
      </c>
      <c r="N685" s="331"/>
      <c r="O685" s="332"/>
      <c r="P685" s="332"/>
      <c r="Q685" s="319"/>
      <c r="R685" s="334"/>
    </row>
    <row r="686" ht="14.25" customHeight="1" outlineLevel="1">
      <c r="E686" s="333" t="s">
        <v>509</v>
      </c>
      <c r="F686" s="337">
        <v>200.0</v>
      </c>
      <c r="G686" s="341">
        <v>549.0</v>
      </c>
      <c r="H686" s="334"/>
      <c r="I686" s="286"/>
      <c r="J686" s="335">
        <v>94.0</v>
      </c>
      <c r="K686" s="332">
        <f t="shared" si="67"/>
        <v>0.1712204007</v>
      </c>
      <c r="L686" s="319">
        <f t="shared" si="68"/>
        <v>-94</v>
      </c>
      <c r="M686" s="332">
        <f t="shared" si="69"/>
        <v>-1</v>
      </c>
      <c r="N686" s="331"/>
      <c r="O686" s="332"/>
      <c r="P686" s="332"/>
      <c r="Q686" s="319"/>
      <c r="R686" s="334"/>
    </row>
    <row r="687" ht="14.25" customHeight="1" outlineLevel="1">
      <c r="E687" s="333" t="s">
        <v>622</v>
      </c>
      <c r="F687" s="337">
        <v>200.0</v>
      </c>
      <c r="G687" s="341">
        <v>549.0</v>
      </c>
      <c r="H687" s="334"/>
      <c r="I687" s="286"/>
      <c r="J687" s="335">
        <v>94.0</v>
      </c>
      <c r="K687" s="332">
        <f t="shared" si="67"/>
        <v>0.1712204007</v>
      </c>
      <c r="L687" s="319">
        <f t="shared" si="68"/>
        <v>-94</v>
      </c>
      <c r="M687" s="332">
        <f t="shared" si="69"/>
        <v>-1</v>
      </c>
      <c r="N687" s="331"/>
      <c r="O687" s="332"/>
      <c r="P687" s="332"/>
      <c r="Q687" s="319"/>
      <c r="R687" s="334"/>
    </row>
    <row r="688" ht="14.25" customHeight="1" outlineLevel="1">
      <c r="B688" s="327"/>
      <c r="C688" s="327"/>
      <c r="D688" s="327"/>
      <c r="E688" s="333" t="s">
        <v>114</v>
      </c>
      <c r="F688" s="337">
        <v>200.0</v>
      </c>
      <c r="G688" s="341"/>
      <c r="H688" s="334"/>
      <c r="I688" s="286"/>
      <c r="J688" s="335">
        <v>94.0</v>
      </c>
      <c r="K688" s="332" t="str">
        <f t="shared" si="67"/>
        <v>#DIV/0!</v>
      </c>
      <c r="L688" s="319">
        <f t="shared" si="68"/>
        <v>-94</v>
      </c>
      <c r="M688" s="332">
        <f t="shared" si="69"/>
        <v>-1</v>
      </c>
      <c r="N688" s="331"/>
      <c r="O688" s="332"/>
      <c r="P688" s="332"/>
      <c r="Q688" s="319"/>
      <c r="R688" s="334"/>
    </row>
    <row r="689" ht="14.25" customHeight="1" outlineLevel="1">
      <c r="A689" s="327" t="s">
        <v>780</v>
      </c>
      <c r="B689" s="327" t="s">
        <v>781</v>
      </c>
      <c r="C689" s="327" t="s">
        <v>780</v>
      </c>
      <c r="D689" s="327" t="s">
        <v>782</v>
      </c>
      <c r="E689" s="333" t="s">
        <v>159</v>
      </c>
      <c r="F689" s="339">
        <v>200.0</v>
      </c>
      <c r="G689" s="341">
        <v>459.0</v>
      </c>
      <c r="H689" s="341">
        <v>389.0</v>
      </c>
      <c r="I689" s="286" t="str">
        <f>G689/R689</f>
        <v>#DIV/0!</v>
      </c>
      <c r="J689" s="335">
        <v>83.0</v>
      </c>
      <c r="K689" s="332">
        <f t="shared" si="67"/>
        <v>0.1808278867</v>
      </c>
      <c r="L689" s="319">
        <f t="shared" si="68"/>
        <v>-83</v>
      </c>
      <c r="M689" s="332">
        <f t="shared" si="69"/>
        <v>-1</v>
      </c>
      <c r="N689" s="331"/>
      <c r="O689" s="285"/>
      <c r="P689" s="285" t="s">
        <v>112</v>
      </c>
      <c r="Q689" s="300"/>
      <c r="R689" s="341"/>
    </row>
    <row r="690" ht="14.25" customHeight="1" outlineLevel="1">
      <c r="E690" s="333" t="s">
        <v>160</v>
      </c>
      <c r="F690" s="339">
        <v>200.0</v>
      </c>
      <c r="G690" s="341">
        <v>459.0</v>
      </c>
      <c r="H690" s="341"/>
      <c r="I690" s="286"/>
      <c r="J690" s="335">
        <v>83.0</v>
      </c>
      <c r="K690" s="332">
        <f t="shared" si="67"/>
        <v>0.1808278867</v>
      </c>
      <c r="L690" s="319">
        <f t="shared" si="68"/>
        <v>-83</v>
      </c>
      <c r="M690" s="332">
        <f t="shared" si="69"/>
        <v>-1</v>
      </c>
      <c r="N690" s="331"/>
      <c r="O690" s="285"/>
      <c r="P690" s="285"/>
      <c r="Q690" s="300"/>
      <c r="R690" s="341"/>
    </row>
    <row r="691" ht="14.25" customHeight="1" outlineLevel="1">
      <c r="E691" s="333" t="s">
        <v>509</v>
      </c>
      <c r="F691" s="339">
        <v>200.0</v>
      </c>
      <c r="G691" s="341">
        <v>499.0</v>
      </c>
      <c r="H691" s="341"/>
      <c r="I691" s="286"/>
      <c r="J691" s="335">
        <v>83.0</v>
      </c>
      <c r="K691" s="332">
        <f t="shared" si="67"/>
        <v>0.1663326653</v>
      </c>
      <c r="L691" s="319">
        <f t="shared" si="68"/>
        <v>-83</v>
      </c>
      <c r="M691" s="332">
        <f t="shared" si="69"/>
        <v>-1</v>
      </c>
      <c r="N691" s="331"/>
      <c r="O691" s="285"/>
      <c r="P691" s="285"/>
      <c r="Q691" s="300"/>
      <c r="R691" s="341"/>
    </row>
    <row r="692" ht="14.25" customHeight="1" outlineLevel="1">
      <c r="E692" s="333" t="s">
        <v>510</v>
      </c>
      <c r="F692" s="339">
        <v>200.0</v>
      </c>
      <c r="G692" s="341">
        <v>499.0</v>
      </c>
      <c r="H692" s="341"/>
      <c r="I692" s="286"/>
      <c r="J692" s="335">
        <v>83.0</v>
      </c>
      <c r="K692" s="332">
        <f t="shared" si="67"/>
        <v>0.1663326653</v>
      </c>
      <c r="L692" s="319">
        <f t="shared" si="68"/>
        <v>-83</v>
      </c>
      <c r="M692" s="332">
        <f t="shared" si="69"/>
        <v>-1</v>
      </c>
      <c r="N692" s="331"/>
      <c r="O692" s="285"/>
      <c r="P692" s="285"/>
      <c r="Q692" s="300"/>
      <c r="R692" s="341"/>
    </row>
    <row r="693" ht="14.25" customHeight="1" outlineLevel="1">
      <c r="B693" s="327"/>
      <c r="C693" s="327"/>
      <c r="D693" s="327"/>
      <c r="E693" s="333" t="s">
        <v>114</v>
      </c>
      <c r="F693" s="339">
        <v>200.0</v>
      </c>
      <c r="G693" s="341"/>
      <c r="H693" s="341"/>
      <c r="I693" s="286"/>
      <c r="J693" s="335">
        <v>83.0</v>
      </c>
      <c r="K693" s="332" t="str">
        <f t="shared" si="67"/>
        <v>#DIV/0!</v>
      </c>
      <c r="L693" s="319">
        <f t="shared" si="68"/>
        <v>-83</v>
      </c>
      <c r="M693" s="332">
        <f t="shared" si="69"/>
        <v>-1</v>
      </c>
      <c r="N693" s="331"/>
      <c r="O693" s="285"/>
      <c r="P693" s="285"/>
      <c r="Q693" s="300"/>
      <c r="R693" s="341"/>
    </row>
    <row r="694" ht="14.25" customHeight="1" outlineLevel="1">
      <c r="A694" s="327" t="s">
        <v>783</v>
      </c>
      <c r="B694" s="327" t="s">
        <v>784</v>
      </c>
      <c r="C694" s="327" t="s">
        <v>783</v>
      </c>
      <c r="D694" s="327" t="s">
        <v>785</v>
      </c>
      <c r="E694" s="333" t="s">
        <v>159</v>
      </c>
      <c r="F694" s="339">
        <v>150.0</v>
      </c>
      <c r="G694" s="341">
        <v>499.0</v>
      </c>
      <c r="H694" s="341"/>
      <c r="I694" s="286"/>
      <c r="J694" s="335">
        <v>125.0</v>
      </c>
      <c r="K694" s="332">
        <f t="shared" si="67"/>
        <v>0.250501002</v>
      </c>
      <c r="L694" s="319">
        <f t="shared" si="68"/>
        <v>-125</v>
      </c>
      <c r="M694" s="332">
        <f t="shared" si="69"/>
        <v>-1</v>
      </c>
      <c r="N694" s="331"/>
      <c r="O694" s="285"/>
      <c r="P694" s="285"/>
      <c r="Q694" s="300"/>
      <c r="R694" s="341"/>
    </row>
    <row r="695" ht="14.25" customHeight="1" outlineLevel="1">
      <c r="E695" s="333" t="s">
        <v>160</v>
      </c>
      <c r="F695" s="339">
        <v>150.0</v>
      </c>
      <c r="G695" s="341">
        <v>499.0</v>
      </c>
      <c r="H695" s="341"/>
      <c r="I695" s="286"/>
      <c r="J695" s="335">
        <v>125.0</v>
      </c>
      <c r="K695" s="332">
        <f t="shared" si="67"/>
        <v>0.250501002</v>
      </c>
      <c r="L695" s="319">
        <f t="shared" si="68"/>
        <v>-125</v>
      </c>
      <c r="M695" s="332">
        <f t="shared" si="69"/>
        <v>-1</v>
      </c>
      <c r="N695" s="331"/>
      <c r="O695" s="285"/>
      <c r="P695" s="285"/>
      <c r="Q695" s="300"/>
      <c r="R695" s="341"/>
    </row>
    <row r="696" ht="14.25" customHeight="1" outlineLevel="1">
      <c r="E696" s="333" t="s">
        <v>509</v>
      </c>
      <c r="F696" s="339">
        <v>150.0</v>
      </c>
      <c r="G696" s="341">
        <v>549.0</v>
      </c>
      <c r="H696" s="341"/>
      <c r="I696" s="286"/>
      <c r="J696" s="335">
        <v>125.0</v>
      </c>
      <c r="K696" s="332">
        <f t="shared" si="67"/>
        <v>0.2276867031</v>
      </c>
      <c r="L696" s="319">
        <f t="shared" si="68"/>
        <v>-125</v>
      </c>
      <c r="M696" s="332">
        <f t="shared" si="69"/>
        <v>-1</v>
      </c>
      <c r="N696" s="331"/>
      <c r="O696" s="285"/>
      <c r="P696" s="285"/>
      <c r="Q696" s="300"/>
      <c r="R696" s="341"/>
    </row>
    <row r="697" ht="14.25" customHeight="1" outlineLevel="1">
      <c r="E697" s="333" t="s">
        <v>622</v>
      </c>
      <c r="F697" s="339">
        <v>150.0</v>
      </c>
      <c r="G697" s="341">
        <v>549.0</v>
      </c>
      <c r="H697" s="341"/>
      <c r="I697" s="286"/>
      <c r="J697" s="335">
        <v>125.0</v>
      </c>
      <c r="K697" s="332">
        <f t="shared" si="67"/>
        <v>0.2276867031</v>
      </c>
      <c r="L697" s="319">
        <f t="shared" si="68"/>
        <v>-125</v>
      </c>
      <c r="M697" s="332">
        <f t="shared" si="69"/>
        <v>-1</v>
      </c>
      <c r="N697" s="331"/>
      <c r="O697" s="285"/>
      <c r="P697" s="285"/>
      <c r="Q697" s="300"/>
      <c r="R697" s="341"/>
    </row>
    <row r="698" ht="14.25" customHeight="1" outlineLevel="1">
      <c r="B698" s="327"/>
      <c r="C698" s="327"/>
      <c r="D698" s="327"/>
      <c r="E698" s="333" t="s">
        <v>114</v>
      </c>
      <c r="F698" s="339">
        <v>150.0</v>
      </c>
      <c r="G698" s="341"/>
      <c r="H698" s="341"/>
      <c r="I698" s="286"/>
      <c r="J698" s="335">
        <v>125.0</v>
      </c>
      <c r="K698" s="332" t="str">
        <f t="shared" si="67"/>
        <v>#DIV/0!</v>
      </c>
      <c r="L698" s="319">
        <f t="shared" si="68"/>
        <v>-125</v>
      </c>
      <c r="M698" s="332">
        <f t="shared" si="69"/>
        <v>-1</v>
      </c>
      <c r="N698" s="331"/>
      <c r="O698" s="285"/>
      <c r="P698" s="285"/>
      <c r="Q698" s="300"/>
      <c r="R698" s="341"/>
    </row>
    <row r="699" ht="14.25" customHeight="1" outlineLevel="1">
      <c r="A699" s="327" t="s">
        <v>786</v>
      </c>
      <c r="B699" s="327" t="s">
        <v>787</v>
      </c>
      <c r="C699" s="327" t="s">
        <v>786</v>
      </c>
      <c r="D699" s="327" t="s">
        <v>788</v>
      </c>
      <c r="E699" s="333" t="s">
        <v>159</v>
      </c>
      <c r="F699" s="337">
        <v>200.0</v>
      </c>
      <c r="G699" s="371">
        <v>459.0</v>
      </c>
      <c r="H699" s="311">
        <v>429.0</v>
      </c>
      <c r="I699" s="312" t="str">
        <f>G699/R699</f>
        <v>#DIV/0!</v>
      </c>
      <c r="J699" s="313">
        <v>54.0</v>
      </c>
      <c r="K699" s="314">
        <f t="shared" si="67"/>
        <v>0.1176470588</v>
      </c>
      <c r="L699" s="315">
        <f t="shared" si="68"/>
        <v>-54</v>
      </c>
      <c r="M699" s="316">
        <f t="shared" si="69"/>
        <v>-1</v>
      </c>
      <c r="N699" s="331"/>
      <c r="O699" s="318"/>
      <c r="P699" s="318"/>
      <c r="Q699" s="319"/>
      <c r="R699" s="311"/>
    </row>
    <row r="700" ht="14.25" customHeight="1" outlineLevel="1">
      <c r="E700" s="333" t="s">
        <v>160</v>
      </c>
      <c r="F700" s="337">
        <v>200.0</v>
      </c>
      <c r="G700" s="371">
        <v>459.0</v>
      </c>
      <c r="H700" s="311"/>
      <c r="I700" s="312"/>
      <c r="J700" s="313">
        <v>55.0</v>
      </c>
      <c r="K700" s="314">
        <f t="shared" si="67"/>
        <v>0.1198257081</v>
      </c>
      <c r="L700" s="315">
        <f t="shared" si="68"/>
        <v>-55</v>
      </c>
      <c r="M700" s="316">
        <f t="shared" si="69"/>
        <v>-1</v>
      </c>
      <c r="N700" s="331"/>
      <c r="O700" s="318"/>
      <c r="P700" s="318"/>
      <c r="Q700" s="319"/>
      <c r="R700" s="311"/>
    </row>
    <row r="701" ht="14.25" customHeight="1" outlineLevel="1">
      <c r="E701" s="333" t="s">
        <v>509</v>
      </c>
      <c r="F701" s="337">
        <v>200.0</v>
      </c>
      <c r="G701" s="371">
        <v>499.0</v>
      </c>
      <c r="H701" s="311"/>
      <c r="I701" s="312"/>
      <c r="J701" s="313">
        <v>65.0</v>
      </c>
      <c r="K701" s="314">
        <f t="shared" si="67"/>
        <v>0.130260521</v>
      </c>
      <c r="L701" s="315">
        <f t="shared" si="68"/>
        <v>-65</v>
      </c>
      <c r="M701" s="316">
        <f t="shared" si="69"/>
        <v>-1</v>
      </c>
      <c r="N701" s="331"/>
      <c r="O701" s="318"/>
      <c r="P701" s="318"/>
      <c r="Q701" s="319"/>
      <c r="R701" s="311"/>
    </row>
    <row r="702" ht="14.25" customHeight="1" outlineLevel="1">
      <c r="E702" s="333" t="s">
        <v>510</v>
      </c>
      <c r="F702" s="337">
        <v>200.0</v>
      </c>
      <c r="G702" s="371">
        <v>499.0</v>
      </c>
      <c r="H702" s="311"/>
      <c r="I702" s="312"/>
      <c r="J702" s="313">
        <v>65.0</v>
      </c>
      <c r="K702" s="314">
        <f t="shared" si="67"/>
        <v>0.130260521</v>
      </c>
      <c r="L702" s="315">
        <f t="shared" si="68"/>
        <v>-65</v>
      </c>
      <c r="M702" s="316">
        <f t="shared" si="69"/>
        <v>-1</v>
      </c>
      <c r="N702" s="331"/>
      <c r="O702" s="318"/>
      <c r="P702" s="318"/>
      <c r="Q702" s="319"/>
      <c r="R702" s="311"/>
    </row>
    <row r="703" ht="14.25" customHeight="1" outlineLevel="1">
      <c r="B703" s="327"/>
      <c r="C703" s="327"/>
      <c r="D703" s="327"/>
      <c r="E703" s="333" t="s">
        <v>114</v>
      </c>
      <c r="F703" s="337">
        <v>200.0</v>
      </c>
      <c r="G703" s="371"/>
      <c r="H703" s="311"/>
      <c r="I703" s="312"/>
      <c r="J703" s="313">
        <v>65.0</v>
      </c>
      <c r="K703" s="314" t="str">
        <f t="shared" si="67"/>
        <v>#DIV/0!</v>
      </c>
      <c r="L703" s="315">
        <f t="shared" si="68"/>
        <v>-65</v>
      </c>
      <c r="M703" s="316">
        <f t="shared" si="69"/>
        <v>-1</v>
      </c>
      <c r="N703" s="331"/>
      <c r="O703" s="318"/>
      <c r="P703" s="318"/>
      <c r="Q703" s="319"/>
      <c r="R703" s="311"/>
    </row>
    <row r="704" ht="15.0" customHeight="1">
      <c r="A704" s="329" t="s">
        <v>789</v>
      </c>
      <c r="B704" s="370" t="s">
        <v>790</v>
      </c>
      <c r="C704" s="329" t="s">
        <v>791</v>
      </c>
      <c r="D704" s="370" t="s">
        <v>792</v>
      </c>
      <c r="E704" s="333" t="s">
        <v>159</v>
      </c>
      <c r="F704" s="337">
        <v>200.0</v>
      </c>
      <c r="G704" s="369">
        <v>499.0</v>
      </c>
      <c r="H704" s="301">
        <v>439.0</v>
      </c>
      <c r="I704" s="312" t="str">
        <f>G704/R704</f>
        <v>#DIV/0!</v>
      </c>
      <c r="J704" s="313">
        <v>104.0</v>
      </c>
      <c r="K704" s="314">
        <f t="shared" si="67"/>
        <v>0.2084168337</v>
      </c>
      <c r="L704" s="315">
        <f t="shared" si="68"/>
        <v>-104</v>
      </c>
      <c r="M704" s="316">
        <f t="shared" si="69"/>
        <v>-1</v>
      </c>
      <c r="N704" s="372"/>
      <c r="O704" s="373" t="s">
        <v>112</v>
      </c>
      <c r="P704" s="373" t="s">
        <v>112</v>
      </c>
      <c r="Q704" s="300"/>
      <c r="R704" s="301"/>
    </row>
    <row r="705" ht="15.0" customHeight="1">
      <c r="E705" s="333" t="s">
        <v>160</v>
      </c>
      <c r="F705" s="337">
        <v>200.0</v>
      </c>
      <c r="G705" s="369">
        <v>499.0</v>
      </c>
      <c r="H705" s="301"/>
      <c r="I705" s="312"/>
      <c r="J705" s="313">
        <v>88.0</v>
      </c>
      <c r="K705" s="314">
        <f t="shared" si="67"/>
        <v>0.1763527054</v>
      </c>
      <c r="L705" s="315">
        <f t="shared" si="68"/>
        <v>-88</v>
      </c>
      <c r="M705" s="316">
        <f t="shared" si="69"/>
        <v>-1</v>
      </c>
      <c r="N705" s="372"/>
      <c r="O705" s="373"/>
      <c r="P705" s="373"/>
      <c r="Q705" s="300"/>
      <c r="R705" s="301"/>
    </row>
    <row r="706" ht="15.0" customHeight="1">
      <c r="E706" s="333" t="s">
        <v>509</v>
      </c>
      <c r="F706" s="337">
        <v>200.0</v>
      </c>
      <c r="G706" s="369">
        <v>549.0</v>
      </c>
      <c r="H706" s="301"/>
      <c r="I706" s="312"/>
      <c r="J706" s="313">
        <v>103.0</v>
      </c>
      <c r="K706" s="314">
        <f t="shared" si="67"/>
        <v>0.1876138434</v>
      </c>
      <c r="L706" s="315">
        <f t="shared" si="68"/>
        <v>-103</v>
      </c>
      <c r="M706" s="316">
        <f t="shared" si="69"/>
        <v>-1</v>
      </c>
      <c r="N706" s="372"/>
      <c r="O706" s="373"/>
      <c r="P706" s="373"/>
      <c r="Q706" s="300"/>
      <c r="R706" s="301"/>
    </row>
    <row r="707" ht="15.0" customHeight="1">
      <c r="E707" s="333" t="s">
        <v>510</v>
      </c>
      <c r="F707" s="337">
        <v>200.0</v>
      </c>
      <c r="G707" s="369">
        <v>549.0</v>
      </c>
      <c r="H707" s="301"/>
      <c r="I707" s="312"/>
      <c r="J707" s="313">
        <v>103.0</v>
      </c>
      <c r="K707" s="314">
        <f t="shared" si="67"/>
        <v>0.1876138434</v>
      </c>
      <c r="L707" s="315">
        <f t="shared" si="68"/>
        <v>-103</v>
      </c>
      <c r="M707" s="316">
        <f t="shared" si="69"/>
        <v>-1</v>
      </c>
      <c r="N707" s="372"/>
      <c r="O707" s="373"/>
      <c r="P707" s="373"/>
      <c r="Q707" s="300"/>
      <c r="R707" s="301"/>
    </row>
    <row r="708" ht="15.0" customHeight="1">
      <c r="B708" s="370"/>
      <c r="C708" s="329"/>
      <c r="D708" s="370"/>
      <c r="E708" s="333" t="s">
        <v>114</v>
      </c>
      <c r="F708" s="337">
        <v>200.0</v>
      </c>
      <c r="G708" s="369"/>
      <c r="H708" s="301"/>
      <c r="I708" s="312"/>
      <c r="J708" s="313">
        <v>103.0</v>
      </c>
      <c r="K708" s="314" t="str">
        <f t="shared" si="67"/>
        <v>#DIV/0!</v>
      </c>
      <c r="L708" s="315">
        <f t="shared" si="68"/>
        <v>-103</v>
      </c>
      <c r="M708" s="316">
        <f t="shared" si="69"/>
        <v>-1</v>
      </c>
      <c r="N708" s="372"/>
      <c r="O708" s="373"/>
      <c r="P708" s="373"/>
      <c r="Q708" s="300"/>
      <c r="R708" s="301"/>
    </row>
    <row r="709" ht="15.0" customHeight="1">
      <c r="A709" s="361" t="s">
        <v>793</v>
      </c>
      <c r="B709" s="330" t="s">
        <v>794</v>
      </c>
      <c r="C709" s="361" t="s">
        <v>793</v>
      </c>
      <c r="D709" s="330" t="s">
        <v>794</v>
      </c>
      <c r="E709" s="333" t="s">
        <v>159</v>
      </c>
      <c r="F709" s="337">
        <v>100.0</v>
      </c>
      <c r="G709" s="369">
        <v>459.0</v>
      </c>
      <c r="H709" s="301">
        <v>389.0</v>
      </c>
      <c r="I709" s="312" t="str">
        <f>G709/R709</f>
        <v>#DIV/0!</v>
      </c>
      <c r="J709" s="313">
        <v>87.0</v>
      </c>
      <c r="K709" s="314">
        <f t="shared" si="67"/>
        <v>0.1895424837</v>
      </c>
      <c r="L709" s="315">
        <f t="shared" si="68"/>
        <v>-87</v>
      </c>
      <c r="M709" s="316">
        <f t="shared" si="69"/>
        <v>-1</v>
      </c>
      <c r="N709" s="372"/>
      <c r="O709" s="373" t="s">
        <v>112</v>
      </c>
      <c r="P709" s="373" t="s">
        <v>112</v>
      </c>
      <c r="Q709" s="300"/>
      <c r="R709" s="301"/>
    </row>
    <row r="710" ht="15.0" customHeight="1">
      <c r="E710" s="333" t="s">
        <v>160</v>
      </c>
      <c r="F710" s="337">
        <v>100.0</v>
      </c>
      <c r="G710" s="369">
        <v>459.0</v>
      </c>
      <c r="H710" s="301"/>
      <c r="I710" s="312"/>
      <c r="J710" s="313">
        <v>88.0</v>
      </c>
      <c r="K710" s="314">
        <f t="shared" si="67"/>
        <v>0.1917211329</v>
      </c>
      <c r="L710" s="315">
        <f t="shared" si="68"/>
        <v>-88</v>
      </c>
      <c r="M710" s="316">
        <f t="shared" si="69"/>
        <v>-1</v>
      </c>
      <c r="N710" s="372"/>
      <c r="O710" s="373"/>
      <c r="P710" s="373"/>
      <c r="Q710" s="300"/>
      <c r="R710" s="301"/>
    </row>
    <row r="711" ht="15.0" customHeight="1">
      <c r="E711" s="333" t="s">
        <v>509</v>
      </c>
      <c r="F711" s="337">
        <v>100.0</v>
      </c>
      <c r="G711" s="369">
        <v>499.0</v>
      </c>
      <c r="H711" s="301"/>
      <c r="I711" s="312"/>
      <c r="J711" s="313">
        <v>88.0</v>
      </c>
      <c r="K711" s="314">
        <f t="shared" si="67"/>
        <v>0.1763527054</v>
      </c>
      <c r="L711" s="315">
        <f t="shared" si="68"/>
        <v>-88</v>
      </c>
      <c r="M711" s="316">
        <f t="shared" si="69"/>
        <v>-1</v>
      </c>
      <c r="N711" s="372"/>
      <c r="O711" s="373"/>
      <c r="P711" s="373"/>
      <c r="Q711" s="300"/>
      <c r="R711" s="301"/>
    </row>
    <row r="712" ht="15.0" customHeight="1">
      <c r="E712" s="333" t="s">
        <v>510</v>
      </c>
      <c r="F712" s="337">
        <v>100.0</v>
      </c>
      <c r="G712" s="369">
        <v>499.0</v>
      </c>
      <c r="H712" s="301"/>
      <c r="I712" s="312"/>
      <c r="J712" s="313">
        <v>98.0</v>
      </c>
      <c r="K712" s="314">
        <f t="shared" si="67"/>
        <v>0.1963927856</v>
      </c>
      <c r="L712" s="315">
        <f t="shared" si="68"/>
        <v>-98</v>
      </c>
      <c r="M712" s="316">
        <f t="shared" si="69"/>
        <v>-1</v>
      </c>
      <c r="N712" s="372"/>
      <c r="O712" s="373"/>
      <c r="P712" s="373"/>
      <c r="Q712" s="300"/>
      <c r="R712" s="301"/>
    </row>
    <row r="713" ht="15.0" customHeight="1">
      <c r="B713" s="330"/>
      <c r="C713" s="361"/>
      <c r="D713" s="330"/>
      <c r="E713" s="333" t="s">
        <v>114</v>
      </c>
      <c r="F713" s="337">
        <v>100.0</v>
      </c>
      <c r="G713" s="369"/>
      <c r="H713" s="301"/>
      <c r="I713" s="312"/>
      <c r="J713" s="313">
        <v>98.0</v>
      </c>
      <c r="K713" s="314" t="str">
        <f t="shared" si="67"/>
        <v>#DIV/0!</v>
      </c>
      <c r="L713" s="315">
        <f t="shared" si="68"/>
        <v>-98</v>
      </c>
      <c r="M713" s="316">
        <f t="shared" si="69"/>
        <v>-1</v>
      </c>
      <c r="N713" s="372"/>
      <c r="O713" s="373"/>
      <c r="P713" s="373"/>
      <c r="Q713" s="300"/>
      <c r="R713" s="301"/>
    </row>
    <row r="714" ht="15.0" customHeight="1">
      <c r="A714" s="361" t="s">
        <v>795</v>
      </c>
      <c r="B714" s="330" t="s">
        <v>796</v>
      </c>
      <c r="C714" s="361" t="s">
        <v>795</v>
      </c>
      <c r="D714" s="330" t="s">
        <v>797</v>
      </c>
      <c r="E714" s="333" t="s">
        <v>159</v>
      </c>
      <c r="F714" s="337">
        <v>200.0</v>
      </c>
      <c r="G714" s="369">
        <v>459.0</v>
      </c>
      <c r="H714" s="301">
        <v>389.0</v>
      </c>
      <c r="I714" s="312" t="str">
        <f>G714/R714</f>
        <v>#DIV/0!</v>
      </c>
      <c r="J714" s="313">
        <v>58.0</v>
      </c>
      <c r="K714" s="314">
        <f t="shared" si="67"/>
        <v>0.1263616558</v>
      </c>
      <c r="L714" s="315">
        <f t="shared" si="68"/>
        <v>-58</v>
      </c>
      <c r="M714" s="316">
        <f t="shared" si="69"/>
        <v>-1</v>
      </c>
      <c r="N714" s="372"/>
      <c r="O714" s="373" t="s">
        <v>112</v>
      </c>
      <c r="P714" s="373" t="s">
        <v>112</v>
      </c>
      <c r="Q714" s="300"/>
      <c r="R714" s="301"/>
    </row>
    <row r="715" ht="15.0" customHeight="1">
      <c r="E715" s="333" t="s">
        <v>160</v>
      </c>
      <c r="F715" s="337">
        <v>200.0</v>
      </c>
      <c r="G715" s="369">
        <v>459.0</v>
      </c>
      <c r="H715" s="301"/>
      <c r="I715" s="312"/>
      <c r="J715" s="313">
        <v>52.0</v>
      </c>
      <c r="K715" s="314">
        <f t="shared" si="67"/>
        <v>0.1132897603</v>
      </c>
      <c r="L715" s="315">
        <f t="shared" si="68"/>
        <v>-52</v>
      </c>
      <c r="M715" s="316">
        <f t="shared" si="69"/>
        <v>-1</v>
      </c>
      <c r="N715" s="372"/>
      <c r="O715" s="373"/>
      <c r="P715" s="373"/>
      <c r="Q715" s="300"/>
      <c r="R715" s="301"/>
    </row>
    <row r="716" ht="15.0" customHeight="1">
      <c r="E716" s="333" t="s">
        <v>509</v>
      </c>
      <c r="F716" s="337">
        <v>200.0</v>
      </c>
      <c r="G716" s="369">
        <v>499.0</v>
      </c>
      <c r="H716" s="301"/>
      <c r="I716" s="312"/>
      <c r="J716" s="313">
        <v>60.0</v>
      </c>
      <c r="K716" s="314">
        <f t="shared" si="67"/>
        <v>0.120240481</v>
      </c>
      <c r="L716" s="315">
        <f t="shared" si="68"/>
        <v>-60</v>
      </c>
      <c r="M716" s="316">
        <f t="shared" si="69"/>
        <v>-1</v>
      </c>
      <c r="N716" s="372"/>
      <c r="O716" s="373"/>
      <c r="P716" s="373"/>
      <c r="Q716" s="300"/>
      <c r="R716" s="301"/>
    </row>
    <row r="717" ht="15.0" customHeight="1">
      <c r="E717" s="333" t="s">
        <v>510</v>
      </c>
      <c r="F717" s="337">
        <v>200.0</v>
      </c>
      <c r="G717" s="369">
        <v>499.0</v>
      </c>
      <c r="H717" s="301"/>
      <c r="I717" s="312"/>
      <c r="J717" s="313">
        <v>76.0</v>
      </c>
      <c r="K717" s="314">
        <f t="shared" si="67"/>
        <v>0.1523046092</v>
      </c>
      <c r="L717" s="315">
        <f t="shared" si="68"/>
        <v>-76</v>
      </c>
      <c r="M717" s="316">
        <f t="shared" si="69"/>
        <v>-1</v>
      </c>
      <c r="N717" s="372"/>
      <c r="O717" s="373"/>
      <c r="P717" s="373"/>
      <c r="Q717" s="300"/>
      <c r="R717" s="301"/>
    </row>
    <row r="718" ht="15.0" customHeight="1">
      <c r="B718" s="330"/>
      <c r="C718" s="361"/>
      <c r="D718" s="330"/>
      <c r="E718" s="333" t="s">
        <v>114</v>
      </c>
      <c r="F718" s="337">
        <v>200.0</v>
      </c>
      <c r="G718" s="369"/>
      <c r="H718" s="301"/>
      <c r="I718" s="312"/>
      <c r="J718" s="313">
        <v>76.0</v>
      </c>
      <c r="K718" s="314" t="str">
        <f t="shared" si="67"/>
        <v>#DIV/0!</v>
      </c>
      <c r="L718" s="315">
        <f t="shared" si="68"/>
        <v>-76</v>
      </c>
      <c r="M718" s="316">
        <f t="shared" si="69"/>
        <v>-1</v>
      </c>
      <c r="N718" s="372"/>
      <c r="O718" s="373"/>
      <c r="P718" s="373"/>
      <c r="Q718" s="300"/>
      <c r="R718" s="301"/>
    </row>
    <row r="719" ht="14.25" customHeight="1">
      <c r="A719" s="288" t="s">
        <v>798</v>
      </c>
      <c r="B719" s="289"/>
      <c r="C719" s="288" t="s">
        <v>799</v>
      </c>
      <c r="D719" s="291"/>
      <c r="E719" s="322" t="s">
        <v>159</v>
      </c>
      <c r="F719" s="323"/>
      <c r="G719" s="294"/>
      <c r="H719" s="294"/>
      <c r="I719" s="324"/>
      <c r="J719" s="325"/>
      <c r="K719" s="297"/>
      <c r="L719" s="326"/>
      <c r="M719" s="297"/>
      <c r="N719" s="299"/>
      <c r="O719" s="290"/>
      <c r="P719" s="290"/>
      <c r="Q719" s="300"/>
      <c r="R719" s="301"/>
    </row>
    <row r="720" ht="14.25" customHeight="1">
      <c r="B720" s="289"/>
      <c r="D720" s="291"/>
      <c r="E720" s="322" t="s">
        <v>160</v>
      </c>
      <c r="F720" s="323"/>
      <c r="G720" s="294"/>
      <c r="H720" s="294"/>
      <c r="I720" s="324"/>
      <c r="J720" s="325"/>
      <c r="K720" s="297"/>
      <c r="L720" s="326"/>
      <c r="M720" s="297"/>
      <c r="N720" s="299"/>
      <c r="O720" s="290"/>
      <c r="P720" s="290"/>
      <c r="Q720" s="300"/>
      <c r="R720" s="301"/>
    </row>
    <row r="721" ht="14.25" customHeight="1">
      <c r="B721" s="289"/>
      <c r="D721" s="291"/>
      <c r="E721" s="322" t="s">
        <v>800</v>
      </c>
      <c r="F721" s="323"/>
      <c r="G721" s="294"/>
      <c r="H721" s="294"/>
      <c r="I721" s="324"/>
      <c r="J721" s="325"/>
      <c r="K721" s="297"/>
      <c r="L721" s="326"/>
      <c r="M721" s="297"/>
      <c r="N721" s="299"/>
      <c r="O721" s="290"/>
      <c r="P721" s="290"/>
      <c r="Q721" s="300"/>
      <c r="R721" s="301"/>
    </row>
    <row r="722" ht="14.25" customHeight="1">
      <c r="B722" s="289"/>
      <c r="D722" s="291"/>
      <c r="E722" s="322" t="s">
        <v>510</v>
      </c>
      <c r="F722" s="323"/>
      <c r="G722" s="294"/>
      <c r="H722" s="294"/>
      <c r="I722" s="324"/>
      <c r="J722" s="325"/>
      <c r="K722" s="297"/>
      <c r="L722" s="326"/>
      <c r="M722" s="297"/>
      <c r="N722" s="299"/>
      <c r="O722" s="290"/>
      <c r="P722" s="290"/>
      <c r="Q722" s="300"/>
      <c r="R722" s="301"/>
    </row>
    <row r="723" ht="14.25" customHeight="1">
      <c r="B723" s="289"/>
      <c r="C723" s="288"/>
      <c r="D723" s="291"/>
      <c r="E723" s="322" t="s">
        <v>114</v>
      </c>
      <c r="F723" s="323"/>
      <c r="G723" s="294"/>
      <c r="H723" s="294"/>
      <c r="I723" s="324"/>
      <c r="J723" s="325"/>
      <c r="K723" s="297"/>
      <c r="L723" s="326"/>
      <c r="M723" s="297"/>
      <c r="N723" s="299"/>
      <c r="O723" s="290"/>
      <c r="P723" s="290"/>
      <c r="Q723" s="300"/>
      <c r="R723" s="301"/>
    </row>
    <row r="724" ht="14.25" customHeight="1" outlineLevel="1">
      <c r="A724" s="327" t="s">
        <v>801</v>
      </c>
      <c r="B724" s="327"/>
      <c r="C724" s="327" t="s">
        <v>801</v>
      </c>
      <c r="D724" s="336"/>
      <c r="E724" s="309" t="s">
        <v>159</v>
      </c>
      <c r="F724" s="339">
        <v>50.0</v>
      </c>
      <c r="G724" s="311">
        <v>219.0</v>
      </c>
      <c r="H724" s="311">
        <v>209.0</v>
      </c>
      <c r="I724" s="312" t="str">
        <f>G724/R724</f>
        <v>#DIV/0!</v>
      </c>
      <c r="J724" s="313">
        <v>17.0</v>
      </c>
      <c r="K724" s="314">
        <f t="shared" ref="K724:K773" si="70">J724/G724</f>
        <v>0.07762557078</v>
      </c>
      <c r="L724" s="315">
        <f t="shared" ref="L724:L773" si="71">Q724-J724</f>
        <v>-17</v>
      </c>
      <c r="M724" s="316">
        <f t="shared" ref="M724:M773" si="72">Q724/J724-1</f>
        <v>-1</v>
      </c>
      <c r="N724" s="317"/>
      <c r="O724" s="318" t="s">
        <v>112</v>
      </c>
      <c r="P724" s="318" t="s">
        <v>112</v>
      </c>
      <c r="Q724" s="319"/>
      <c r="R724" s="311"/>
    </row>
    <row r="725" ht="14.25" customHeight="1" outlineLevel="1">
      <c r="B725" s="327"/>
      <c r="D725" s="336" t="s">
        <v>802</v>
      </c>
      <c r="E725" s="309" t="s">
        <v>160</v>
      </c>
      <c r="F725" s="339">
        <v>50.0</v>
      </c>
      <c r="G725" s="311">
        <v>219.0</v>
      </c>
      <c r="H725" s="311">
        <v>199.0</v>
      </c>
      <c r="I725" s="312"/>
      <c r="J725" s="313">
        <v>16.0</v>
      </c>
      <c r="K725" s="314">
        <f t="shared" si="70"/>
        <v>0.07305936073</v>
      </c>
      <c r="L725" s="315">
        <f t="shared" si="71"/>
        <v>-16</v>
      </c>
      <c r="M725" s="316">
        <f t="shared" si="72"/>
        <v>-1</v>
      </c>
      <c r="N725" s="317"/>
      <c r="O725" s="318"/>
      <c r="P725" s="318"/>
      <c r="Q725" s="319"/>
      <c r="R725" s="311"/>
    </row>
    <row r="726" ht="14.25" customHeight="1" outlineLevel="1">
      <c r="B726" s="327"/>
      <c r="D726" s="336">
        <v>1948.0</v>
      </c>
      <c r="E726" s="309" t="s">
        <v>509</v>
      </c>
      <c r="F726" s="339">
        <v>50.0</v>
      </c>
      <c r="G726" s="311">
        <v>239.0</v>
      </c>
      <c r="H726" s="311">
        <v>229.0</v>
      </c>
      <c r="I726" s="312"/>
      <c r="J726" s="313">
        <v>18.0</v>
      </c>
      <c r="K726" s="314">
        <f t="shared" si="70"/>
        <v>0.07531380753</v>
      </c>
      <c r="L726" s="315">
        <f t="shared" si="71"/>
        <v>-18</v>
      </c>
      <c r="M726" s="316">
        <f t="shared" si="72"/>
        <v>-1</v>
      </c>
      <c r="N726" s="317"/>
      <c r="O726" s="318"/>
      <c r="P726" s="318"/>
      <c r="Q726" s="319"/>
      <c r="R726" s="311"/>
    </row>
    <row r="727" ht="14.25" customHeight="1" outlineLevel="1">
      <c r="B727" s="327"/>
      <c r="D727" s="336"/>
      <c r="E727" s="309" t="s">
        <v>510</v>
      </c>
      <c r="F727" s="339">
        <v>50.0</v>
      </c>
      <c r="G727" s="311">
        <v>239.0</v>
      </c>
      <c r="H727" s="311">
        <v>229.0</v>
      </c>
      <c r="I727" s="312"/>
      <c r="J727" s="313">
        <v>21.0</v>
      </c>
      <c r="K727" s="314">
        <f t="shared" si="70"/>
        <v>0.08786610879</v>
      </c>
      <c r="L727" s="315">
        <f t="shared" si="71"/>
        <v>-21</v>
      </c>
      <c r="M727" s="316">
        <f t="shared" si="72"/>
        <v>-1</v>
      </c>
      <c r="N727" s="317"/>
      <c r="O727" s="318"/>
      <c r="P727" s="318"/>
      <c r="Q727" s="319"/>
      <c r="R727" s="311"/>
    </row>
    <row r="728" ht="14.25" customHeight="1" outlineLevel="1">
      <c r="B728" s="327"/>
      <c r="C728" s="327"/>
      <c r="D728" s="336"/>
      <c r="E728" s="309" t="s">
        <v>114</v>
      </c>
      <c r="F728" s="339">
        <v>50.0</v>
      </c>
      <c r="G728" s="311"/>
      <c r="H728" s="311"/>
      <c r="I728" s="312"/>
      <c r="J728" s="313">
        <v>21.0</v>
      </c>
      <c r="K728" s="314" t="str">
        <f t="shared" si="70"/>
        <v>#DIV/0!</v>
      </c>
      <c r="L728" s="315">
        <f t="shared" si="71"/>
        <v>-21</v>
      </c>
      <c r="M728" s="316">
        <f t="shared" si="72"/>
        <v>-1</v>
      </c>
      <c r="N728" s="317"/>
      <c r="O728" s="318"/>
      <c r="P728" s="318"/>
      <c r="Q728" s="319"/>
      <c r="R728" s="311"/>
    </row>
    <row r="729" ht="14.25" customHeight="1" outlineLevel="1">
      <c r="A729" s="327" t="s">
        <v>803</v>
      </c>
      <c r="B729" s="327"/>
      <c r="C729" s="327" t="s">
        <v>803</v>
      </c>
      <c r="D729" s="336"/>
      <c r="E729" s="309" t="s">
        <v>159</v>
      </c>
      <c r="F729" s="339">
        <v>50.0</v>
      </c>
      <c r="G729" s="311">
        <v>219.0</v>
      </c>
      <c r="H729" s="311">
        <v>209.0</v>
      </c>
      <c r="I729" s="312" t="str">
        <f>G729/R729</f>
        <v>#DIV/0!</v>
      </c>
      <c r="J729" s="313">
        <v>31.0</v>
      </c>
      <c r="K729" s="314">
        <f t="shared" si="70"/>
        <v>0.1415525114</v>
      </c>
      <c r="L729" s="315">
        <f t="shared" si="71"/>
        <v>-31</v>
      </c>
      <c r="M729" s="316">
        <f t="shared" si="72"/>
        <v>-1</v>
      </c>
      <c r="N729" s="317"/>
      <c r="O729" s="373" t="s">
        <v>112</v>
      </c>
      <c r="P729" s="373" t="s">
        <v>112</v>
      </c>
      <c r="Q729" s="319"/>
      <c r="R729" s="311"/>
    </row>
    <row r="730" ht="14.25" customHeight="1" outlineLevel="1">
      <c r="B730" s="327"/>
      <c r="D730" s="336"/>
      <c r="E730" s="309" t="s">
        <v>160</v>
      </c>
      <c r="F730" s="339">
        <v>50.0</v>
      </c>
      <c r="G730" s="311">
        <v>219.0</v>
      </c>
      <c r="H730" s="311">
        <v>199.0</v>
      </c>
      <c r="I730" s="312"/>
      <c r="J730" s="313">
        <v>30.0</v>
      </c>
      <c r="K730" s="314">
        <f t="shared" si="70"/>
        <v>0.1369863014</v>
      </c>
      <c r="L730" s="315">
        <f t="shared" si="71"/>
        <v>-30</v>
      </c>
      <c r="M730" s="316">
        <f t="shared" si="72"/>
        <v>-1</v>
      </c>
      <c r="N730" s="317"/>
      <c r="O730" s="373"/>
      <c r="P730" s="373"/>
      <c r="Q730" s="319"/>
      <c r="R730" s="311"/>
    </row>
    <row r="731" ht="14.25" customHeight="1" outlineLevel="1">
      <c r="B731" s="327"/>
      <c r="D731" s="336"/>
      <c r="E731" s="309" t="s">
        <v>509</v>
      </c>
      <c r="F731" s="339">
        <v>50.0</v>
      </c>
      <c r="G731" s="311">
        <v>239.0</v>
      </c>
      <c r="H731" s="311">
        <v>229.0</v>
      </c>
      <c r="I731" s="312"/>
      <c r="J731" s="313">
        <v>31.0</v>
      </c>
      <c r="K731" s="314">
        <f t="shared" si="70"/>
        <v>0.129707113</v>
      </c>
      <c r="L731" s="315">
        <f t="shared" si="71"/>
        <v>-31</v>
      </c>
      <c r="M731" s="316">
        <f t="shared" si="72"/>
        <v>-1</v>
      </c>
      <c r="N731" s="317"/>
      <c r="O731" s="373"/>
      <c r="P731" s="373"/>
      <c r="Q731" s="319"/>
      <c r="R731" s="311"/>
    </row>
    <row r="732" ht="14.25" customHeight="1" outlineLevel="1">
      <c r="B732" s="327"/>
      <c r="D732" s="336"/>
      <c r="E732" s="309" t="s">
        <v>510</v>
      </c>
      <c r="F732" s="339">
        <v>50.0</v>
      </c>
      <c r="G732" s="311">
        <v>239.0</v>
      </c>
      <c r="H732" s="311">
        <v>229.0</v>
      </c>
      <c r="I732" s="312"/>
      <c r="J732" s="313">
        <v>35.0</v>
      </c>
      <c r="K732" s="314">
        <f t="shared" si="70"/>
        <v>0.1464435146</v>
      </c>
      <c r="L732" s="315">
        <f t="shared" si="71"/>
        <v>-35</v>
      </c>
      <c r="M732" s="316">
        <f t="shared" si="72"/>
        <v>-1</v>
      </c>
      <c r="N732" s="317"/>
      <c r="O732" s="373"/>
      <c r="P732" s="373"/>
      <c r="Q732" s="319"/>
      <c r="R732" s="311"/>
    </row>
    <row r="733" ht="14.25" customHeight="1" outlineLevel="1">
      <c r="B733" s="327"/>
      <c r="C733" s="327"/>
      <c r="D733" s="336"/>
      <c r="E733" s="309" t="s">
        <v>114</v>
      </c>
      <c r="F733" s="339">
        <v>50.0</v>
      </c>
      <c r="G733" s="311"/>
      <c r="H733" s="311"/>
      <c r="I733" s="312"/>
      <c r="J733" s="313">
        <v>35.0</v>
      </c>
      <c r="K733" s="314" t="str">
        <f t="shared" si="70"/>
        <v>#DIV/0!</v>
      </c>
      <c r="L733" s="315">
        <f t="shared" si="71"/>
        <v>-35</v>
      </c>
      <c r="M733" s="316">
        <f t="shared" si="72"/>
        <v>-1</v>
      </c>
      <c r="N733" s="317"/>
      <c r="O733" s="373"/>
      <c r="P733" s="373"/>
      <c r="Q733" s="319"/>
      <c r="R733" s="311"/>
    </row>
    <row r="734" ht="14.25" customHeight="1" outlineLevel="1">
      <c r="A734" s="327" t="s">
        <v>804</v>
      </c>
      <c r="B734" s="327"/>
      <c r="C734" s="327" t="s">
        <v>804</v>
      </c>
      <c r="D734" s="336"/>
      <c r="E734" s="309" t="s">
        <v>159</v>
      </c>
      <c r="F734" s="339">
        <v>50.0</v>
      </c>
      <c r="G734" s="311">
        <v>219.0</v>
      </c>
      <c r="H734" s="311">
        <v>209.0</v>
      </c>
      <c r="I734" s="312" t="str">
        <f>G734/R734</f>
        <v>#DIV/0!</v>
      </c>
      <c r="J734" s="313">
        <v>31.0</v>
      </c>
      <c r="K734" s="314">
        <f t="shared" si="70"/>
        <v>0.1415525114</v>
      </c>
      <c r="L734" s="315">
        <f t="shared" si="71"/>
        <v>-31</v>
      </c>
      <c r="M734" s="316">
        <f t="shared" si="72"/>
        <v>-1</v>
      </c>
      <c r="N734" s="317"/>
      <c r="O734" s="318" t="s">
        <v>112</v>
      </c>
      <c r="P734" s="318" t="s">
        <v>112</v>
      </c>
      <c r="Q734" s="319"/>
      <c r="R734" s="311"/>
    </row>
    <row r="735" ht="14.25" customHeight="1" outlineLevel="1">
      <c r="B735" s="327"/>
      <c r="D735" s="336"/>
      <c r="E735" s="309" t="s">
        <v>160</v>
      </c>
      <c r="F735" s="339">
        <v>50.0</v>
      </c>
      <c r="G735" s="311">
        <v>219.0</v>
      </c>
      <c r="H735" s="311">
        <v>199.0</v>
      </c>
      <c r="I735" s="312"/>
      <c r="J735" s="313">
        <v>30.0</v>
      </c>
      <c r="K735" s="314">
        <f t="shared" si="70"/>
        <v>0.1369863014</v>
      </c>
      <c r="L735" s="315">
        <f t="shared" si="71"/>
        <v>-30</v>
      </c>
      <c r="M735" s="316">
        <f t="shared" si="72"/>
        <v>-1</v>
      </c>
      <c r="N735" s="317"/>
      <c r="O735" s="318"/>
      <c r="P735" s="318"/>
      <c r="Q735" s="319"/>
      <c r="R735" s="311"/>
    </row>
    <row r="736" ht="14.25" customHeight="1" outlineLevel="1">
      <c r="B736" s="327"/>
      <c r="D736" s="336"/>
      <c r="E736" s="309" t="s">
        <v>509</v>
      </c>
      <c r="F736" s="339">
        <v>50.0</v>
      </c>
      <c r="G736" s="311">
        <v>239.0</v>
      </c>
      <c r="H736" s="311">
        <v>229.0</v>
      </c>
      <c r="I736" s="312"/>
      <c r="J736" s="313">
        <v>31.0</v>
      </c>
      <c r="K736" s="314">
        <f t="shared" si="70"/>
        <v>0.129707113</v>
      </c>
      <c r="L736" s="315">
        <f t="shared" si="71"/>
        <v>-31</v>
      </c>
      <c r="M736" s="316">
        <f t="shared" si="72"/>
        <v>-1</v>
      </c>
      <c r="N736" s="317"/>
      <c r="O736" s="318"/>
      <c r="P736" s="318"/>
      <c r="Q736" s="319"/>
      <c r="R736" s="311"/>
    </row>
    <row r="737" ht="14.25" customHeight="1" outlineLevel="1">
      <c r="B737" s="327"/>
      <c r="D737" s="336"/>
      <c r="E737" s="309" t="s">
        <v>510</v>
      </c>
      <c r="F737" s="339">
        <v>50.0</v>
      </c>
      <c r="G737" s="311">
        <v>239.0</v>
      </c>
      <c r="H737" s="311">
        <v>229.0</v>
      </c>
      <c r="I737" s="312"/>
      <c r="J737" s="313">
        <v>32.0</v>
      </c>
      <c r="K737" s="314">
        <f t="shared" si="70"/>
        <v>0.1338912134</v>
      </c>
      <c r="L737" s="315">
        <f t="shared" si="71"/>
        <v>-32</v>
      </c>
      <c r="M737" s="316">
        <f t="shared" si="72"/>
        <v>-1</v>
      </c>
      <c r="N737" s="317"/>
      <c r="O737" s="318"/>
      <c r="P737" s="318"/>
      <c r="Q737" s="319"/>
      <c r="R737" s="311"/>
    </row>
    <row r="738" ht="14.25" customHeight="1" outlineLevel="1">
      <c r="B738" s="327"/>
      <c r="C738" s="327"/>
      <c r="D738" s="336"/>
      <c r="E738" s="309" t="s">
        <v>114</v>
      </c>
      <c r="F738" s="339">
        <v>50.0</v>
      </c>
      <c r="G738" s="311"/>
      <c r="H738" s="311"/>
      <c r="I738" s="312"/>
      <c r="J738" s="313">
        <v>32.0</v>
      </c>
      <c r="K738" s="314" t="str">
        <f t="shared" si="70"/>
        <v>#DIV/0!</v>
      </c>
      <c r="L738" s="315">
        <f t="shared" si="71"/>
        <v>-32</v>
      </c>
      <c r="M738" s="316">
        <f t="shared" si="72"/>
        <v>-1</v>
      </c>
      <c r="N738" s="317"/>
      <c r="O738" s="318"/>
      <c r="P738" s="318"/>
      <c r="Q738" s="319"/>
      <c r="R738" s="311"/>
    </row>
    <row r="739" ht="14.25" customHeight="1" outlineLevel="1">
      <c r="A739" s="327" t="s">
        <v>805</v>
      </c>
      <c r="B739" s="327"/>
      <c r="C739" s="327" t="s">
        <v>805</v>
      </c>
      <c r="D739" s="336"/>
      <c r="E739" s="309" t="s">
        <v>159</v>
      </c>
      <c r="F739" s="339">
        <v>50.0</v>
      </c>
      <c r="G739" s="311">
        <v>219.0</v>
      </c>
      <c r="H739" s="311">
        <v>209.0</v>
      </c>
      <c r="I739" s="312" t="str">
        <f>G739/R739</f>
        <v>#DIV/0!</v>
      </c>
      <c r="J739" s="313">
        <v>32.0</v>
      </c>
      <c r="K739" s="314">
        <f t="shared" si="70"/>
        <v>0.1461187215</v>
      </c>
      <c r="L739" s="315">
        <f t="shared" si="71"/>
        <v>-32</v>
      </c>
      <c r="M739" s="316">
        <f t="shared" si="72"/>
        <v>-1</v>
      </c>
      <c r="N739" s="317"/>
      <c r="O739" s="318" t="s">
        <v>112</v>
      </c>
      <c r="P739" s="318" t="s">
        <v>112</v>
      </c>
      <c r="Q739" s="319"/>
      <c r="R739" s="311"/>
    </row>
    <row r="740" ht="14.25" customHeight="1" outlineLevel="1">
      <c r="B740" s="327"/>
      <c r="D740" s="336"/>
      <c r="E740" s="309" t="s">
        <v>160</v>
      </c>
      <c r="F740" s="339">
        <v>50.0</v>
      </c>
      <c r="G740" s="311">
        <v>219.0</v>
      </c>
      <c r="H740" s="311">
        <v>199.0</v>
      </c>
      <c r="I740" s="312"/>
      <c r="J740" s="313">
        <v>31.0</v>
      </c>
      <c r="K740" s="314">
        <f t="shared" si="70"/>
        <v>0.1415525114</v>
      </c>
      <c r="L740" s="315">
        <f t="shared" si="71"/>
        <v>-31</v>
      </c>
      <c r="M740" s="316">
        <f t="shared" si="72"/>
        <v>-1</v>
      </c>
      <c r="N740" s="317"/>
      <c r="O740" s="318"/>
      <c r="P740" s="318"/>
      <c r="Q740" s="319"/>
      <c r="R740" s="311"/>
    </row>
    <row r="741" ht="14.25" customHeight="1" outlineLevel="1">
      <c r="B741" s="327"/>
      <c r="D741" s="336"/>
      <c r="E741" s="309" t="s">
        <v>509</v>
      </c>
      <c r="F741" s="339">
        <v>50.0</v>
      </c>
      <c r="G741" s="311">
        <v>239.0</v>
      </c>
      <c r="H741" s="311">
        <v>229.0</v>
      </c>
      <c r="I741" s="312"/>
      <c r="J741" s="313">
        <v>33.0</v>
      </c>
      <c r="K741" s="314">
        <f t="shared" si="70"/>
        <v>0.1380753138</v>
      </c>
      <c r="L741" s="315">
        <f t="shared" si="71"/>
        <v>-33</v>
      </c>
      <c r="M741" s="316">
        <f t="shared" si="72"/>
        <v>-1</v>
      </c>
      <c r="N741" s="317"/>
      <c r="O741" s="318"/>
      <c r="P741" s="318"/>
      <c r="Q741" s="319"/>
      <c r="R741" s="311"/>
    </row>
    <row r="742" ht="14.25" customHeight="1" outlineLevel="1">
      <c r="B742" s="327"/>
      <c r="D742" s="336"/>
      <c r="E742" s="309" t="s">
        <v>510</v>
      </c>
      <c r="F742" s="339">
        <v>50.0</v>
      </c>
      <c r="G742" s="311">
        <v>239.0</v>
      </c>
      <c r="H742" s="311">
        <v>229.0</v>
      </c>
      <c r="I742" s="312"/>
      <c r="J742" s="313">
        <v>38.0</v>
      </c>
      <c r="K742" s="314">
        <f t="shared" si="70"/>
        <v>0.1589958159</v>
      </c>
      <c r="L742" s="315">
        <f t="shared" si="71"/>
        <v>-38</v>
      </c>
      <c r="M742" s="316">
        <f t="shared" si="72"/>
        <v>-1</v>
      </c>
      <c r="N742" s="317"/>
      <c r="O742" s="318"/>
      <c r="P742" s="318"/>
      <c r="Q742" s="319"/>
      <c r="R742" s="311"/>
    </row>
    <row r="743" ht="14.25" customHeight="1" outlineLevel="1">
      <c r="B743" s="327"/>
      <c r="C743" s="327"/>
      <c r="D743" s="336"/>
      <c r="E743" s="309" t="s">
        <v>114</v>
      </c>
      <c r="F743" s="339">
        <v>50.0</v>
      </c>
      <c r="G743" s="311"/>
      <c r="H743" s="311"/>
      <c r="I743" s="312"/>
      <c r="J743" s="313">
        <v>38.0</v>
      </c>
      <c r="K743" s="314" t="str">
        <f t="shared" si="70"/>
        <v>#DIV/0!</v>
      </c>
      <c r="L743" s="315">
        <f t="shared" si="71"/>
        <v>-38</v>
      </c>
      <c r="M743" s="316">
        <f t="shared" si="72"/>
        <v>-1</v>
      </c>
      <c r="N743" s="317"/>
      <c r="O743" s="318"/>
      <c r="P743" s="318"/>
      <c r="Q743" s="319"/>
      <c r="R743" s="311"/>
    </row>
    <row r="744" ht="14.25" customHeight="1" outlineLevel="1">
      <c r="A744" s="374" t="s">
        <v>806</v>
      </c>
      <c r="B744" s="327"/>
      <c r="C744" s="374" t="s">
        <v>806</v>
      </c>
      <c r="D744" s="336"/>
      <c r="E744" s="333" t="s">
        <v>159</v>
      </c>
      <c r="F744" s="339">
        <v>50.0</v>
      </c>
      <c r="G744" s="311">
        <v>219.0</v>
      </c>
      <c r="H744" s="311">
        <v>209.0</v>
      </c>
      <c r="I744" s="312" t="str">
        <f>G744/R744</f>
        <v>#DIV/0!</v>
      </c>
      <c r="J744" s="313">
        <v>28.0</v>
      </c>
      <c r="K744" s="314">
        <f t="shared" si="70"/>
        <v>0.1278538813</v>
      </c>
      <c r="L744" s="315">
        <f t="shared" si="71"/>
        <v>-28</v>
      </c>
      <c r="M744" s="316">
        <f t="shared" si="72"/>
        <v>-1</v>
      </c>
      <c r="N744" s="317"/>
      <c r="O744" s="318" t="s">
        <v>112</v>
      </c>
      <c r="P744" s="318" t="s">
        <v>112</v>
      </c>
      <c r="Q744" s="319"/>
      <c r="R744" s="311"/>
    </row>
    <row r="745" ht="14.25" customHeight="1" outlineLevel="1">
      <c r="B745" s="327"/>
      <c r="D745" s="336"/>
      <c r="E745" s="333" t="s">
        <v>160</v>
      </c>
      <c r="F745" s="339">
        <v>50.0</v>
      </c>
      <c r="G745" s="311">
        <v>219.0</v>
      </c>
      <c r="H745" s="311">
        <v>199.0</v>
      </c>
      <c r="I745" s="312"/>
      <c r="J745" s="313">
        <v>26.0</v>
      </c>
      <c r="K745" s="314">
        <f t="shared" si="70"/>
        <v>0.1187214612</v>
      </c>
      <c r="L745" s="315">
        <f t="shared" si="71"/>
        <v>-26</v>
      </c>
      <c r="M745" s="316">
        <f t="shared" si="72"/>
        <v>-1</v>
      </c>
      <c r="N745" s="317"/>
      <c r="O745" s="318"/>
      <c r="P745" s="318"/>
      <c r="Q745" s="319"/>
      <c r="R745" s="311"/>
    </row>
    <row r="746" ht="14.25" customHeight="1" outlineLevel="1">
      <c r="B746" s="327"/>
      <c r="D746" s="336"/>
      <c r="E746" s="333" t="s">
        <v>509</v>
      </c>
      <c r="F746" s="339">
        <v>50.0</v>
      </c>
      <c r="G746" s="311">
        <v>239.0</v>
      </c>
      <c r="H746" s="311">
        <v>229.0</v>
      </c>
      <c r="I746" s="312"/>
      <c r="J746" s="313">
        <v>29.0</v>
      </c>
      <c r="K746" s="314">
        <f t="shared" si="70"/>
        <v>0.1213389121</v>
      </c>
      <c r="L746" s="315">
        <f t="shared" si="71"/>
        <v>-29</v>
      </c>
      <c r="M746" s="316">
        <f t="shared" si="72"/>
        <v>-1</v>
      </c>
      <c r="N746" s="317"/>
      <c r="O746" s="318"/>
      <c r="P746" s="318"/>
      <c r="Q746" s="319"/>
      <c r="R746" s="311"/>
    </row>
    <row r="747" ht="14.25" customHeight="1" outlineLevel="1">
      <c r="B747" s="327"/>
      <c r="D747" s="336"/>
      <c r="E747" s="333" t="s">
        <v>510</v>
      </c>
      <c r="F747" s="339">
        <v>50.0</v>
      </c>
      <c r="G747" s="311">
        <v>239.0</v>
      </c>
      <c r="H747" s="311">
        <v>229.0</v>
      </c>
      <c r="I747" s="312"/>
      <c r="J747" s="313">
        <v>33.0</v>
      </c>
      <c r="K747" s="314">
        <f t="shared" si="70"/>
        <v>0.1380753138</v>
      </c>
      <c r="L747" s="315">
        <f t="shared" si="71"/>
        <v>-33</v>
      </c>
      <c r="M747" s="316">
        <f t="shared" si="72"/>
        <v>-1</v>
      </c>
      <c r="N747" s="317"/>
      <c r="O747" s="318"/>
      <c r="P747" s="318"/>
      <c r="Q747" s="319"/>
      <c r="R747" s="311"/>
    </row>
    <row r="748" ht="14.25" customHeight="1" outlineLevel="1">
      <c r="B748" s="327"/>
      <c r="C748" s="374"/>
      <c r="D748" s="336"/>
      <c r="E748" s="333" t="s">
        <v>114</v>
      </c>
      <c r="F748" s="339">
        <v>50.0</v>
      </c>
      <c r="G748" s="311"/>
      <c r="H748" s="311"/>
      <c r="I748" s="312"/>
      <c r="J748" s="313">
        <v>33.0</v>
      </c>
      <c r="K748" s="314" t="str">
        <f t="shared" si="70"/>
        <v>#DIV/0!</v>
      </c>
      <c r="L748" s="315">
        <f t="shared" si="71"/>
        <v>-33</v>
      </c>
      <c r="M748" s="316">
        <f t="shared" si="72"/>
        <v>-1</v>
      </c>
      <c r="N748" s="317"/>
      <c r="O748" s="318"/>
      <c r="P748" s="318"/>
      <c r="Q748" s="319"/>
      <c r="R748" s="311"/>
    </row>
    <row r="749" ht="15.75" customHeight="1" outlineLevel="1">
      <c r="A749" s="327" t="s">
        <v>807</v>
      </c>
      <c r="B749" s="327"/>
      <c r="C749" s="327" t="s">
        <v>807</v>
      </c>
      <c r="D749" s="336"/>
      <c r="E749" s="333" t="s">
        <v>159</v>
      </c>
      <c r="F749" s="339">
        <v>50.0</v>
      </c>
      <c r="G749" s="311">
        <v>219.0</v>
      </c>
      <c r="H749" s="311">
        <v>209.0</v>
      </c>
      <c r="I749" s="312" t="str">
        <f>G749/R749</f>
        <v>#DIV/0!</v>
      </c>
      <c r="J749" s="313">
        <v>43.0</v>
      </c>
      <c r="K749" s="314">
        <f t="shared" si="70"/>
        <v>0.196347032</v>
      </c>
      <c r="L749" s="315">
        <f t="shared" si="71"/>
        <v>-43</v>
      </c>
      <c r="M749" s="316">
        <f t="shared" si="72"/>
        <v>-1</v>
      </c>
      <c r="N749" s="331"/>
      <c r="O749" s="285" t="s">
        <v>112</v>
      </c>
      <c r="P749" s="285" t="s">
        <v>112</v>
      </c>
      <c r="Q749" s="319"/>
      <c r="R749" s="311"/>
    </row>
    <row r="750" ht="15.75" customHeight="1" outlineLevel="1">
      <c r="B750" s="327"/>
      <c r="D750" s="336"/>
      <c r="E750" s="333" t="s">
        <v>160</v>
      </c>
      <c r="F750" s="339">
        <v>50.0</v>
      </c>
      <c r="G750" s="311">
        <v>219.0</v>
      </c>
      <c r="H750" s="311">
        <v>199.0</v>
      </c>
      <c r="I750" s="312"/>
      <c r="J750" s="313">
        <v>41.0</v>
      </c>
      <c r="K750" s="314">
        <f t="shared" si="70"/>
        <v>0.1872146119</v>
      </c>
      <c r="L750" s="315">
        <f t="shared" si="71"/>
        <v>-41</v>
      </c>
      <c r="M750" s="316">
        <f t="shared" si="72"/>
        <v>-1</v>
      </c>
      <c r="N750" s="331"/>
      <c r="O750" s="285"/>
      <c r="P750" s="285"/>
      <c r="Q750" s="319"/>
      <c r="R750" s="311"/>
    </row>
    <row r="751" ht="15.75" customHeight="1" outlineLevel="1">
      <c r="B751" s="327"/>
      <c r="D751" s="336"/>
      <c r="E751" s="333" t="s">
        <v>509</v>
      </c>
      <c r="F751" s="339">
        <v>50.0</v>
      </c>
      <c r="G751" s="311">
        <v>239.0</v>
      </c>
      <c r="H751" s="311">
        <v>229.0</v>
      </c>
      <c r="I751" s="312"/>
      <c r="J751" s="313">
        <v>43.0</v>
      </c>
      <c r="K751" s="314">
        <f t="shared" si="70"/>
        <v>0.179916318</v>
      </c>
      <c r="L751" s="315">
        <f t="shared" si="71"/>
        <v>-43</v>
      </c>
      <c r="M751" s="316">
        <f t="shared" si="72"/>
        <v>-1</v>
      </c>
      <c r="N751" s="331"/>
      <c r="O751" s="285"/>
      <c r="P751" s="285"/>
      <c r="Q751" s="319"/>
      <c r="R751" s="311"/>
    </row>
    <row r="752" ht="15.75" customHeight="1" outlineLevel="1">
      <c r="B752" s="327"/>
      <c r="D752" s="336"/>
      <c r="E752" s="333" t="s">
        <v>510</v>
      </c>
      <c r="F752" s="339">
        <v>50.0</v>
      </c>
      <c r="G752" s="311">
        <v>239.0</v>
      </c>
      <c r="H752" s="311">
        <v>229.0</v>
      </c>
      <c r="I752" s="312"/>
      <c r="J752" s="313">
        <v>45.0</v>
      </c>
      <c r="K752" s="314">
        <f t="shared" si="70"/>
        <v>0.1882845188</v>
      </c>
      <c r="L752" s="315">
        <f t="shared" si="71"/>
        <v>-45</v>
      </c>
      <c r="M752" s="316">
        <f t="shared" si="72"/>
        <v>-1</v>
      </c>
      <c r="N752" s="331"/>
      <c r="O752" s="285"/>
      <c r="P752" s="285"/>
      <c r="Q752" s="319"/>
      <c r="R752" s="311"/>
    </row>
    <row r="753" ht="15.75" customHeight="1" outlineLevel="1">
      <c r="B753" s="327"/>
      <c r="C753" s="327"/>
      <c r="D753" s="336"/>
      <c r="E753" s="333" t="s">
        <v>114</v>
      </c>
      <c r="F753" s="339">
        <v>50.0</v>
      </c>
      <c r="G753" s="311"/>
      <c r="H753" s="311"/>
      <c r="I753" s="312"/>
      <c r="J753" s="313">
        <v>45.0</v>
      </c>
      <c r="K753" s="314" t="str">
        <f t="shared" si="70"/>
        <v>#DIV/0!</v>
      </c>
      <c r="L753" s="315">
        <f t="shared" si="71"/>
        <v>-45</v>
      </c>
      <c r="M753" s="316">
        <f t="shared" si="72"/>
        <v>-1</v>
      </c>
      <c r="N753" s="331"/>
      <c r="O753" s="285"/>
      <c r="P753" s="285"/>
      <c r="Q753" s="319"/>
      <c r="R753" s="311"/>
    </row>
    <row r="754" ht="14.25" customHeight="1" outlineLevel="1">
      <c r="A754" s="327" t="s">
        <v>808</v>
      </c>
      <c r="B754" s="327"/>
      <c r="C754" s="327" t="s">
        <v>808</v>
      </c>
      <c r="D754" s="336"/>
      <c r="E754" s="333" t="s">
        <v>159</v>
      </c>
      <c r="F754" s="339">
        <v>50.0</v>
      </c>
      <c r="G754" s="311">
        <v>219.0</v>
      </c>
      <c r="H754" s="311">
        <v>209.0</v>
      </c>
      <c r="I754" s="312" t="str">
        <f>G754/R754</f>
        <v>#DIV/0!</v>
      </c>
      <c r="J754" s="313">
        <v>26.0</v>
      </c>
      <c r="K754" s="314">
        <f t="shared" si="70"/>
        <v>0.1187214612</v>
      </c>
      <c r="L754" s="315">
        <f t="shared" si="71"/>
        <v>-26</v>
      </c>
      <c r="M754" s="316">
        <f t="shared" si="72"/>
        <v>-1</v>
      </c>
      <c r="N754" s="317"/>
      <c r="O754" s="318" t="s">
        <v>112</v>
      </c>
      <c r="P754" s="318" t="s">
        <v>112</v>
      </c>
      <c r="Q754" s="319"/>
      <c r="R754" s="311"/>
    </row>
    <row r="755" ht="14.25" customHeight="1" outlineLevel="1">
      <c r="B755" s="327"/>
      <c r="D755" s="336"/>
      <c r="E755" s="333" t="s">
        <v>160</v>
      </c>
      <c r="F755" s="339">
        <v>50.0</v>
      </c>
      <c r="G755" s="311">
        <v>219.0</v>
      </c>
      <c r="H755" s="311">
        <v>199.0</v>
      </c>
      <c r="I755" s="312"/>
      <c r="J755" s="313">
        <v>24.0</v>
      </c>
      <c r="K755" s="314">
        <f t="shared" si="70"/>
        <v>0.1095890411</v>
      </c>
      <c r="L755" s="315">
        <f t="shared" si="71"/>
        <v>-24</v>
      </c>
      <c r="M755" s="316">
        <f t="shared" si="72"/>
        <v>-1</v>
      </c>
      <c r="N755" s="317"/>
      <c r="O755" s="318"/>
      <c r="P755" s="318"/>
      <c r="Q755" s="319"/>
      <c r="R755" s="311"/>
    </row>
    <row r="756" ht="14.25" customHeight="1" outlineLevel="1">
      <c r="B756" s="327"/>
      <c r="D756" s="336"/>
      <c r="E756" s="333" t="s">
        <v>509</v>
      </c>
      <c r="F756" s="339">
        <v>50.0</v>
      </c>
      <c r="G756" s="311">
        <v>239.0</v>
      </c>
      <c r="H756" s="311">
        <v>229.0</v>
      </c>
      <c r="I756" s="312"/>
      <c r="J756" s="313">
        <v>25.0</v>
      </c>
      <c r="K756" s="314">
        <f t="shared" si="70"/>
        <v>0.1046025105</v>
      </c>
      <c r="L756" s="315">
        <f t="shared" si="71"/>
        <v>-25</v>
      </c>
      <c r="M756" s="316">
        <f t="shared" si="72"/>
        <v>-1</v>
      </c>
      <c r="N756" s="317"/>
      <c r="O756" s="318"/>
      <c r="P756" s="318"/>
      <c r="Q756" s="319"/>
      <c r="R756" s="311"/>
    </row>
    <row r="757" ht="14.25" customHeight="1" outlineLevel="1">
      <c r="B757" s="327"/>
      <c r="D757" s="336"/>
      <c r="E757" s="333" t="s">
        <v>510</v>
      </c>
      <c r="F757" s="339">
        <v>50.0</v>
      </c>
      <c r="G757" s="311">
        <v>239.0</v>
      </c>
      <c r="H757" s="311">
        <v>229.0</v>
      </c>
      <c r="I757" s="312"/>
      <c r="J757" s="313">
        <v>28.0</v>
      </c>
      <c r="K757" s="314">
        <f t="shared" si="70"/>
        <v>0.1171548117</v>
      </c>
      <c r="L757" s="315">
        <f t="shared" si="71"/>
        <v>-28</v>
      </c>
      <c r="M757" s="316">
        <f t="shared" si="72"/>
        <v>-1</v>
      </c>
      <c r="N757" s="317"/>
      <c r="O757" s="318"/>
      <c r="P757" s="318"/>
      <c r="Q757" s="319"/>
      <c r="R757" s="311"/>
    </row>
    <row r="758" ht="14.25" customHeight="1" outlineLevel="1">
      <c r="B758" s="327"/>
      <c r="C758" s="327"/>
      <c r="D758" s="336"/>
      <c r="E758" s="333" t="s">
        <v>114</v>
      </c>
      <c r="F758" s="339">
        <v>50.0</v>
      </c>
      <c r="G758" s="311"/>
      <c r="H758" s="311"/>
      <c r="I758" s="312"/>
      <c r="J758" s="313">
        <v>28.0</v>
      </c>
      <c r="K758" s="314" t="str">
        <f t="shared" si="70"/>
        <v>#DIV/0!</v>
      </c>
      <c r="L758" s="315">
        <f t="shared" si="71"/>
        <v>-28</v>
      </c>
      <c r="M758" s="316">
        <f t="shared" si="72"/>
        <v>-1</v>
      </c>
      <c r="N758" s="317"/>
      <c r="O758" s="318"/>
      <c r="P758" s="318"/>
      <c r="Q758" s="319"/>
      <c r="R758" s="311"/>
    </row>
    <row r="759" ht="15.0" customHeight="1">
      <c r="A759" s="329" t="s">
        <v>809</v>
      </c>
      <c r="B759" s="327"/>
      <c r="C759" s="329" t="s">
        <v>809</v>
      </c>
      <c r="D759" s="336"/>
      <c r="E759" s="333" t="s">
        <v>159</v>
      </c>
      <c r="F759" s="339">
        <v>50.0</v>
      </c>
      <c r="G759" s="311">
        <v>219.0</v>
      </c>
      <c r="H759" s="311">
        <v>209.0</v>
      </c>
      <c r="I759" s="312" t="str">
        <f>G759/R759</f>
        <v>#DIV/0!</v>
      </c>
      <c r="J759" s="313">
        <v>37.0</v>
      </c>
      <c r="K759" s="314">
        <f t="shared" si="70"/>
        <v>0.1689497717</v>
      </c>
      <c r="L759" s="315">
        <f t="shared" si="71"/>
        <v>-37</v>
      </c>
      <c r="M759" s="316">
        <f t="shared" si="72"/>
        <v>-1</v>
      </c>
      <c r="N759" s="372"/>
      <c r="O759" s="332" t="s">
        <v>112</v>
      </c>
      <c r="P759" s="332" t="s">
        <v>112</v>
      </c>
      <c r="Q759" s="300"/>
      <c r="R759" s="301"/>
    </row>
    <row r="760" ht="15.0" customHeight="1">
      <c r="B760" s="327"/>
      <c r="D760" s="336"/>
      <c r="E760" s="333" t="s">
        <v>160</v>
      </c>
      <c r="F760" s="339">
        <v>50.0</v>
      </c>
      <c r="G760" s="311">
        <v>219.0</v>
      </c>
      <c r="H760" s="311">
        <v>199.0</v>
      </c>
      <c r="I760" s="312"/>
      <c r="J760" s="313">
        <v>37.0</v>
      </c>
      <c r="K760" s="314">
        <f t="shared" si="70"/>
        <v>0.1689497717</v>
      </c>
      <c r="L760" s="315">
        <f t="shared" si="71"/>
        <v>-37</v>
      </c>
      <c r="M760" s="316">
        <f t="shared" si="72"/>
        <v>-1</v>
      </c>
      <c r="N760" s="372"/>
      <c r="O760" s="332"/>
      <c r="P760" s="332"/>
      <c r="Q760" s="300"/>
      <c r="R760" s="301"/>
    </row>
    <row r="761" ht="15.0" customHeight="1">
      <c r="B761" s="327"/>
      <c r="D761" s="336"/>
      <c r="E761" s="333" t="s">
        <v>509</v>
      </c>
      <c r="F761" s="339">
        <v>50.0</v>
      </c>
      <c r="G761" s="311">
        <v>239.0</v>
      </c>
      <c r="H761" s="311">
        <v>229.0</v>
      </c>
      <c r="I761" s="312"/>
      <c r="J761" s="313">
        <v>33.0</v>
      </c>
      <c r="K761" s="314">
        <f t="shared" si="70"/>
        <v>0.1380753138</v>
      </c>
      <c r="L761" s="315">
        <f t="shared" si="71"/>
        <v>-33</v>
      </c>
      <c r="M761" s="316">
        <f t="shared" si="72"/>
        <v>-1</v>
      </c>
      <c r="N761" s="372"/>
      <c r="O761" s="332"/>
      <c r="P761" s="332"/>
      <c r="Q761" s="300"/>
      <c r="R761" s="301"/>
    </row>
    <row r="762" ht="15.0" customHeight="1">
      <c r="B762" s="327"/>
      <c r="D762" s="336"/>
      <c r="E762" s="333" t="s">
        <v>510</v>
      </c>
      <c r="F762" s="339">
        <v>50.0</v>
      </c>
      <c r="G762" s="311">
        <v>239.0</v>
      </c>
      <c r="H762" s="311">
        <v>229.0</v>
      </c>
      <c r="I762" s="312"/>
      <c r="J762" s="313">
        <v>44.0</v>
      </c>
      <c r="K762" s="314">
        <f t="shared" si="70"/>
        <v>0.1841004184</v>
      </c>
      <c r="L762" s="315">
        <f t="shared" si="71"/>
        <v>-44</v>
      </c>
      <c r="M762" s="316">
        <f t="shared" si="72"/>
        <v>-1</v>
      </c>
      <c r="N762" s="372"/>
      <c r="O762" s="332"/>
      <c r="P762" s="332"/>
      <c r="Q762" s="300"/>
      <c r="R762" s="301"/>
    </row>
    <row r="763" ht="15.0" customHeight="1">
      <c r="B763" s="327"/>
      <c r="C763" s="329"/>
      <c r="D763" s="336"/>
      <c r="E763" s="333" t="s">
        <v>114</v>
      </c>
      <c r="F763" s="339">
        <v>50.0</v>
      </c>
      <c r="G763" s="311"/>
      <c r="H763" s="311"/>
      <c r="I763" s="312"/>
      <c r="J763" s="313">
        <v>44.0</v>
      </c>
      <c r="K763" s="314" t="str">
        <f t="shared" si="70"/>
        <v>#DIV/0!</v>
      </c>
      <c r="L763" s="315">
        <f t="shared" si="71"/>
        <v>-44</v>
      </c>
      <c r="M763" s="316">
        <f t="shared" si="72"/>
        <v>-1</v>
      </c>
      <c r="N763" s="372"/>
      <c r="O763" s="332"/>
      <c r="P763" s="332"/>
      <c r="Q763" s="300"/>
      <c r="R763" s="301"/>
    </row>
    <row r="764" ht="15.0" customHeight="1">
      <c r="A764" s="329" t="s">
        <v>810</v>
      </c>
      <c r="B764" s="327"/>
      <c r="C764" s="329" t="s">
        <v>810</v>
      </c>
      <c r="D764" s="336"/>
      <c r="E764" s="333" t="s">
        <v>159</v>
      </c>
      <c r="F764" s="339">
        <v>50.0</v>
      </c>
      <c r="G764" s="311">
        <v>219.0</v>
      </c>
      <c r="H764" s="311">
        <v>209.0</v>
      </c>
      <c r="I764" s="312" t="str">
        <f>G764/R764</f>
        <v>#DIV/0!</v>
      </c>
      <c r="J764" s="313">
        <v>28.0</v>
      </c>
      <c r="K764" s="314">
        <f t="shared" si="70"/>
        <v>0.1278538813</v>
      </c>
      <c r="L764" s="315">
        <f t="shared" si="71"/>
        <v>-28</v>
      </c>
      <c r="M764" s="316">
        <f t="shared" si="72"/>
        <v>-1</v>
      </c>
      <c r="N764" s="372"/>
      <c r="O764" s="332" t="s">
        <v>112</v>
      </c>
      <c r="P764" s="332" t="s">
        <v>112</v>
      </c>
      <c r="Q764" s="300"/>
      <c r="R764" s="301"/>
    </row>
    <row r="765" ht="15.0" customHeight="1">
      <c r="B765" s="327"/>
      <c r="D765" s="336"/>
      <c r="E765" s="333" t="s">
        <v>160</v>
      </c>
      <c r="F765" s="339">
        <v>50.0</v>
      </c>
      <c r="G765" s="311">
        <v>219.0</v>
      </c>
      <c r="H765" s="311">
        <v>199.0</v>
      </c>
      <c r="I765" s="312"/>
      <c r="J765" s="313">
        <v>29.0</v>
      </c>
      <c r="K765" s="314">
        <f t="shared" si="70"/>
        <v>0.1324200913</v>
      </c>
      <c r="L765" s="315">
        <f t="shared" si="71"/>
        <v>-29</v>
      </c>
      <c r="M765" s="316">
        <f t="shared" si="72"/>
        <v>-1</v>
      </c>
      <c r="N765" s="372"/>
      <c r="O765" s="332"/>
      <c r="P765" s="332"/>
      <c r="Q765" s="300"/>
      <c r="R765" s="301"/>
    </row>
    <row r="766" ht="15.0" customHeight="1">
      <c r="B766" s="327"/>
      <c r="D766" s="336"/>
      <c r="E766" s="333" t="s">
        <v>509</v>
      </c>
      <c r="F766" s="339">
        <v>50.0</v>
      </c>
      <c r="G766" s="311">
        <v>239.0</v>
      </c>
      <c r="H766" s="311">
        <v>229.0</v>
      </c>
      <c r="I766" s="312"/>
      <c r="J766" s="313">
        <v>29.0</v>
      </c>
      <c r="K766" s="314">
        <f t="shared" si="70"/>
        <v>0.1213389121</v>
      </c>
      <c r="L766" s="315">
        <f t="shared" si="71"/>
        <v>-29</v>
      </c>
      <c r="M766" s="316">
        <f t="shared" si="72"/>
        <v>-1</v>
      </c>
      <c r="N766" s="372"/>
      <c r="O766" s="332"/>
      <c r="P766" s="332"/>
      <c r="Q766" s="300"/>
      <c r="R766" s="301"/>
    </row>
    <row r="767" ht="15.0" customHeight="1">
      <c r="B767" s="327"/>
      <c r="D767" s="336"/>
      <c r="E767" s="333" t="s">
        <v>510</v>
      </c>
      <c r="F767" s="339">
        <v>50.0</v>
      </c>
      <c r="G767" s="311">
        <v>239.0</v>
      </c>
      <c r="H767" s="311">
        <v>229.0</v>
      </c>
      <c r="I767" s="312"/>
      <c r="J767" s="313">
        <v>35.0</v>
      </c>
      <c r="K767" s="314">
        <f t="shared" si="70"/>
        <v>0.1464435146</v>
      </c>
      <c r="L767" s="315">
        <f t="shared" si="71"/>
        <v>-35</v>
      </c>
      <c r="M767" s="316">
        <f t="shared" si="72"/>
        <v>-1</v>
      </c>
      <c r="N767" s="372"/>
      <c r="O767" s="332"/>
      <c r="P767" s="332"/>
      <c r="Q767" s="300"/>
      <c r="R767" s="301"/>
    </row>
    <row r="768" ht="15.0" customHeight="1">
      <c r="B768" s="327"/>
      <c r="C768" s="329"/>
      <c r="D768" s="336"/>
      <c r="E768" s="333" t="s">
        <v>114</v>
      </c>
      <c r="F768" s="339">
        <v>50.0</v>
      </c>
      <c r="G768" s="311"/>
      <c r="H768" s="311"/>
      <c r="I768" s="312"/>
      <c r="J768" s="313">
        <v>35.0</v>
      </c>
      <c r="K768" s="314" t="str">
        <f t="shared" si="70"/>
        <v>#DIV/0!</v>
      </c>
      <c r="L768" s="315">
        <f t="shared" si="71"/>
        <v>-35</v>
      </c>
      <c r="M768" s="316">
        <f t="shared" si="72"/>
        <v>-1</v>
      </c>
      <c r="N768" s="372"/>
      <c r="O768" s="332"/>
      <c r="P768" s="332"/>
      <c r="Q768" s="300"/>
      <c r="R768" s="301"/>
    </row>
    <row r="769" ht="14.25" customHeight="1" outlineLevel="1">
      <c r="A769" s="327" t="s">
        <v>811</v>
      </c>
      <c r="B769" s="327"/>
      <c r="C769" s="327" t="s">
        <v>811</v>
      </c>
      <c r="D769" s="336"/>
      <c r="E769" s="333" t="s">
        <v>159</v>
      </c>
      <c r="F769" s="337">
        <v>450.0</v>
      </c>
      <c r="G769" s="301">
        <v>1699.0</v>
      </c>
      <c r="H769" s="301">
        <v>1599.0</v>
      </c>
      <c r="I769" s="312" t="str">
        <f>G769/R769</f>
        <v>#DIV/0!</v>
      </c>
      <c r="J769" s="313">
        <v>274.0</v>
      </c>
      <c r="K769" s="314">
        <f t="shared" si="70"/>
        <v>0.1612713361</v>
      </c>
      <c r="L769" s="315">
        <f t="shared" si="71"/>
        <v>-274</v>
      </c>
      <c r="M769" s="316">
        <f t="shared" si="72"/>
        <v>-1</v>
      </c>
      <c r="N769" s="331"/>
      <c r="O769" s="285" t="s">
        <v>112</v>
      </c>
      <c r="P769" s="285" t="s">
        <v>112</v>
      </c>
      <c r="Q769" s="300"/>
      <c r="R769" s="301"/>
    </row>
    <row r="770" ht="14.25" customHeight="1" outlineLevel="1">
      <c r="B770" s="327"/>
      <c r="D770" s="336"/>
      <c r="E770" s="333" t="s">
        <v>160</v>
      </c>
      <c r="F770" s="337">
        <v>450.0</v>
      </c>
      <c r="G770" s="301">
        <v>1699.0</v>
      </c>
      <c r="H770" s="301">
        <v>1399.0</v>
      </c>
      <c r="I770" s="312"/>
      <c r="J770" s="313">
        <v>274.0</v>
      </c>
      <c r="K770" s="314">
        <f t="shared" si="70"/>
        <v>0.1612713361</v>
      </c>
      <c r="L770" s="315">
        <f t="shared" si="71"/>
        <v>-274</v>
      </c>
      <c r="M770" s="316">
        <f t="shared" si="72"/>
        <v>-1</v>
      </c>
      <c r="N770" s="331"/>
      <c r="O770" s="285"/>
      <c r="P770" s="285"/>
      <c r="Q770" s="300"/>
      <c r="R770" s="301"/>
    </row>
    <row r="771" ht="14.25" customHeight="1" outlineLevel="1">
      <c r="B771" s="327"/>
      <c r="D771" s="336"/>
      <c r="E771" s="333" t="s">
        <v>509</v>
      </c>
      <c r="F771" s="337">
        <v>450.0</v>
      </c>
      <c r="G771" s="301">
        <v>1799.0</v>
      </c>
      <c r="H771" s="301">
        <v>1699.0</v>
      </c>
      <c r="I771" s="312"/>
      <c r="J771" s="313">
        <v>274.0</v>
      </c>
      <c r="K771" s="314">
        <f t="shared" si="70"/>
        <v>0.1523068371</v>
      </c>
      <c r="L771" s="315">
        <f t="shared" si="71"/>
        <v>-274</v>
      </c>
      <c r="M771" s="316">
        <f t="shared" si="72"/>
        <v>-1</v>
      </c>
      <c r="N771" s="331"/>
      <c r="O771" s="285"/>
      <c r="P771" s="285"/>
      <c r="Q771" s="300"/>
      <c r="R771" s="301"/>
    </row>
    <row r="772" ht="14.25" customHeight="1" outlineLevel="1">
      <c r="B772" s="327"/>
      <c r="D772" s="336"/>
      <c r="E772" s="333" t="s">
        <v>510</v>
      </c>
      <c r="F772" s="337">
        <v>450.0</v>
      </c>
      <c r="G772" s="301">
        <v>1799.0</v>
      </c>
      <c r="H772" s="301">
        <v>1699.0</v>
      </c>
      <c r="I772" s="312"/>
      <c r="J772" s="313">
        <v>274.0</v>
      </c>
      <c r="K772" s="314">
        <f t="shared" si="70"/>
        <v>0.1523068371</v>
      </c>
      <c r="L772" s="315">
        <f t="shared" si="71"/>
        <v>-274</v>
      </c>
      <c r="M772" s="316">
        <f t="shared" si="72"/>
        <v>-1</v>
      </c>
      <c r="N772" s="331"/>
      <c r="O772" s="285"/>
      <c r="P772" s="285"/>
      <c r="Q772" s="300"/>
      <c r="R772" s="301"/>
    </row>
    <row r="773" ht="14.25" customHeight="1" outlineLevel="1">
      <c r="B773" s="327"/>
      <c r="C773" s="327"/>
      <c r="D773" s="336"/>
      <c r="E773" s="333" t="s">
        <v>114</v>
      </c>
      <c r="F773" s="337">
        <v>450.0</v>
      </c>
      <c r="G773" s="301"/>
      <c r="H773" s="301"/>
      <c r="I773" s="312"/>
      <c r="J773" s="313">
        <v>274.0</v>
      </c>
      <c r="K773" s="314" t="str">
        <f t="shared" si="70"/>
        <v>#DIV/0!</v>
      </c>
      <c r="L773" s="315">
        <f t="shared" si="71"/>
        <v>-274</v>
      </c>
      <c r="M773" s="316">
        <f t="shared" si="72"/>
        <v>-1</v>
      </c>
      <c r="N773" s="331"/>
      <c r="O773" s="285"/>
      <c r="P773" s="285"/>
      <c r="Q773" s="300"/>
      <c r="R773" s="301"/>
    </row>
    <row r="774" ht="14.25" customHeight="1">
      <c r="A774" s="288" t="s">
        <v>812</v>
      </c>
      <c r="B774" s="289"/>
      <c r="C774" s="288" t="s">
        <v>812</v>
      </c>
      <c r="D774" s="291"/>
      <c r="E774" s="322" t="s">
        <v>159</v>
      </c>
      <c r="F774" s="323"/>
      <c r="G774" s="294"/>
      <c r="H774" s="294"/>
      <c r="I774" s="324"/>
      <c r="J774" s="325"/>
      <c r="K774" s="297"/>
      <c r="L774" s="326"/>
      <c r="M774" s="297"/>
      <c r="N774" s="299"/>
      <c r="O774" s="290"/>
      <c r="P774" s="290"/>
      <c r="Q774" s="300"/>
      <c r="R774" s="301"/>
    </row>
    <row r="775" ht="14.25" customHeight="1">
      <c r="B775" s="289"/>
      <c r="D775" s="291"/>
      <c r="E775" s="322" t="s">
        <v>160</v>
      </c>
      <c r="F775" s="323"/>
      <c r="G775" s="294"/>
      <c r="H775" s="294"/>
      <c r="I775" s="324"/>
      <c r="J775" s="325"/>
      <c r="K775" s="297"/>
      <c r="L775" s="326"/>
      <c r="M775" s="297"/>
      <c r="N775" s="299"/>
      <c r="O775" s="290"/>
      <c r="P775" s="290"/>
      <c r="Q775" s="300"/>
      <c r="R775" s="301"/>
    </row>
    <row r="776" ht="14.25" customHeight="1">
      <c r="B776" s="289"/>
      <c r="D776" s="291"/>
      <c r="E776" s="322" t="s">
        <v>509</v>
      </c>
      <c r="F776" s="323"/>
      <c r="G776" s="294"/>
      <c r="H776" s="294"/>
      <c r="I776" s="324"/>
      <c r="J776" s="325"/>
      <c r="K776" s="297"/>
      <c r="L776" s="326"/>
      <c r="M776" s="297"/>
      <c r="N776" s="299"/>
      <c r="O776" s="290"/>
      <c r="P776" s="290"/>
      <c r="Q776" s="300"/>
      <c r="R776" s="301"/>
    </row>
    <row r="777" ht="14.25" customHeight="1">
      <c r="B777" s="289"/>
      <c r="D777" s="291"/>
      <c r="E777" s="322" t="s">
        <v>510</v>
      </c>
      <c r="F777" s="323"/>
      <c r="G777" s="294"/>
      <c r="H777" s="294"/>
      <c r="I777" s="324"/>
      <c r="J777" s="325"/>
      <c r="K777" s="297"/>
      <c r="L777" s="326"/>
      <c r="M777" s="297"/>
      <c r="N777" s="299"/>
      <c r="O777" s="290"/>
      <c r="P777" s="290"/>
      <c r="Q777" s="300"/>
      <c r="R777" s="301"/>
    </row>
    <row r="778" ht="14.25" customHeight="1">
      <c r="B778" s="289"/>
      <c r="C778" s="288"/>
      <c r="D778" s="328"/>
      <c r="E778" s="322" t="s">
        <v>114</v>
      </c>
      <c r="F778" s="323"/>
      <c r="G778" s="294"/>
      <c r="H778" s="294"/>
      <c r="I778" s="324"/>
      <c r="J778" s="325"/>
      <c r="K778" s="297"/>
      <c r="L778" s="326"/>
      <c r="M778" s="297"/>
      <c r="N778" s="299"/>
      <c r="O778" s="290"/>
      <c r="P778" s="290"/>
      <c r="Q778" s="300"/>
      <c r="R778" s="301"/>
    </row>
    <row r="779" ht="14.25" customHeight="1" outlineLevel="1">
      <c r="A779" s="327" t="s">
        <v>813</v>
      </c>
      <c r="B779" s="327" t="s">
        <v>814</v>
      </c>
      <c r="C779" s="327" t="s">
        <v>813</v>
      </c>
      <c r="D779" s="327" t="s">
        <v>814</v>
      </c>
      <c r="E779" s="333" t="s">
        <v>159</v>
      </c>
      <c r="F779" s="339">
        <v>60.0</v>
      </c>
      <c r="G779" s="301">
        <v>389.0</v>
      </c>
      <c r="H779" s="301">
        <v>369.0</v>
      </c>
      <c r="I779" s="312" t="str">
        <f>G779/R779</f>
        <v>#DIV/0!</v>
      </c>
      <c r="J779" s="313">
        <v>96.0</v>
      </c>
      <c r="K779" s="314">
        <f t="shared" ref="K779:K788" si="73">J779/G779</f>
        <v>0.2467866324</v>
      </c>
      <c r="L779" s="315">
        <f t="shared" ref="L779:L788" si="74">Q779-J779</f>
        <v>-96</v>
      </c>
      <c r="M779" s="316">
        <f t="shared" ref="M779:M788" si="75">Q779/J779-1</f>
        <v>-1</v>
      </c>
      <c r="N779" s="317"/>
      <c r="O779" s="318" t="s">
        <v>112</v>
      </c>
      <c r="P779" s="318" t="s">
        <v>112</v>
      </c>
      <c r="Q779" s="300"/>
      <c r="R779" s="301"/>
    </row>
    <row r="780" ht="14.25" customHeight="1" outlineLevel="1">
      <c r="E780" s="333" t="s">
        <v>160</v>
      </c>
      <c r="F780" s="339">
        <v>60.0</v>
      </c>
      <c r="G780" s="301">
        <v>379.0</v>
      </c>
      <c r="H780" s="301">
        <v>359.0</v>
      </c>
      <c r="I780" s="312"/>
      <c r="J780" s="313">
        <v>81.0</v>
      </c>
      <c r="K780" s="314">
        <f t="shared" si="73"/>
        <v>0.2137203166</v>
      </c>
      <c r="L780" s="315">
        <f t="shared" si="74"/>
        <v>-81</v>
      </c>
      <c r="M780" s="316">
        <f t="shared" si="75"/>
        <v>-1</v>
      </c>
      <c r="N780" s="317"/>
      <c r="O780" s="318"/>
      <c r="P780" s="318"/>
      <c r="Q780" s="300"/>
      <c r="R780" s="301"/>
    </row>
    <row r="781" ht="14.25" customHeight="1" outlineLevel="1">
      <c r="E781" s="333" t="s">
        <v>509</v>
      </c>
      <c r="F781" s="339">
        <v>60.0</v>
      </c>
      <c r="G781" s="301">
        <v>399.0</v>
      </c>
      <c r="H781" s="301">
        <v>389.0</v>
      </c>
      <c r="I781" s="312"/>
      <c r="J781" s="313">
        <v>97.0</v>
      </c>
      <c r="K781" s="314">
        <f t="shared" si="73"/>
        <v>0.2431077694</v>
      </c>
      <c r="L781" s="315">
        <f t="shared" si="74"/>
        <v>-97</v>
      </c>
      <c r="M781" s="316">
        <f t="shared" si="75"/>
        <v>-1</v>
      </c>
      <c r="N781" s="317"/>
      <c r="O781" s="318"/>
      <c r="P781" s="318"/>
      <c r="Q781" s="300"/>
      <c r="R781" s="301"/>
    </row>
    <row r="782" ht="14.25" customHeight="1" outlineLevel="1">
      <c r="E782" s="333" t="s">
        <v>510</v>
      </c>
      <c r="F782" s="339">
        <v>60.0</v>
      </c>
      <c r="G782" s="301">
        <v>399.0</v>
      </c>
      <c r="H782" s="301">
        <v>389.0</v>
      </c>
      <c r="I782" s="312"/>
      <c r="J782" s="313">
        <v>94.0</v>
      </c>
      <c r="K782" s="314">
        <f t="shared" si="73"/>
        <v>0.2355889724</v>
      </c>
      <c r="L782" s="315">
        <f t="shared" si="74"/>
        <v>-94</v>
      </c>
      <c r="M782" s="316">
        <f t="shared" si="75"/>
        <v>-1</v>
      </c>
      <c r="N782" s="317"/>
      <c r="O782" s="318"/>
      <c r="P782" s="318"/>
      <c r="Q782" s="300"/>
      <c r="R782" s="301"/>
    </row>
    <row r="783" ht="14.25" customHeight="1" outlineLevel="1">
      <c r="B783" s="327"/>
      <c r="C783" s="327"/>
      <c r="D783" s="327"/>
      <c r="E783" s="333" t="s">
        <v>114</v>
      </c>
      <c r="F783" s="339">
        <v>60.0</v>
      </c>
      <c r="G783" s="301"/>
      <c r="H783" s="301"/>
      <c r="I783" s="312"/>
      <c r="J783" s="313">
        <v>94.0</v>
      </c>
      <c r="K783" s="314" t="str">
        <f t="shared" si="73"/>
        <v>#DIV/0!</v>
      </c>
      <c r="L783" s="315">
        <f t="shared" si="74"/>
        <v>-94</v>
      </c>
      <c r="M783" s="316">
        <f t="shared" si="75"/>
        <v>-1</v>
      </c>
      <c r="N783" s="317"/>
      <c r="O783" s="318"/>
      <c r="P783" s="318"/>
      <c r="Q783" s="300"/>
      <c r="R783" s="301"/>
    </row>
    <row r="784" ht="14.25" customHeight="1" outlineLevel="1">
      <c r="A784" s="327" t="s">
        <v>815</v>
      </c>
      <c r="B784" s="327" t="s">
        <v>816</v>
      </c>
      <c r="C784" s="327" t="s">
        <v>815</v>
      </c>
      <c r="D784" s="327" t="s">
        <v>816</v>
      </c>
      <c r="E784" s="333" t="s">
        <v>159</v>
      </c>
      <c r="F784" s="339">
        <v>60.0</v>
      </c>
      <c r="G784" s="301">
        <v>389.0</v>
      </c>
      <c r="H784" s="301">
        <v>369.0</v>
      </c>
      <c r="I784" s="312" t="str">
        <f>G784/R784</f>
        <v>#DIV/0!</v>
      </c>
      <c r="J784" s="313">
        <v>96.0</v>
      </c>
      <c r="K784" s="314">
        <f t="shared" si="73"/>
        <v>0.2467866324</v>
      </c>
      <c r="L784" s="315">
        <f t="shared" si="74"/>
        <v>-96</v>
      </c>
      <c r="M784" s="316">
        <f t="shared" si="75"/>
        <v>-1</v>
      </c>
      <c r="N784" s="317"/>
      <c r="O784" s="318"/>
      <c r="P784" s="318"/>
      <c r="Q784" s="300"/>
      <c r="R784" s="301"/>
    </row>
    <row r="785" ht="14.25" customHeight="1" outlineLevel="1">
      <c r="E785" s="333" t="s">
        <v>160</v>
      </c>
      <c r="F785" s="339">
        <v>60.0</v>
      </c>
      <c r="G785" s="301">
        <v>379.0</v>
      </c>
      <c r="H785" s="301">
        <v>359.0</v>
      </c>
      <c r="I785" s="312"/>
      <c r="J785" s="313">
        <v>87.0</v>
      </c>
      <c r="K785" s="314">
        <f t="shared" si="73"/>
        <v>0.2295514512</v>
      </c>
      <c r="L785" s="315">
        <f t="shared" si="74"/>
        <v>-87</v>
      </c>
      <c r="M785" s="316">
        <f t="shared" si="75"/>
        <v>-1</v>
      </c>
      <c r="N785" s="317"/>
      <c r="O785" s="318"/>
      <c r="P785" s="318"/>
      <c r="Q785" s="300"/>
      <c r="R785" s="301"/>
    </row>
    <row r="786" ht="14.25" customHeight="1" outlineLevel="1">
      <c r="E786" s="333" t="s">
        <v>509</v>
      </c>
      <c r="F786" s="339">
        <v>60.0</v>
      </c>
      <c r="G786" s="301">
        <v>399.0</v>
      </c>
      <c r="H786" s="301">
        <v>389.0</v>
      </c>
      <c r="I786" s="312"/>
      <c r="J786" s="313">
        <v>95.0</v>
      </c>
      <c r="K786" s="314">
        <f t="shared" si="73"/>
        <v>0.2380952381</v>
      </c>
      <c r="L786" s="315">
        <f t="shared" si="74"/>
        <v>-95</v>
      </c>
      <c r="M786" s="316">
        <f t="shared" si="75"/>
        <v>-1</v>
      </c>
      <c r="N786" s="317"/>
      <c r="O786" s="318"/>
      <c r="P786" s="318"/>
      <c r="Q786" s="300"/>
      <c r="R786" s="301"/>
    </row>
    <row r="787" ht="14.25" customHeight="1" outlineLevel="1">
      <c r="E787" s="333" t="s">
        <v>510</v>
      </c>
      <c r="F787" s="339">
        <v>60.0</v>
      </c>
      <c r="G787" s="301">
        <v>399.0</v>
      </c>
      <c r="H787" s="301">
        <v>389.0</v>
      </c>
      <c r="I787" s="312"/>
      <c r="J787" s="313">
        <v>125.0</v>
      </c>
      <c r="K787" s="314">
        <f t="shared" si="73"/>
        <v>0.313283208</v>
      </c>
      <c r="L787" s="315">
        <f t="shared" si="74"/>
        <v>-125</v>
      </c>
      <c r="M787" s="316">
        <f t="shared" si="75"/>
        <v>-1</v>
      </c>
      <c r="N787" s="317"/>
      <c r="O787" s="318"/>
      <c r="P787" s="318"/>
      <c r="Q787" s="300"/>
      <c r="R787" s="301"/>
    </row>
    <row r="788" ht="14.25" customHeight="1" outlineLevel="1">
      <c r="B788" s="327"/>
      <c r="C788" s="327"/>
      <c r="D788" s="327"/>
      <c r="E788" s="333" t="s">
        <v>114</v>
      </c>
      <c r="F788" s="339">
        <v>60.0</v>
      </c>
      <c r="G788" s="301"/>
      <c r="H788" s="301"/>
      <c r="I788" s="312"/>
      <c r="J788" s="313">
        <v>125.0</v>
      </c>
      <c r="K788" s="314" t="str">
        <f t="shared" si="73"/>
        <v>#DIV/0!</v>
      </c>
      <c r="L788" s="315">
        <f t="shared" si="74"/>
        <v>-125</v>
      </c>
      <c r="M788" s="316">
        <f t="shared" si="75"/>
        <v>-1</v>
      </c>
      <c r="N788" s="317"/>
      <c r="O788" s="318"/>
      <c r="P788" s="318"/>
      <c r="Q788" s="300"/>
      <c r="R788" s="301"/>
    </row>
    <row r="789" ht="14.25" customHeight="1">
      <c r="A789" s="288" t="s">
        <v>817</v>
      </c>
      <c r="B789" s="289"/>
      <c r="C789" s="288" t="s">
        <v>818</v>
      </c>
      <c r="D789" s="291"/>
      <c r="E789" s="322" t="s">
        <v>159</v>
      </c>
      <c r="F789" s="323"/>
      <c r="G789" s="294"/>
      <c r="H789" s="294"/>
      <c r="I789" s="324"/>
      <c r="J789" s="325"/>
      <c r="K789" s="297"/>
      <c r="L789" s="326"/>
      <c r="M789" s="297"/>
      <c r="N789" s="299"/>
      <c r="O789" s="297"/>
      <c r="P789" s="297"/>
      <c r="Q789" s="300"/>
      <c r="R789" s="301"/>
    </row>
    <row r="790" ht="14.25" customHeight="1">
      <c r="B790" s="289"/>
      <c r="D790" s="291"/>
      <c r="E790" s="322" t="s">
        <v>160</v>
      </c>
      <c r="F790" s="323"/>
      <c r="G790" s="294"/>
      <c r="H790" s="294"/>
      <c r="I790" s="324"/>
      <c r="J790" s="325"/>
      <c r="K790" s="297"/>
      <c r="L790" s="326"/>
      <c r="M790" s="297"/>
      <c r="N790" s="299"/>
      <c r="O790" s="297"/>
      <c r="P790" s="297"/>
      <c r="Q790" s="300"/>
      <c r="R790" s="301"/>
    </row>
    <row r="791" ht="14.25" customHeight="1">
      <c r="B791" s="289"/>
      <c r="D791" s="291"/>
      <c r="E791" s="322" t="s">
        <v>509</v>
      </c>
      <c r="F791" s="323"/>
      <c r="G791" s="294"/>
      <c r="H791" s="294"/>
      <c r="I791" s="324"/>
      <c r="J791" s="325"/>
      <c r="K791" s="297"/>
      <c r="L791" s="326"/>
      <c r="M791" s="297"/>
      <c r="N791" s="299"/>
      <c r="O791" s="297"/>
      <c r="P791" s="297"/>
      <c r="Q791" s="300"/>
      <c r="R791" s="301"/>
    </row>
    <row r="792" ht="14.25" customHeight="1">
      <c r="B792" s="289"/>
      <c r="D792" s="291"/>
      <c r="E792" s="322" t="s">
        <v>510</v>
      </c>
      <c r="F792" s="323"/>
      <c r="G792" s="294"/>
      <c r="H792" s="294"/>
      <c r="I792" s="324"/>
      <c r="J792" s="325"/>
      <c r="K792" s="297"/>
      <c r="L792" s="326"/>
      <c r="M792" s="297"/>
      <c r="N792" s="299"/>
      <c r="O792" s="297"/>
      <c r="P792" s="297"/>
      <c r="Q792" s="300"/>
      <c r="R792" s="301"/>
    </row>
    <row r="793" ht="14.25" customHeight="1">
      <c r="B793" s="289"/>
      <c r="C793" s="288"/>
      <c r="D793" s="328"/>
      <c r="E793" s="322" t="s">
        <v>114</v>
      </c>
      <c r="F793" s="323"/>
      <c r="G793" s="294"/>
      <c r="H793" s="294"/>
      <c r="I793" s="324"/>
      <c r="J793" s="325"/>
      <c r="K793" s="297"/>
      <c r="L793" s="326"/>
      <c r="M793" s="297"/>
      <c r="N793" s="299"/>
      <c r="O793" s="297"/>
      <c r="P793" s="297"/>
      <c r="Q793" s="300"/>
      <c r="R793" s="301"/>
    </row>
    <row r="794" ht="14.25" customHeight="1" outlineLevel="1">
      <c r="A794" s="327" t="s">
        <v>819</v>
      </c>
      <c r="B794" s="370" t="s">
        <v>820</v>
      </c>
      <c r="C794" s="327" t="s">
        <v>819</v>
      </c>
      <c r="D794" s="370" t="s">
        <v>821</v>
      </c>
      <c r="E794" s="333" t="s">
        <v>159</v>
      </c>
      <c r="F794" s="337">
        <v>300.0</v>
      </c>
      <c r="G794" s="301">
        <v>899.0</v>
      </c>
      <c r="H794" s="301">
        <v>799.0</v>
      </c>
      <c r="I794" s="312" t="str">
        <f>G794/R794</f>
        <v>#DIV/0!</v>
      </c>
      <c r="J794" s="313">
        <v>122.0</v>
      </c>
      <c r="K794" s="314">
        <f t="shared" ref="K794:K833" si="76">J794/G794</f>
        <v>0.1357063404</v>
      </c>
      <c r="L794" s="315">
        <f t="shared" ref="L794:L838" si="77">Q794-J794</f>
        <v>-122</v>
      </c>
      <c r="M794" s="316">
        <f t="shared" ref="M794:M838" si="78">Q794/J794-1</f>
        <v>-1</v>
      </c>
      <c r="N794" s="331"/>
      <c r="O794" s="285" t="s">
        <v>112</v>
      </c>
      <c r="P794" s="285" t="s">
        <v>112</v>
      </c>
      <c r="Q794" s="300"/>
      <c r="R794" s="301"/>
    </row>
    <row r="795" ht="14.25" customHeight="1" outlineLevel="1">
      <c r="E795" s="333" t="s">
        <v>160</v>
      </c>
      <c r="F795" s="337">
        <v>300.0</v>
      </c>
      <c r="G795" s="301">
        <v>849.0</v>
      </c>
      <c r="H795" s="301">
        <v>759.0</v>
      </c>
      <c r="I795" s="312"/>
      <c r="J795" s="313">
        <v>120.0</v>
      </c>
      <c r="K795" s="314">
        <f t="shared" si="76"/>
        <v>0.1413427562</v>
      </c>
      <c r="L795" s="315">
        <f t="shared" si="77"/>
        <v>-120</v>
      </c>
      <c r="M795" s="316">
        <f t="shared" si="78"/>
        <v>-1</v>
      </c>
      <c r="N795" s="331"/>
      <c r="O795" s="285"/>
      <c r="P795" s="285"/>
      <c r="Q795" s="300"/>
      <c r="R795" s="301"/>
    </row>
    <row r="796" ht="14.25" customHeight="1" outlineLevel="1">
      <c r="E796" s="333" t="s">
        <v>509</v>
      </c>
      <c r="F796" s="337">
        <v>300.0</v>
      </c>
      <c r="G796" s="301">
        <v>899.0</v>
      </c>
      <c r="H796" s="301">
        <v>859.0</v>
      </c>
      <c r="I796" s="312"/>
      <c r="J796" s="313">
        <v>129.0</v>
      </c>
      <c r="K796" s="314">
        <f t="shared" si="76"/>
        <v>0.1434927697</v>
      </c>
      <c r="L796" s="315">
        <f t="shared" si="77"/>
        <v>-129</v>
      </c>
      <c r="M796" s="316">
        <f t="shared" si="78"/>
        <v>-1</v>
      </c>
      <c r="N796" s="331"/>
      <c r="O796" s="285"/>
      <c r="P796" s="285"/>
      <c r="Q796" s="300"/>
      <c r="R796" s="301"/>
    </row>
    <row r="797" ht="14.25" customHeight="1" outlineLevel="1">
      <c r="E797" s="333" t="s">
        <v>510</v>
      </c>
      <c r="F797" s="337">
        <v>300.0</v>
      </c>
      <c r="G797" s="301">
        <v>899.0</v>
      </c>
      <c r="H797" s="301">
        <v>859.0</v>
      </c>
      <c r="I797" s="312"/>
      <c r="J797" s="313">
        <v>141.0</v>
      </c>
      <c r="K797" s="314">
        <f t="shared" si="76"/>
        <v>0.1568409344</v>
      </c>
      <c r="L797" s="315">
        <f t="shared" si="77"/>
        <v>-141</v>
      </c>
      <c r="M797" s="316">
        <f t="shared" si="78"/>
        <v>-1</v>
      </c>
      <c r="N797" s="331"/>
      <c r="O797" s="285"/>
      <c r="P797" s="285"/>
      <c r="Q797" s="300"/>
      <c r="R797" s="301"/>
    </row>
    <row r="798" ht="14.25" customHeight="1" outlineLevel="1">
      <c r="B798" s="370"/>
      <c r="C798" s="327"/>
      <c r="D798" s="370"/>
      <c r="E798" s="333" t="s">
        <v>114</v>
      </c>
      <c r="F798" s="337">
        <v>300.0</v>
      </c>
      <c r="G798" s="301"/>
      <c r="H798" s="301"/>
      <c r="I798" s="312"/>
      <c r="J798" s="313">
        <v>141.0</v>
      </c>
      <c r="K798" s="314" t="str">
        <f t="shared" si="76"/>
        <v>#DIV/0!</v>
      </c>
      <c r="L798" s="315">
        <f t="shared" si="77"/>
        <v>-141</v>
      </c>
      <c r="M798" s="316">
        <f t="shared" si="78"/>
        <v>-1</v>
      </c>
      <c r="N798" s="331"/>
      <c r="O798" s="285"/>
      <c r="P798" s="285"/>
      <c r="Q798" s="300"/>
      <c r="R798" s="301"/>
    </row>
    <row r="799" ht="14.25" customHeight="1" outlineLevel="1">
      <c r="A799" s="327" t="s">
        <v>822</v>
      </c>
      <c r="B799" s="370" t="s">
        <v>823</v>
      </c>
      <c r="C799" s="327" t="s">
        <v>822</v>
      </c>
      <c r="D799" s="370" t="s">
        <v>824</v>
      </c>
      <c r="E799" s="333" t="s">
        <v>159</v>
      </c>
      <c r="F799" s="337">
        <v>300.0</v>
      </c>
      <c r="G799" s="301">
        <v>899.0</v>
      </c>
      <c r="H799" s="301">
        <v>799.0</v>
      </c>
      <c r="I799" s="312" t="str">
        <f>G799/R799</f>
        <v>#DIV/0!</v>
      </c>
      <c r="J799" s="313">
        <v>151.0</v>
      </c>
      <c r="K799" s="314">
        <f t="shared" si="76"/>
        <v>0.1679644049</v>
      </c>
      <c r="L799" s="315">
        <f t="shared" si="77"/>
        <v>-151</v>
      </c>
      <c r="M799" s="316">
        <f t="shared" si="78"/>
        <v>-1</v>
      </c>
      <c r="N799" s="331"/>
      <c r="O799" s="318" t="s">
        <v>112</v>
      </c>
      <c r="P799" s="318" t="s">
        <v>112</v>
      </c>
      <c r="Q799" s="300"/>
      <c r="R799" s="301"/>
    </row>
    <row r="800" ht="14.25" customHeight="1" outlineLevel="1">
      <c r="E800" s="333" t="s">
        <v>160</v>
      </c>
      <c r="F800" s="337">
        <v>300.0</v>
      </c>
      <c r="G800" s="301">
        <v>849.0</v>
      </c>
      <c r="H800" s="301">
        <v>759.0</v>
      </c>
      <c r="I800" s="312"/>
      <c r="J800" s="313">
        <v>130.0</v>
      </c>
      <c r="K800" s="314">
        <f t="shared" si="76"/>
        <v>0.1531213192</v>
      </c>
      <c r="L800" s="315">
        <f t="shared" si="77"/>
        <v>-130</v>
      </c>
      <c r="M800" s="316">
        <f t="shared" si="78"/>
        <v>-1</v>
      </c>
      <c r="N800" s="331"/>
      <c r="O800" s="318"/>
      <c r="P800" s="318"/>
      <c r="Q800" s="300"/>
      <c r="R800" s="301"/>
    </row>
    <row r="801" ht="14.25" customHeight="1" outlineLevel="1">
      <c r="E801" s="333" t="s">
        <v>509</v>
      </c>
      <c r="F801" s="337">
        <v>300.0</v>
      </c>
      <c r="G801" s="301">
        <v>899.0</v>
      </c>
      <c r="H801" s="301">
        <v>859.0</v>
      </c>
      <c r="I801" s="312"/>
      <c r="J801" s="313">
        <v>152.0</v>
      </c>
      <c r="K801" s="314">
        <f t="shared" si="76"/>
        <v>0.1690767519</v>
      </c>
      <c r="L801" s="315">
        <f t="shared" si="77"/>
        <v>-152</v>
      </c>
      <c r="M801" s="316">
        <f t="shared" si="78"/>
        <v>-1</v>
      </c>
      <c r="N801" s="331"/>
      <c r="O801" s="318"/>
      <c r="P801" s="318"/>
      <c r="Q801" s="300"/>
      <c r="R801" s="301"/>
    </row>
    <row r="802" ht="14.25" customHeight="1" outlineLevel="1">
      <c r="E802" s="333" t="s">
        <v>510</v>
      </c>
      <c r="F802" s="337">
        <v>300.0</v>
      </c>
      <c r="G802" s="301">
        <v>899.0</v>
      </c>
      <c r="H802" s="301">
        <v>859.0</v>
      </c>
      <c r="I802" s="312"/>
      <c r="J802" s="313">
        <v>142.0</v>
      </c>
      <c r="K802" s="314">
        <f t="shared" si="76"/>
        <v>0.1579532814</v>
      </c>
      <c r="L802" s="315">
        <f t="shared" si="77"/>
        <v>-142</v>
      </c>
      <c r="M802" s="316">
        <f t="shared" si="78"/>
        <v>-1</v>
      </c>
      <c r="N802" s="331"/>
      <c r="O802" s="318"/>
      <c r="P802" s="318"/>
      <c r="Q802" s="300"/>
      <c r="R802" s="301"/>
    </row>
    <row r="803" ht="14.25" customHeight="1" outlineLevel="1">
      <c r="B803" s="370"/>
      <c r="C803" s="327"/>
      <c r="D803" s="370"/>
      <c r="E803" s="333" t="s">
        <v>114</v>
      </c>
      <c r="F803" s="337">
        <v>300.0</v>
      </c>
      <c r="G803" s="301"/>
      <c r="H803" s="301"/>
      <c r="I803" s="312"/>
      <c r="J803" s="313">
        <v>142.0</v>
      </c>
      <c r="K803" s="314" t="str">
        <f t="shared" si="76"/>
        <v>#DIV/0!</v>
      </c>
      <c r="L803" s="315">
        <f t="shared" si="77"/>
        <v>-142</v>
      </c>
      <c r="M803" s="316">
        <f t="shared" si="78"/>
        <v>-1</v>
      </c>
      <c r="N803" s="331"/>
      <c r="O803" s="318"/>
      <c r="P803" s="318"/>
      <c r="Q803" s="300"/>
      <c r="R803" s="301"/>
    </row>
    <row r="804" ht="14.25" customHeight="1" outlineLevel="1">
      <c r="A804" s="327" t="s">
        <v>825</v>
      </c>
      <c r="B804" s="327" t="s">
        <v>826</v>
      </c>
      <c r="C804" s="327" t="s">
        <v>825</v>
      </c>
      <c r="D804" s="327" t="s">
        <v>827</v>
      </c>
      <c r="E804" s="333" t="s">
        <v>159</v>
      </c>
      <c r="F804" s="337">
        <v>300.0</v>
      </c>
      <c r="G804" s="301">
        <v>899.0</v>
      </c>
      <c r="H804" s="301">
        <v>799.0</v>
      </c>
      <c r="I804" s="312" t="str">
        <f>G804/R804</f>
        <v>#DIV/0!</v>
      </c>
      <c r="J804" s="313">
        <v>95.0</v>
      </c>
      <c r="K804" s="314">
        <f t="shared" si="76"/>
        <v>0.10567297</v>
      </c>
      <c r="L804" s="315">
        <f t="shared" si="77"/>
        <v>-95</v>
      </c>
      <c r="M804" s="316">
        <f t="shared" si="78"/>
        <v>-1</v>
      </c>
      <c r="N804" s="331"/>
      <c r="O804" s="318" t="s">
        <v>112</v>
      </c>
      <c r="P804" s="318" t="s">
        <v>112</v>
      </c>
      <c r="Q804" s="300"/>
      <c r="R804" s="301"/>
    </row>
    <row r="805" ht="14.25" customHeight="1" outlineLevel="1">
      <c r="E805" s="333" t="s">
        <v>160</v>
      </c>
      <c r="F805" s="337">
        <v>300.0</v>
      </c>
      <c r="G805" s="301">
        <v>849.0</v>
      </c>
      <c r="H805" s="301">
        <v>759.0</v>
      </c>
      <c r="I805" s="312"/>
      <c r="J805" s="313">
        <v>91.0</v>
      </c>
      <c r="K805" s="314">
        <f t="shared" si="76"/>
        <v>0.1071849234</v>
      </c>
      <c r="L805" s="315">
        <f t="shared" si="77"/>
        <v>-91</v>
      </c>
      <c r="M805" s="316">
        <f t="shared" si="78"/>
        <v>-1</v>
      </c>
      <c r="N805" s="331"/>
      <c r="O805" s="318"/>
      <c r="P805" s="318"/>
      <c r="Q805" s="300"/>
      <c r="R805" s="301"/>
    </row>
    <row r="806" ht="14.25" customHeight="1" outlineLevel="1">
      <c r="E806" s="333" t="s">
        <v>509</v>
      </c>
      <c r="F806" s="337">
        <v>300.0</v>
      </c>
      <c r="G806" s="301">
        <v>899.0</v>
      </c>
      <c r="H806" s="301">
        <v>859.0</v>
      </c>
      <c r="I806" s="312"/>
      <c r="J806" s="313">
        <v>100.0</v>
      </c>
      <c r="K806" s="314">
        <f t="shared" si="76"/>
        <v>0.1112347052</v>
      </c>
      <c r="L806" s="315">
        <f t="shared" si="77"/>
        <v>-100</v>
      </c>
      <c r="M806" s="316">
        <f t="shared" si="78"/>
        <v>-1</v>
      </c>
      <c r="N806" s="331"/>
      <c r="O806" s="318"/>
      <c r="P806" s="318"/>
      <c r="Q806" s="300"/>
      <c r="R806" s="301"/>
    </row>
    <row r="807" ht="14.25" customHeight="1" outlineLevel="1">
      <c r="E807" s="333" t="s">
        <v>510</v>
      </c>
      <c r="F807" s="337">
        <v>300.0</v>
      </c>
      <c r="G807" s="301">
        <v>899.0</v>
      </c>
      <c r="H807" s="301">
        <v>859.0</v>
      </c>
      <c r="I807" s="312"/>
      <c r="J807" s="313">
        <v>113.0</v>
      </c>
      <c r="K807" s="314">
        <f t="shared" si="76"/>
        <v>0.1256952169</v>
      </c>
      <c r="L807" s="315">
        <f t="shared" si="77"/>
        <v>-113</v>
      </c>
      <c r="M807" s="316">
        <f t="shared" si="78"/>
        <v>-1</v>
      </c>
      <c r="N807" s="331"/>
      <c r="O807" s="318"/>
      <c r="P807" s="318"/>
      <c r="Q807" s="300"/>
      <c r="R807" s="301"/>
    </row>
    <row r="808" ht="14.25" customHeight="1" outlineLevel="1">
      <c r="B808" s="327"/>
      <c r="C808" s="327"/>
      <c r="D808" s="327"/>
      <c r="E808" s="333" t="s">
        <v>114</v>
      </c>
      <c r="F808" s="337">
        <v>300.0</v>
      </c>
      <c r="G808" s="301"/>
      <c r="H808" s="301"/>
      <c r="I808" s="312"/>
      <c r="J808" s="313">
        <v>113.0</v>
      </c>
      <c r="K808" s="314" t="str">
        <f t="shared" si="76"/>
        <v>#DIV/0!</v>
      </c>
      <c r="L808" s="315">
        <f t="shared" si="77"/>
        <v>-113</v>
      </c>
      <c r="M808" s="316">
        <f t="shared" si="78"/>
        <v>-1</v>
      </c>
      <c r="N808" s="331"/>
      <c r="O808" s="318"/>
      <c r="P808" s="318"/>
      <c r="Q808" s="300"/>
      <c r="R808" s="301"/>
    </row>
    <row r="809" ht="14.25" customHeight="1" outlineLevel="1">
      <c r="A809" s="327" t="s">
        <v>828</v>
      </c>
      <c r="B809" s="327" t="s">
        <v>829</v>
      </c>
      <c r="C809" s="327" t="s">
        <v>828</v>
      </c>
      <c r="D809" s="327" t="s">
        <v>830</v>
      </c>
      <c r="E809" s="333" t="s">
        <v>159</v>
      </c>
      <c r="F809" s="337">
        <v>300.0</v>
      </c>
      <c r="G809" s="301">
        <v>949.0</v>
      </c>
      <c r="H809" s="301">
        <v>899.0</v>
      </c>
      <c r="I809" s="312" t="str">
        <f>G809/R809</f>
        <v>#DIV/0!</v>
      </c>
      <c r="J809" s="313">
        <v>195.0</v>
      </c>
      <c r="K809" s="314">
        <f t="shared" si="76"/>
        <v>0.2054794521</v>
      </c>
      <c r="L809" s="315">
        <f t="shared" si="77"/>
        <v>-195</v>
      </c>
      <c r="M809" s="316">
        <f t="shared" si="78"/>
        <v>-1</v>
      </c>
      <c r="N809" s="331"/>
      <c r="O809" s="318"/>
      <c r="P809" s="318"/>
      <c r="Q809" s="300"/>
      <c r="R809" s="301"/>
    </row>
    <row r="810" ht="14.25" customHeight="1" outlineLevel="1">
      <c r="E810" s="333" t="s">
        <v>160</v>
      </c>
      <c r="F810" s="337">
        <v>300.0</v>
      </c>
      <c r="G810" s="301">
        <v>899.0</v>
      </c>
      <c r="H810" s="301">
        <v>859.0</v>
      </c>
      <c r="I810" s="312"/>
      <c r="J810" s="313">
        <v>187.0</v>
      </c>
      <c r="K810" s="314">
        <f t="shared" si="76"/>
        <v>0.2080088988</v>
      </c>
      <c r="L810" s="315">
        <f t="shared" si="77"/>
        <v>-187</v>
      </c>
      <c r="M810" s="316">
        <f t="shared" si="78"/>
        <v>-1</v>
      </c>
      <c r="N810" s="331"/>
      <c r="O810" s="318"/>
      <c r="P810" s="318"/>
      <c r="Q810" s="300"/>
      <c r="R810" s="301"/>
    </row>
    <row r="811" ht="14.25" customHeight="1" outlineLevel="1">
      <c r="E811" s="333" t="s">
        <v>509</v>
      </c>
      <c r="F811" s="337">
        <v>300.0</v>
      </c>
      <c r="G811" s="301">
        <v>999.0</v>
      </c>
      <c r="H811" s="301">
        <v>959.0</v>
      </c>
      <c r="I811" s="312"/>
      <c r="J811" s="313">
        <v>192.0</v>
      </c>
      <c r="K811" s="314">
        <f t="shared" si="76"/>
        <v>0.1921921922</v>
      </c>
      <c r="L811" s="315">
        <f t="shared" si="77"/>
        <v>-192</v>
      </c>
      <c r="M811" s="316">
        <f t="shared" si="78"/>
        <v>-1</v>
      </c>
      <c r="N811" s="331"/>
      <c r="O811" s="318"/>
      <c r="P811" s="318"/>
      <c r="Q811" s="300"/>
      <c r="R811" s="301"/>
    </row>
    <row r="812" ht="14.25" customHeight="1" outlineLevel="1">
      <c r="E812" s="333" t="s">
        <v>510</v>
      </c>
      <c r="F812" s="337">
        <v>300.0</v>
      </c>
      <c r="G812" s="301">
        <v>999.0</v>
      </c>
      <c r="H812" s="301">
        <v>959.0</v>
      </c>
      <c r="I812" s="312"/>
      <c r="J812" s="313">
        <v>191.0</v>
      </c>
      <c r="K812" s="314">
        <f t="shared" si="76"/>
        <v>0.1911911912</v>
      </c>
      <c r="L812" s="315">
        <f t="shared" si="77"/>
        <v>-191</v>
      </c>
      <c r="M812" s="316">
        <f t="shared" si="78"/>
        <v>-1</v>
      </c>
      <c r="N812" s="331"/>
      <c r="O812" s="318"/>
      <c r="P812" s="318"/>
      <c r="Q812" s="300"/>
      <c r="R812" s="301"/>
    </row>
    <row r="813" ht="14.25" customHeight="1" outlineLevel="1">
      <c r="B813" s="327"/>
      <c r="C813" s="327"/>
      <c r="D813" s="327"/>
      <c r="E813" s="333" t="s">
        <v>114</v>
      </c>
      <c r="F813" s="337">
        <v>300.0</v>
      </c>
      <c r="G813" s="301"/>
      <c r="H813" s="301"/>
      <c r="I813" s="312"/>
      <c r="J813" s="313">
        <v>191.0</v>
      </c>
      <c r="K813" s="314" t="str">
        <f t="shared" si="76"/>
        <v>#DIV/0!</v>
      </c>
      <c r="L813" s="315">
        <f t="shared" si="77"/>
        <v>-191</v>
      </c>
      <c r="M813" s="316">
        <f t="shared" si="78"/>
        <v>-1</v>
      </c>
      <c r="N813" s="331"/>
      <c r="O813" s="318"/>
      <c r="P813" s="318"/>
      <c r="Q813" s="300"/>
      <c r="R813" s="301"/>
    </row>
    <row r="814" ht="14.25" customHeight="1" outlineLevel="1">
      <c r="A814" s="327" t="s">
        <v>831</v>
      </c>
      <c r="B814" s="370" t="s">
        <v>832</v>
      </c>
      <c r="C814" s="327" t="s">
        <v>831</v>
      </c>
      <c r="D814" s="370" t="s">
        <v>833</v>
      </c>
      <c r="E814" s="333" t="s">
        <v>159</v>
      </c>
      <c r="F814" s="337">
        <v>2500.0</v>
      </c>
      <c r="G814" s="301">
        <v>2999.0</v>
      </c>
      <c r="H814" s="301">
        <v>2999.0</v>
      </c>
      <c r="I814" s="312" t="str">
        <f>G814/R814</f>
        <v>#DIV/0!</v>
      </c>
      <c r="J814" s="313">
        <v>589.0</v>
      </c>
      <c r="K814" s="314">
        <f t="shared" si="76"/>
        <v>0.1963987996</v>
      </c>
      <c r="L814" s="315">
        <f t="shared" si="77"/>
        <v>-589</v>
      </c>
      <c r="M814" s="316">
        <f t="shared" si="78"/>
        <v>-1</v>
      </c>
      <c r="N814" s="331"/>
      <c r="O814" s="318"/>
      <c r="P814" s="318"/>
      <c r="Q814" s="300"/>
      <c r="R814" s="301"/>
    </row>
    <row r="815" ht="14.25" customHeight="1" outlineLevel="1">
      <c r="E815" s="333" t="s">
        <v>160</v>
      </c>
      <c r="F815" s="337">
        <v>2500.0</v>
      </c>
      <c r="G815" s="301">
        <v>2899.0</v>
      </c>
      <c r="H815" s="301">
        <v>2799.0</v>
      </c>
      <c r="I815" s="312"/>
      <c r="J815" s="313">
        <v>600.0</v>
      </c>
      <c r="K815" s="314">
        <f t="shared" si="76"/>
        <v>0.20696792</v>
      </c>
      <c r="L815" s="315">
        <f t="shared" si="77"/>
        <v>-600</v>
      </c>
      <c r="M815" s="316">
        <f t="shared" si="78"/>
        <v>-1</v>
      </c>
      <c r="N815" s="331"/>
      <c r="O815" s="318"/>
      <c r="P815" s="318"/>
      <c r="Q815" s="300"/>
      <c r="R815" s="301"/>
    </row>
    <row r="816" ht="14.25" customHeight="1" outlineLevel="1">
      <c r="E816" s="333" t="s">
        <v>509</v>
      </c>
      <c r="F816" s="337">
        <v>2500.0</v>
      </c>
      <c r="G816" s="301">
        <v>2999.0</v>
      </c>
      <c r="H816" s="301">
        <v>2999.0</v>
      </c>
      <c r="I816" s="312"/>
      <c r="J816" s="313">
        <v>675.0</v>
      </c>
      <c r="K816" s="314">
        <f t="shared" si="76"/>
        <v>0.225075025</v>
      </c>
      <c r="L816" s="315">
        <f t="shared" si="77"/>
        <v>-675</v>
      </c>
      <c r="M816" s="316">
        <f t="shared" si="78"/>
        <v>-1</v>
      </c>
      <c r="N816" s="331"/>
      <c r="O816" s="318"/>
      <c r="P816" s="318"/>
      <c r="Q816" s="300"/>
      <c r="R816" s="301"/>
    </row>
    <row r="817" ht="14.25" customHeight="1" outlineLevel="1">
      <c r="E817" s="333" t="s">
        <v>510</v>
      </c>
      <c r="F817" s="337">
        <v>2500.0</v>
      </c>
      <c r="G817" s="301">
        <v>2999.0</v>
      </c>
      <c r="H817" s="301">
        <v>2999.0</v>
      </c>
      <c r="I817" s="312"/>
      <c r="J817" s="313">
        <v>750.0</v>
      </c>
      <c r="K817" s="314">
        <f t="shared" si="76"/>
        <v>0.2500833611</v>
      </c>
      <c r="L817" s="315">
        <f t="shared" si="77"/>
        <v>-750</v>
      </c>
      <c r="M817" s="316">
        <f t="shared" si="78"/>
        <v>-1</v>
      </c>
      <c r="N817" s="331"/>
      <c r="O817" s="318"/>
      <c r="P817" s="318"/>
      <c r="Q817" s="300"/>
      <c r="R817" s="301"/>
    </row>
    <row r="818" ht="14.25" customHeight="1" outlineLevel="1">
      <c r="B818" s="370"/>
      <c r="C818" s="327"/>
      <c r="D818" s="370"/>
      <c r="E818" s="333" t="s">
        <v>114</v>
      </c>
      <c r="F818" s="337">
        <v>2500.0</v>
      </c>
      <c r="G818" s="301"/>
      <c r="H818" s="301"/>
      <c r="I818" s="312"/>
      <c r="J818" s="313">
        <v>750.0</v>
      </c>
      <c r="K818" s="314" t="str">
        <f t="shared" si="76"/>
        <v>#DIV/0!</v>
      </c>
      <c r="L818" s="315">
        <f t="shared" si="77"/>
        <v>-750</v>
      </c>
      <c r="M818" s="316">
        <f t="shared" si="78"/>
        <v>-1</v>
      </c>
      <c r="N818" s="331"/>
      <c r="O818" s="318"/>
      <c r="P818" s="318"/>
      <c r="Q818" s="300"/>
      <c r="R818" s="301"/>
    </row>
    <row r="819" ht="14.25" customHeight="1" outlineLevel="1">
      <c r="A819" s="327" t="s">
        <v>834</v>
      </c>
      <c r="B819" s="327" t="s">
        <v>835</v>
      </c>
      <c r="C819" s="327" t="s">
        <v>834</v>
      </c>
      <c r="D819" s="327"/>
      <c r="E819" s="333" t="s">
        <v>159</v>
      </c>
      <c r="F819" s="339">
        <v>1200.0</v>
      </c>
      <c r="G819" s="301">
        <v>1599.0</v>
      </c>
      <c r="H819" s="301">
        <v>1499.0</v>
      </c>
      <c r="I819" s="312" t="str">
        <f>G819/R819</f>
        <v>#DIV/0!</v>
      </c>
      <c r="J819" s="313">
        <v>463.0</v>
      </c>
      <c r="K819" s="314">
        <f t="shared" si="76"/>
        <v>0.2895559725</v>
      </c>
      <c r="L819" s="315">
        <f t="shared" si="77"/>
        <v>-463</v>
      </c>
      <c r="M819" s="316">
        <f t="shared" si="78"/>
        <v>-1</v>
      </c>
      <c r="N819" s="317"/>
      <c r="O819" s="318" t="s">
        <v>112</v>
      </c>
      <c r="P819" s="318" t="s">
        <v>112</v>
      </c>
      <c r="Q819" s="300"/>
      <c r="R819" s="301"/>
    </row>
    <row r="820" ht="14.25" customHeight="1" outlineLevel="1">
      <c r="E820" s="333" t="s">
        <v>160</v>
      </c>
      <c r="F820" s="339">
        <v>1200.0</v>
      </c>
      <c r="G820" s="301">
        <v>1599.0</v>
      </c>
      <c r="H820" s="301">
        <v>1449.0</v>
      </c>
      <c r="I820" s="312"/>
      <c r="J820" s="313">
        <v>387.0</v>
      </c>
      <c r="K820" s="314">
        <f t="shared" si="76"/>
        <v>0.2420262664</v>
      </c>
      <c r="L820" s="315">
        <f t="shared" si="77"/>
        <v>-387</v>
      </c>
      <c r="M820" s="316">
        <f t="shared" si="78"/>
        <v>-1</v>
      </c>
      <c r="N820" s="317"/>
      <c r="O820" s="318"/>
      <c r="P820" s="318"/>
      <c r="Q820" s="300"/>
      <c r="R820" s="301"/>
    </row>
    <row r="821" ht="14.25" customHeight="1" outlineLevel="1">
      <c r="E821" s="333" t="s">
        <v>509</v>
      </c>
      <c r="F821" s="339">
        <v>1200.0</v>
      </c>
      <c r="G821" s="301">
        <v>1699.0</v>
      </c>
      <c r="H821" s="301">
        <v>1599.0</v>
      </c>
      <c r="I821" s="312"/>
      <c r="J821" s="313">
        <v>511.0</v>
      </c>
      <c r="K821" s="314">
        <f t="shared" si="76"/>
        <v>0.300765156</v>
      </c>
      <c r="L821" s="315">
        <f t="shared" si="77"/>
        <v>-511</v>
      </c>
      <c r="M821" s="316">
        <f t="shared" si="78"/>
        <v>-1</v>
      </c>
      <c r="N821" s="317"/>
      <c r="O821" s="318"/>
      <c r="P821" s="318"/>
      <c r="Q821" s="300"/>
      <c r="R821" s="301"/>
    </row>
    <row r="822" ht="14.25" customHeight="1" outlineLevel="1">
      <c r="E822" s="333" t="s">
        <v>510</v>
      </c>
      <c r="F822" s="339">
        <v>1200.0</v>
      </c>
      <c r="G822" s="301">
        <v>1699.0</v>
      </c>
      <c r="H822" s="301">
        <v>1599.0</v>
      </c>
      <c r="I822" s="312"/>
      <c r="J822" s="313">
        <v>597.0</v>
      </c>
      <c r="K822" s="314">
        <f t="shared" si="76"/>
        <v>0.3513831666</v>
      </c>
      <c r="L822" s="315">
        <f t="shared" si="77"/>
        <v>-597</v>
      </c>
      <c r="M822" s="316">
        <f t="shared" si="78"/>
        <v>-1</v>
      </c>
      <c r="N822" s="317"/>
      <c r="O822" s="318"/>
      <c r="P822" s="318"/>
      <c r="Q822" s="300"/>
      <c r="R822" s="301"/>
    </row>
    <row r="823" ht="14.25" customHeight="1" outlineLevel="1">
      <c r="B823" s="327"/>
      <c r="C823" s="327"/>
      <c r="D823" s="327"/>
      <c r="E823" s="333" t="s">
        <v>114</v>
      </c>
      <c r="F823" s="339">
        <v>1200.0</v>
      </c>
      <c r="G823" s="301"/>
      <c r="H823" s="301"/>
      <c r="I823" s="312"/>
      <c r="J823" s="313">
        <v>597.0</v>
      </c>
      <c r="K823" s="314" t="str">
        <f t="shared" si="76"/>
        <v>#DIV/0!</v>
      </c>
      <c r="L823" s="315">
        <f t="shared" si="77"/>
        <v>-597</v>
      </c>
      <c r="M823" s="316">
        <f t="shared" si="78"/>
        <v>-1</v>
      </c>
      <c r="N823" s="317"/>
      <c r="O823" s="318"/>
      <c r="P823" s="318"/>
      <c r="Q823" s="300"/>
      <c r="R823" s="301"/>
    </row>
    <row r="824" ht="14.25" customHeight="1" outlineLevel="1">
      <c r="A824" s="327" t="s">
        <v>836</v>
      </c>
      <c r="B824" s="327" t="s">
        <v>837</v>
      </c>
      <c r="C824" s="327" t="s">
        <v>836</v>
      </c>
      <c r="D824" s="327"/>
      <c r="E824" s="333" t="s">
        <v>159</v>
      </c>
      <c r="F824" s="339">
        <v>1200.0</v>
      </c>
      <c r="G824" s="301">
        <v>1599.0</v>
      </c>
      <c r="H824" s="301">
        <v>1499.0</v>
      </c>
      <c r="I824" s="312" t="str">
        <f>G824/R824</f>
        <v>#DIV/0!</v>
      </c>
      <c r="J824" s="313">
        <v>520.0</v>
      </c>
      <c r="K824" s="314">
        <f t="shared" si="76"/>
        <v>0.325203252</v>
      </c>
      <c r="L824" s="315">
        <f t="shared" si="77"/>
        <v>-520</v>
      </c>
      <c r="M824" s="316">
        <f t="shared" si="78"/>
        <v>-1</v>
      </c>
      <c r="N824" s="317"/>
      <c r="O824" s="318" t="s">
        <v>112</v>
      </c>
      <c r="P824" s="318" t="s">
        <v>112</v>
      </c>
      <c r="Q824" s="300"/>
      <c r="R824" s="301"/>
    </row>
    <row r="825" ht="14.25" customHeight="1" outlineLevel="1">
      <c r="E825" s="333" t="s">
        <v>160</v>
      </c>
      <c r="F825" s="339">
        <v>1200.0</v>
      </c>
      <c r="G825" s="301">
        <v>1599.0</v>
      </c>
      <c r="H825" s="301">
        <v>1449.0</v>
      </c>
      <c r="I825" s="312"/>
      <c r="J825" s="313">
        <v>440.0</v>
      </c>
      <c r="K825" s="314">
        <f t="shared" si="76"/>
        <v>0.2751719825</v>
      </c>
      <c r="L825" s="315">
        <f t="shared" si="77"/>
        <v>-440</v>
      </c>
      <c r="M825" s="316">
        <f t="shared" si="78"/>
        <v>-1</v>
      </c>
      <c r="N825" s="317"/>
      <c r="O825" s="318"/>
      <c r="P825" s="318"/>
      <c r="Q825" s="300"/>
      <c r="R825" s="301"/>
    </row>
    <row r="826" ht="14.25" customHeight="1" outlineLevel="1">
      <c r="E826" s="333" t="s">
        <v>509</v>
      </c>
      <c r="F826" s="339">
        <v>1200.0</v>
      </c>
      <c r="G826" s="301">
        <v>1699.0</v>
      </c>
      <c r="H826" s="301">
        <v>1599.0</v>
      </c>
      <c r="I826" s="312"/>
      <c r="J826" s="313">
        <v>515.0</v>
      </c>
      <c r="K826" s="314">
        <f t="shared" si="76"/>
        <v>0.303119482</v>
      </c>
      <c r="L826" s="315">
        <f t="shared" si="77"/>
        <v>-515</v>
      </c>
      <c r="M826" s="316">
        <f t="shared" si="78"/>
        <v>-1</v>
      </c>
      <c r="N826" s="317"/>
      <c r="O826" s="318"/>
      <c r="P826" s="318"/>
      <c r="Q826" s="300"/>
      <c r="R826" s="301"/>
    </row>
    <row r="827" ht="14.25" customHeight="1" outlineLevel="1">
      <c r="E827" s="333" t="s">
        <v>510</v>
      </c>
      <c r="F827" s="339">
        <v>1200.0</v>
      </c>
      <c r="G827" s="301">
        <v>1699.0</v>
      </c>
      <c r="H827" s="301">
        <v>1599.0</v>
      </c>
      <c r="I827" s="312"/>
      <c r="J827" s="313">
        <v>612.0</v>
      </c>
      <c r="K827" s="314">
        <f t="shared" si="76"/>
        <v>0.3602118893</v>
      </c>
      <c r="L827" s="315">
        <f t="shared" si="77"/>
        <v>-612</v>
      </c>
      <c r="M827" s="316">
        <f t="shared" si="78"/>
        <v>-1</v>
      </c>
      <c r="N827" s="317"/>
      <c r="O827" s="318"/>
      <c r="P827" s="318"/>
      <c r="Q827" s="300"/>
      <c r="R827" s="301"/>
    </row>
    <row r="828" ht="14.25" customHeight="1" outlineLevel="1">
      <c r="B828" s="327"/>
      <c r="C828" s="327"/>
      <c r="D828" s="327"/>
      <c r="E828" s="333" t="s">
        <v>114</v>
      </c>
      <c r="F828" s="339">
        <v>1200.0</v>
      </c>
      <c r="G828" s="301"/>
      <c r="H828" s="301"/>
      <c r="I828" s="312"/>
      <c r="J828" s="313">
        <v>612.0</v>
      </c>
      <c r="K828" s="314" t="str">
        <f t="shared" si="76"/>
        <v>#DIV/0!</v>
      </c>
      <c r="L828" s="315">
        <f t="shared" si="77"/>
        <v>-612</v>
      </c>
      <c r="M828" s="316">
        <f t="shared" si="78"/>
        <v>-1</v>
      </c>
      <c r="N828" s="317"/>
      <c r="O828" s="318"/>
      <c r="P828" s="318"/>
      <c r="Q828" s="300"/>
      <c r="R828" s="301"/>
    </row>
    <row r="829" ht="14.25" customHeight="1" outlineLevel="1">
      <c r="A829" s="327" t="s">
        <v>838</v>
      </c>
      <c r="B829" s="327" t="s">
        <v>839</v>
      </c>
      <c r="C829" s="327" t="s">
        <v>838</v>
      </c>
      <c r="D829" s="327" t="s">
        <v>840</v>
      </c>
      <c r="E829" s="333" t="s">
        <v>159</v>
      </c>
      <c r="F829" s="339">
        <v>1200.0</v>
      </c>
      <c r="G829" s="341">
        <v>1699.0</v>
      </c>
      <c r="H829" s="341"/>
      <c r="I829" s="286"/>
      <c r="J829" s="335">
        <v>360.0</v>
      </c>
      <c r="K829" s="332">
        <f t="shared" si="76"/>
        <v>0.2118893467</v>
      </c>
      <c r="L829" s="319">
        <f t="shared" si="77"/>
        <v>-360</v>
      </c>
      <c r="M829" s="332">
        <f t="shared" si="78"/>
        <v>-1</v>
      </c>
      <c r="N829" s="331"/>
      <c r="O829" s="285"/>
      <c r="P829" s="285"/>
      <c r="Q829" s="300"/>
      <c r="R829" s="341"/>
    </row>
    <row r="830" ht="14.25" customHeight="1" outlineLevel="1">
      <c r="E830" s="333" t="s">
        <v>160</v>
      </c>
      <c r="F830" s="339">
        <v>1200.0</v>
      </c>
      <c r="G830" s="341">
        <v>1699.0</v>
      </c>
      <c r="H830" s="341"/>
      <c r="I830" s="286"/>
      <c r="J830" s="335">
        <v>360.0</v>
      </c>
      <c r="K830" s="332">
        <f t="shared" si="76"/>
        <v>0.2118893467</v>
      </c>
      <c r="L830" s="319">
        <f t="shared" si="77"/>
        <v>-360</v>
      </c>
      <c r="M830" s="332">
        <f t="shared" si="78"/>
        <v>-1</v>
      </c>
      <c r="N830" s="331"/>
      <c r="O830" s="285"/>
      <c r="P830" s="285"/>
      <c r="Q830" s="300"/>
      <c r="R830" s="341"/>
    </row>
    <row r="831" ht="14.25" customHeight="1" outlineLevel="1">
      <c r="E831" s="333" t="s">
        <v>509</v>
      </c>
      <c r="F831" s="339">
        <v>1200.0</v>
      </c>
      <c r="G831" s="341">
        <v>1699.0</v>
      </c>
      <c r="H831" s="341"/>
      <c r="I831" s="286"/>
      <c r="J831" s="335">
        <v>360.0</v>
      </c>
      <c r="K831" s="332">
        <f t="shared" si="76"/>
        <v>0.2118893467</v>
      </c>
      <c r="L831" s="319">
        <f t="shared" si="77"/>
        <v>-360</v>
      </c>
      <c r="M831" s="332">
        <f t="shared" si="78"/>
        <v>-1</v>
      </c>
      <c r="N831" s="331"/>
      <c r="O831" s="285"/>
      <c r="P831" s="285"/>
      <c r="Q831" s="300"/>
      <c r="R831" s="341"/>
    </row>
    <row r="832" ht="14.25" customHeight="1" outlineLevel="1">
      <c r="E832" s="333" t="s">
        <v>510</v>
      </c>
      <c r="F832" s="339">
        <v>1200.0</v>
      </c>
      <c r="G832" s="341">
        <v>1699.0</v>
      </c>
      <c r="H832" s="341"/>
      <c r="I832" s="286"/>
      <c r="J832" s="335">
        <v>360.0</v>
      </c>
      <c r="K832" s="332">
        <f t="shared" si="76"/>
        <v>0.2118893467</v>
      </c>
      <c r="L832" s="319">
        <f t="shared" si="77"/>
        <v>-360</v>
      </c>
      <c r="M832" s="332">
        <f t="shared" si="78"/>
        <v>-1</v>
      </c>
      <c r="N832" s="331"/>
      <c r="O832" s="285"/>
      <c r="P832" s="285"/>
      <c r="Q832" s="300"/>
      <c r="R832" s="341"/>
    </row>
    <row r="833" ht="14.25" customHeight="1" outlineLevel="1">
      <c r="B833" s="327"/>
      <c r="C833" s="327"/>
      <c r="D833" s="327"/>
      <c r="E833" s="333" t="s">
        <v>114</v>
      </c>
      <c r="F833" s="339">
        <v>1200.0</v>
      </c>
      <c r="G833" s="341"/>
      <c r="H833" s="341"/>
      <c r="I833" s="286"/>
      <c r="J833" s="335">
        <v>360.0</v>
      </c>
      <c r="K833" s="332" t="str">
        <f t="shared" si="76"/>
        <v>#DIV/0!</v>
      </c>
      <c r="L833" s="319">
        <f t="shared" si="77"/>
        <v>-360</v>
      </c>
      <c r="M833" s="332">
        <f t="shared" si="78"/>
        <v>-1</v>
      </c>
      <c r="N833" s="331"/>
      <c r="O833" s="285"/>
      <c r="P833" s="285"/>
      <c r="Q833" s="300"/>
      <c r="R833" s="341"/>
    </row>
    <row r="834" ht="14.25" customHeight="1" outlineLevel="1">
      <c r="A834" s="327" t="s">
        <v>841</v>
      </c>
      <c r="B834" s="327" t="s">
        <v>842</v>
      </c>
      <c r="C834" s="327" t="s">
        <v>841</v>
      </c>
      <c r="D834" s="327" t="s">
        <v>842</v>
      </c>
      <c r="E834" s="333" t="s">
        <v>159</v>
      </c>
      <c r="F834" s="339">
        <v>300.0</v>
      </c>
      <c r="G834" s="341">
        <v>1299.0</v>
      </c>
      <c r="H834" s="341"/>
      <c r="I834" s="286"/>
      <c r="J834" s="335">
        <v>200.0</v>
      </c>
      <c r="K834" s="332">
        <f>J834/G832</f>
        <v>0.1177163037</v>
      </c>
      <c r="L834" s="319">
        <f t="shared" si="77"/>
        <v>-200</v>
      </c>
      <c r="M834" s="332">
        <f t="shared" si="78"/>
        <v>-1</v>
      </c>
      <c r="N834" s="331"/>
      <c r="O834" s="285"/>
      <c r="P834" s="285"/>
      <c r="Q834" s="300"/>
      <c r="R834" s="341"/>
    </row>
    <row r="835" ht="14.25" customHeight="1" outlineLevel="1">
      <c r="E835" s="333" t="s">
        <v>160</v>
      </c>
      <c r="F835" s="339">
        <v>300.0</v>
      </c>
      <c r="G835" s="341">
        <v>1299.0</v>
      </c>
      <c r="H835" s="341"/>
      <c r="I835" s="286"/>
      <c r="J835" s="335">
        <v>200.0</v>
      </c>
      <c r="K835" s="332">
        <f t="shared" ref="K835:K838" si="79">J835/G835</f>
        <v>0.1539645881</v>
      </c>
      <c r="L835" s="319">
        <f t="shared" si="77"/>
        <v>-200</v>
      </c>
      <c r="M835" s="332">
        <f t="shared" si="78"/>
        <v>-1</v>
      </c>
      <c r="N835" s="331"/>
      <c r="O835" s="285"/>
      <c r="P835" s="285"/>
      <c r="Q835" s="300"/>
      <c r="R835" s="341"/>
    </row>
    <row r="836" ht="14.25" customHeight="1" outlineLevel="1">
      <c r="E836" s="333" t="s">
        <v>509</v>
      </c>
      <c r="F836" s="339">
        <v>300.0</v>
      </c>
      <c r="G836" s="341">
        <v>1399.0</v>
      </c>
      <c r="H836" s="341"/>
      <c r="I836" s="286"/>
      <c r="J836" s="335">
        <v>200.0</v>
      </c>
      <c r="K836" s="332">
        <f t="shared" si="79"/>
        <v>0.1429592566</v>
      </c>
      <c r="L836" s="319">
        <f t="shared" si="77"/>
        <v>-200</v>
      </c>
      <c r="M836" s="332">
        <f t="shared" si="78"/>
        <v>-1</v>
      </c>
      <c r="N836" s="331"/>
      <c r="O836" s="285"/>
      <c r="P836" s="285"/>
      <c r="Q836" s="300"/>
      <c r="R836" s="341"/>
    </row>
    <row r="837" ht="14.25" customHeight="1" outlineLevel="1">
      <c r="E837" s="333" t="s">
        <v>510</v>
      </c>
      <c r="F837" s="339">
        <v>300.0</v>
      </c>
      <c r="G837" s="341">
        <v>1399.0</v>
      </c>
      <c r="H837" s="341"/>
      <c r="I837" s="286"/>
      <c r="J837" s="335">
        <v>200.0</v>
      </c>
      <c r="K837" s="332">
        <f t="shared" si="79"/>
        <v>0.1429592566</v>
      </c>
      <c r="L837" s="319">
        <f t="shared" si="77"/>
        <v>-200</v>
      </c>
      <c r="M837" s="332">
        <f t="shared" si="78"/>
        <v>-1</v>
      </c>
      <c r="N837" s="331"/>
      <c r="O837" s="285"/>
      <c r="P837" s="285"/>
      <c r="Q837" s="300"/>
      <c r="R837" s="341"/>
    </row>
    <row r="838" ht="14.25" customHeight="1" outlineLevel="1">
      <c r="B838" s="327"/>
      <c r="C838" s="327"/>
      <c r="D838" s="327"/>
      <c r="E838" s="333" t="s">
        <v>114</v>
      </c>
      <c r="F838" s="339">
        <v>300.0</v>
      </c>
      <c r="G838" s="341"/>
      <c r="H838" s="341"/>
      <c r="I838" s="286"/>
      <c r="J838" s="335">
        <v>200.0</v>
      </c>
      <c r="K838" s="332" t="str">
        <f t="shared" si="79"/>
        <v>#DIV/0!</v>
      </c>
      <c r="L838" s="319">
        <f t="shared" si="77"/>
        <v>-200</v>
      </c>
      <c r="M838" s="332">
        <f t="shared" si="78"/>
        <v>-1</v>
      </c>
      <c r="N838" s="331"/>
      <c r="O838" s="285"/>
      <c r="P838" s="285"/>
      <c r="Q838" s="300"/>
      <c r="R838" s="341"/>
    </row>
    <row r="839" ht="14.25" customHeight="1">
      <c r="A839" s="375" t="s">
        <v>843</v>
      </c>
      <c r="B839" s="289"/>
      <c r="C839" s="375" t="s">
        <v>844</v>
      </c>
      <c r="D839" s="291"/>
      <c r="E839" s="322" t="s">
        <v>159</v>
      </c>
      <c r="F839" s="323"/>
      <c r="G839" s="294"/>
      <c r="H839" s="294"/>
      <c r="I839" s="324"/>
      <c r="J839" s="325"/>
      <c r="K839" s="297"/>
      <c r="L839" s="326"/>
      <c r="M839" s="297"/>
      <c r="N839" s="299"/>
      <c r="O839" s="297"/>
      <c r="P839" s="297"/>
      <c r="Q839" s="300"/>
      <c r="R839" s="301"/>
    </row>
    <row r="840" ht="14.25" customHeight="1">
      <c r="B840" s="289"/>
      <c r="D840" s="291"/>
      <c r="E840" s="322" t="s">
        <v>160</v>
      </c>
      <c r="F840" s="323"/>
      <c r="G840" s="294"/>
      <c r="H840" s="294"/>
      <c r="I840" s="324"/>
      <c r="J840" s="325"/>
      <c r="K840" s="297"/>
      <c r="L840" s="326"/>
      <c r="M840" s="297"/>
      <c r="N840" s="299"/>
      <c r="O840" s="297"/>
      <c r="P840" s="297"/>
      <c r="Q840" s="300"/>
      <c r="R840" s="301"/>
    </row>
    <row r="841" ht="14.25" customHeight="1">
      <c r="B841" s="289"/>
      <c r="D841" s="291"/>
      <c r="E841" s="322" t="s">
        <v>509</v>
      </c>
      <c r="F841" s="323"/>
      <c r="G841" s="294"/>
      <c r="H841" s="294"/>
      <c r="I841" s="324"/>
      <c r="J841" s="325"/>
      <c r="K841" s="297"/>
      <c r="L841" s="326"/>
      <c r="M841" s="297"/>
      <c r="N841" s="299"/>
      <c r="O841" s="297"/>
      <c r="P841" s="297"/>
      <c r="Q841" s="300"/>
      <c r="R841" s="301"/>
    </row>
    <row r="842" ht="14.25" customHeight="1">
      <c r="B842" s="289"/>
      <c r="D842" s="291"/>
      <c r="E842" s="322" t="s">
        <v>510</v>
      </c>
      <c r="F842" s="323"/>
      <c r="G842" s="294"/>
      <c r="H842" s="294"/>
      <c r="I842" s="324"/>
      <c r="J842" s="325"/>
      <c r="K842" s="297"/>
      <c r="L842" s="326"/>
      <c r="M842" s="297"/>
      <c r="N842" s="299"/>
      <c r="O842" s="297"/>
      <c r="P842" s="297"/>
      <c r="Q842" s="300"/>
      <c r="R842" s="301"/>
    </row>
    <row r="843" ht="14.25" customHeight="1">
      <c r="B843" s="289"/>
      <c r="C843" s="375"/>
      <c r="D843" s="291"/>
      <c r="E843" s="322" t="s">
        <v>114</v>
      </c>
      <c r="F843" s="323"/>
      <c r="G843" s="294"/>
      <c r="H843" s="294"/>
      <c r="I843" s="324"/>
      <c r="J843" s="325"/>
      <c r="K843" s="297"/>
      <c r="L843" s="326"/>
      <c r="M843" s="297"/>
      <c r="N843" s="299"/>
      <c r="O843" s="297"/>
      <c r="P843" s="297"/>
      <c r="Q843" s="300"/>
      <c r="R843" s="301"/>
    </row>
    <row r="844" ht="14.25" customHeight="1" outlineLevel="1">
      <c r="A844" s="327" t="s">
        <v>845</v>
      </c>
      <c r="B844" s="327"/>
      <c r="C844" s="327" t="s">
        <v>845</v>
      </c>
      <c r="D844" s="336"/>
      <c r="E844" s="309" t="s">
        <v>159</v>
      </c>
      <c r="F844" s="339">
        <v>50.0</v>
      </c>
      <c r="G844" s="311">
        <v>219.0</v>
      </c>
      <c r="H844" s="311">
        <v>189.0</v>
      </c>
      <c r="I844" s="312" t="str">
        <f>G844/R844</f>
        <v>#DIV/0!</v>
      </c>
      <c r="J844" s="313">
        <v>33.0</v>
      </c>
      <c r="K844" s="314">
        <f t="shared" ref="K844:K868" si="80">J844/G844</f>
        <v>0.1506849315</v>
      </c>
      <c r="L844" s="315">
        <f t="shared" ref="L844:L868" si="81">Q844-J844</f>
        <v>-33</v>
      </c>
      <c r="M844" s="316">
        <f t="shared" ref="M844:M868" si="82">Q844/J844-1</f>
        <v>-1</v>
      </c>
      <c r="N844" s="331"/>
      <c r="O844" s="285" t="s">
        <v>112</v>
      </c>
      <c r="P844" s="285" t="s">
        <v>112</v>
      </c>
      <c r="Q844" s="319"/>
      <c r="R844" s="311"/>
    </row>
    <row r="845" ht="14.25" customHeight="1" outlineLevel="1">
      <c r="B845" s="327"/>
      <c r="D845" s="336"/>
      <c r="E845" s="309" t="s">
        <v>160</v>
      </c>
      <c r="F845" s="339">
        <v>50.0</v>
      </c>
      <c r="G845" s="311">
        <v>219.0</v>
      </c>
      <c r="H845" s="311">
        <v>189.0</v>
      </c>
      <c r="I845" s="312"/>
      <c r="J845" s="313">
        <v>33.0</v>
      </c>
      <c r="K845" s="314">
        <f t="shared" si="80"/>
        <v>0.1506849315</v>
      </c>
      <c r="L845" s="315">
        <f t="shared" si="81"/>
        <v>-33</v>
      </c>
      <c r="M845" s="316">
        <f t="shared" si="82"/>
        <v>-1</v>
      </c>
      <c r="N845" s="331"/>
      <c r="O845" s="285"/>
      <c r="P845" s="285"/>
      <c r="Q845" s="319"/>
      <c r="R845" s="311"/>
    </row>
    <row r="846" ht="14.25" customHeight="1" outlineLevel="1">
      <c r="B846" s="327"/>
      <c r="D846" s="336"/>
      <c r="E846" s="309" t="s">
        <v>509</v>
      </c>
      <c r="F846" s="339">
        <v>50.0</v>
      </c>
      <c r="G846" s="311">
        <v>229.0</v>
      </c>
      <c r="H846" s="311">
        <v>199.0</v>
      </c>
      <c r="I846" s="312"/>
      <c r="J846" s="313">
        <v>33.0</v>
      </c>
      <c r="K846" s="314">
        <f t="shared" si="80"/>
        <v>0.1441048035</v>
      </c>
      <c r="L846" s="315">
        <f t="shared" si="81"/>
        <v>-33</v>
      </c>
      <c r="M846" s="316">
        <f t="shared" si="82"/>
        <v>-1</v>
      </c>
      <c r="N846" s="331"/>
      <c r="O846" s="285"/>
      <c r="P846" s="285"/>
      <c r="Q846" s="319"/>
      <c r="R846" s="311"/>
    </row>
    <row r="847" ht="14.25" customHeight="1" outlineLevel="1">
      <c r="B847" s="327"/>
      <c r="D847" s="336"/>
      <c r="E847" s="333" t="s">
        <v>510</v>
      </c>
      <c r="F847" s="339">
        <v>50.0</v>
      </c>
      <c r="G847" s="334">
        <v>229.0</v>
      </c>
      <c r="H847" s="334">
        <v>199.0</v>
      </c>
      <c r="I847" s="286"/>
      <c r="J847" s="335">
        <v>33.0</v>
      </c>
      <c r="K847" s="332">
        <f t="shared" si="80"/>
        <v>0.1441048035</v>
      </c>
      <c r="L847" s="319">
        <f t="shared" si="81"/>
        <v>-33</v>
      </c>
      <c r="M847" s="332">
        <f t="shared" si="82"/>
        <v>-1</v>
      </c>
      <c r="N847" s="331"/>
      <c r="O847" s="285"/>
      <c r="P847" s="285"/>
      <c r="Q847" s="319"/>
      <c r="R847" s="334"/>
    </row>
    <row r="848" ht="14.25" customHeight="1" outlineLevel="1">
      <c r="B848" s="327"/>
      <c r="C848" s="327"/>
      <c r="D848" s="336"/>
      <c r="E848" s="333" t="s">
        <v>114</v>
      </c>
      <c r="F848" s="339">
        <v>50.0</v>
      </c>
      <c r="G848" s="334"/>
      <c r="H848" s="334"/>
      <c r="I848" s="286"/>
      <c r="J848" s="335">
        <v>33.0</v>
      </c>
      <c r="K848" s="332" t="str">
        <f t="shared" si="80"/>
        <v>#DIV/0!</v>
      </c>
      <c r="L848" s="319">
        <f t="shared" si="81"/>
        <v>-33</v>
      </c>
      <c r="M848" s="332">
        <f t="shared" si="82"/>
        <v>-1</v>
      </c>
      <c r="N848" s="331"/>
      <c r="O848" s="285"/>
      <c r="P848" s="285"/>
      <c r="Q848" s="319"/>
      <c r="R848" s="334"/>
    </row>
    <row r="849" ht="14.25" customHeight="1" outlineLevel="1">
      <c r="A849" s="327" t="s">
        <v>846</v>
      </c>
      <c r="B849" s="327"/>
      <c r="C849" s="327" t="s">
        <v>846</v>
      </c>
      <c r="D849" s="336"/>
      <c r="E849" s="333" t="s">
        <v>159</v>
      </c>
      <c r="F849" s="339">
        <v>50.0</v>
      </c>
      <c r="G849" s="334">
        <v>219.0</v>
      </c>
      <c r="H849" s="334"/>
      <c r="I849" s="286"/>
      <c r="J849" s="335">
        <v>34.0</v>
      </c>
      <c r="K849" s="332">
        <f t="shared" si="80"/>
        <v>0.1552511416</v>
      </c>
      <c r="L849" s="319">
        <f t="shared" si="81"/>
        <v>-34</v>
      </c>
      <c r="M849" s="332">
        <f t="shared" si="82"/>
        <v>-1</v>
      </c>
      <c r="N849" s="331"/>
      <c r="O849" s="285"/>
      <c r="P849" s="285"/>
      <c r="Q849" s="319"/>
      <c r="R849" s="334"/>
    </row>
    <row r="850" ht="14.25" customHeight="1" outlineLevel="1">
      <c r="B850" s="327"/>
      <c r="D850" s="336"/>
      <c r="E850" s="333" t="s">
        <v>160</v>
      </c>
      <c r="F850" s="339">
        <v>50.0</v>
      </c>
      <c r="G850" s="334">
        <v>219.0</v>
      </c>
      <c r="H850" s="334"/>
      <c r="I850" s="286"/>
      <c r="J850" s="335">
        <v>34.0</v>
      </c>
      <c r="K850" s="332">
        <f t="shared" si="80"/>
        <v>0.1552511416</v>
      </c>
      <c r="L850" s="319">
        <f t="shared" si="81"/>
        <v>-34</v>
      </c>
      <c r="M850" s="332">
        <f t="shared" si="82"/>
        <v>-1</v>
      </c>
      <c r="N850" s="331"/>
      <c r="O850" s="285"/>
      <c r="P850" s="285"/>
      <c r="Q850" s="319"/>
      <c r="R850" s="334"/>
    </row>
    <row r="851" ht="14.25" customHeight="1" outlineLevel="1">
      <c r="B851" s="327"/>
      <c r="D851" s="336"/>
      <c r="E851" s="333" t="s">
        <v>509</v>
      </c>
      <c r="F851" s="339">
        <v>50.0</v>
      </c>
      <c r="G851" s="334">
        <v>229.0</v>
      </c>
      <c r="H851" s="334"/>
      <c r="I851" s="286"/>
      <c r="J851" s="335">
        <v>34.0</v>
      </c>
      <c r="K851" s="332">
        <f t="shared" si="80"/>
        <v>0.1484716157</v>
      </c>
      <c r="L851" s="319">
        <f t="shared" si="81"/>
        <v>-34</v>
      </c>
      <c r="M851" s="332">
        <f t="shared" si="82"/>
        <v>-1</v>
      </c>
      <c r="N851" s="331"/>
      <c r="O851" s="285"/>
      <c r="P851" s="285"/>
      <c r="Q851" s="319"/>
      <c r="R851" s="334"/>
    </row>
    <row r="852" ht="14.25" customHeight="1" outlineLevel="1">
      <c r="B852" s="327"/>
      <c r="D852" s="336"/>
      <c r="E852" s="333" t="s">
        <v>510</v>
      </c>
      <c r="F852" s="339">
        <v>50.0</v>
      </c>
      <c r="G852" s="334">
        <v>229.0</v>
      </c>
      <c r="H852" s="334"/>
      <c r="I852" s="286"/>
      <c r="J852" s="335">
        <v>34.0</v>
      </c>
      <c r="K852" s="332">
        <f t="shared" si="80"/>
        <v>0.1484716157</v>
      </c>
      <c r="L852" s="319">
        <f t="shared" si="81"/>
        <v>-34</v>
      </c>
      <c r="M852" s="332">
        <f t="shared" si="82"/>
        <v>-1</v>
      </c>
      <c r="N852" s="331"/>
      <c r="O852" s="285"/>
      <c r="P852" s="285"/>
      <c r="Q852" s="319"/>
      <c r="R852" s="334"/>
    </row>
    <row r="853" ht="14.25" customHeight="1" outlineLevel="1">
      <c r="B853" s="327"/>
      <c r="C853" s="327"/>
      <c r="D853" s="336"/>
      <c r="E853" s="333" t="s">
        <v>114</v>
      </c>
      <c r="F853" s="339">
        <v>50.0</v>
      </c>
      <c r="G853" s="334"/>
      <c r="H853" s="334"/>
      <c r="I853" s="286"/>
      <c r="J853" s="335">
        <v>34.0</v>
      </c>
      <c r="K853" s="332" t="str">
        <f t="shared" si="80"/>
        <v>#DIV/0!</v>
      </c>
      <c r="L853" s="319">
        <f t="shared" si="81"/>
        <v>-34</v>
      </c>
      <c r="M853" s="332">
        <f t="shared" si="82"/>
        <v>-1</v>
      </c>
      <c r="N853" s="331"/>
      <c r="O853" s="285"/>
      <c r="P853" s="285"/>
      <c r="Q853" s="319"/>
      <c r="R853" s="334"/>
    </row>
    <row r="854" ht="14.25" customHeight="1" outlineLevel="1">
      <c r="A854" s="327" t="s">
        <v>847</v>
      </c>
      <c r="B854" s="327"/>
      <c r="C854" s="327" t="s">
        <v>847</v>
      </c>
      <c r="D854" s="336"/>
      <c r="E854" s="333" t="s">
        <v>159</v>
      </c>
      <c r="F854" s="339">
        <v>50.0</v>
      </c>
      <c r="G854" s="334">
        <v>259.0</v>
      </c>
      <c r="H854" s="334"/>
      <c r="I854" s="286"/>
      <c r="J854" s="335">
        <v>41.0</v>
      </c>
      <c r="K854" s="332">
        <f t="shared" si="80"/>
        <v>0.1583011583</v>
      </c>
      <c r="L854" s="319">
        <f t="shared" si="81"/>
        <v>-41</v>
      </c>
      <c r="M854" s="332">
        <f t="shared" si="82"/>
        <v>-1</v>
      </c>
      <c r="N854" s="331"/>
      <c r="O854" s="285"/>
      <c r="P854" s="285"/>
      <c r="Q854" s="319"/>
      <c r="R854" s="334"/>
    </row>
    <row r="855" ht="14.25" customHeight="1" outlineLevel="1">
      <c r="B855" s="327"/>
      <c r="D855" s="336"/>
      <c r="E855" s="333" t="s">
        <v>160</v>
      </c>
      <c r="F855" s="339">
        <v>50.0</v>
      </c>
      <c r="G855" s="334">
        <v>259.0</v>
      </c>
      <c r="H855" s="334"/>
      <c r="I855" s="286"/>
      <c r="J855" s="335">
        <v>41.0</v>
      </c>
      <c r="K855" s="332">
        <f t="shared" si="80"/>
        <v>0.1583011583</v>
      </c>
      <c r="L855" s="319">
        <f t="shared" si="81"/>
        <v>-41</v>
      </c>
      <c r="M855" s="332">
        <f t="shared" si="82"/>
        <v>-1</v>
      </c>
      <c r="N855" s="331"/>
      <c r="O855" s="285"/>
      <c r="P855" s="285"/>
      <c r="Q855" s="319"/>
      <c r="R855" s="334"/>
    </row>
    <row r="856" ht="14.25" customHeight="1" outlineLevel="1">
      <c r="B856" s="327"/>
      <c r="D856" s="336"/>
      <c r="E856" s="333" t="s">
        <v>509</v>
      </c>
      <c r="F856" s="339">
        <v>50.0</v>
      </c>
      <c r="G856" s="334">
        <v>269.0</v>
      </c>
      <c r="H856" s="334"/>
      <c r="I856" s="286"/>
      <c r="J856" s="335">
        <v>41.0</v>
      </c>
      <c r="K856" s="332">
        <f t="shared" si="80"/>
        <v>0.1524163569</v>
      </c>
      <c r="L856" s="319">
        <f t="shared" si="81"/>
        <v>-41</v>
      </c>
      <c r="M856" s="332">
        <f t="shared" si="82"/>
        <v>-1</v>
      </c>
      <c r="N856" s="331"/>
      <c r="O856" s="285"/>
      <c r="P856" s="285"/>
      <c r="Q856" s="319"/>
      <c r="R856" s="334"/>
    </row>
    <row r="857" ht="14.25" customHeight="1" outlineLevel="1">
      <c r="B857" s="327"/>
      <c r="D857" s="336"/>
      <c r="E857" s="333" t="s">
        <v>510</v>
      </c>
      <c r="F857" s="339">
        <v>50.0</v>
      </c>
      <c r="G857" s="334">
        <v>269.0</v>
      </c>
      <c r="H857" s="334"/>
      <c r="I857" s="286"/>
      <c r="J857" s="335">
        <v>41.0</v>
      </c>
      <c r="K857" s="332">
        <f t="shared" si="80"/>
        <v>0.1524163569</v>
      </c>
      <c r="L857" s="319">
        <f t="shared" si="81"/>
        <v>-41</v>
      </c>
      <c r="M857" s="332">
        <f t="shared" si="82"/>
        <v>-1</v>
      </c>
      <c r="N857" s="331"/>
      <c r="O857" s="285"/>
      <c r="P857" s="285"/>
      <c r="Q857" s="319"/>
      <c r="R857" s="334"/>
    </row>
    <row r="858" ht="14.25" customHeight="1" outlineLevel="1">
      <c r="B858" s="327"/>
      <c r="C858" s="327"/>
      <c r="D858" s="336"/>
      <c r="E858" s="333" t="s">
        <v>114</v>
      </c>
      <c r="F858" s="339">
        <v>50.0</v>
      </c>
      <c r="G858" s="334"/>
      <c r="H858" s="334"/>
      <c r="I858" s="286"/>
      <c r="J858" s="335">
        <v>41.0</v>
      </c>
      <c r="K858" s="332" t="str">
        <f t="shared" si="80"/>
        <v>#DIV/0!</v>
      </c>
      <c r="L858" s="319">
        <f t="shared" si="81"/>
        <v>-41</v>
      </c>
      <c r="M858" s="332">
        <f t="shared" si="82"/>
        <v>-1</v>
      </c>
      <c r="N858" s="331"/>
      <c r="O858" s="285"/>
      <c r="P858" s="285"/>
      <c r="Q858" s="319"/>
      <c r="R858" s="334"/>
    </row>
    <row r="859" ht="14.25" customHeight="1" outlineLevel="1">
      <c r="A859" s="327" t="s">
        <v>848</v>
      </c>
      <c r="B859" s="327"/>
      <c r="C859" s="327" t="s">
        <v>848</v>
      </c>
      <c r="D859" s="336"/>
      <c r="E859" s="333" t="s">
        <v>159</v>
      </c>
      <c r="F859" s="339">
        <v>50.0</v>
      </c>
      <c r="G859" s="334">
        <v>429.0</v>
      </c>
      <c r="H859" s="334">
        <v>379.0</v>
      </c>
      <c r="I859" s="286" t="str">
        <f>G859/R859</f>
        <v>#DIV/0!</v>
      </c>
      <c r="J859" s="335">
        <v>77.0</v>
      </c>
      <c r="K859" s="332">
        <f t="shared" si="80"/>
        <v>0.1794871795</v>
      </c>
      <c r="L859" s="319">
        <f t="shared" si="81"/>
        <v>-77</v>
      </c>
      <c r="M859" s="332">
        <f t="shared" si="82"/>
        <v>-1</v>
      </c>
      <c r="N859" s="331"/>
      <c r="O859" s="285" t="s">
        <v>112</v>
      </c>
      <c r="P859" s="285" t="s">
        <v>112</v>
      </c>
      <c r="Q859" s="319"/>
      <c r="R859" s="334"/>
    </row>
    <row r="860" ht="14.25" customHeight="1" outlineLevel="1">
      <c r="B860" s="327"/>
      <c r="D860" s="336"/>
      <c r="E860" s="333" t="s">
        <v>160</v>
      </c>
      <c r="F860" s="339">
        <v>50.0</v>
      </c>
      <c r="G860" s="334">
        <v>429.0</v>
      </c>
      <c r="H860" s="334">
        <v>349.0</v>
      </c>
      <c r="I860" s="286"/>
      <c r="J860" s="335">
        <v>77.0</v>
      </c>
      <c r="K860" s="332">
        <f t="shared" si="80"/>
        <v>0.1794871795</v>
      </c>
      <c r="L860" s="319">
        <f t="shared" si="81"/>
        <v>-77</v>
      </c>
      <c r="M860" s="332">
        <f t="shared" si="82"/>
        <v>-1</v>
      </c>
      <c r="N860" s="331"/>
      <c r="O860" s="285"/>
      <c r="P860" s="285"/>
      <c r="Q860" s="319"/>
      <c r="R860" s="334"/>
    </row>
    <row r="861" ht="14.25" customHeight="1" outlineLevel="1">
      <c r="B861" s="327"/>
      <c r="D861" s="336"/>
      <c r="E861" s="333" t="s">
        <v>509</v>
      </c>
      <c r="F861" s="339">
        <v>50.0</v>
      </c>
      <c r="G861" s="334">
        <v>449.0</v>
      </c>
      <c r="H861" s="334">
        <v>389.0</v>
      </c>
      <c r="I861" s="286"/>
      <c r="J861" s="335">
        <v>77.0</v>
      </c>
      <c r="K861" s="332">
        <f t="shared" si="80"/>
        <v>0.1714922049</v>
      </c>
      <c r="L861" s="319">
        <f t="shared" si="81"/>
        <v>-77</v>
      </c>
      <c r="M861" s="332">
        <f t="shared" si="82"/>
        <v>-1</v>
      </c>
      <c r="N861" s="331"/>
      <c r="O861" s="285"/>
      <c r="P861" s="285"/>
      <c r="Q861" s="319"/>
      <c r="R861" s="334"/>
    </row>
    <row r="862" ht="14.25" customHeight="1" outlineLevel="1">
      <c r="B862" s="327"/>
      <c r="D862" s="336"/>
      <c r="E862" s="333" t="s">
        <v>510</v>
      </c>
      <c r="F862" s="339">
        <v>50.0</v>
      </c>
      <c r="G862" s="334">
        <v>449.0</v>
      </c>
      <c r="H862" s="334">
        <v>389.0</v>
      </c>
      <c r="I862" s="286"/>
      <c r="J862" s="335">
        <v>77.0</v>
      </c>
      <c r="K862" s="332">
        <f t="shared" si="80"/>
        <v>0.1714922049</v>
      </c>
      <c r="L862" s="319">
        <f t="shared" si="81"/>
        <v>-77</v>
      </c>
      <c r="M862" s="332">
        <f t="shared" si="82"/>
        <v>-1</v>
      </c>
      <c r="N862" s="331"/>
      <c r="O862" s="285"/>
      <c r="P862" s="285"/>
      <c r="Q862" s="319"/>
      <c r="R862" s="334"/>
    </row>
    <row r="863" ht="14.25" customHeight="1" outlineLevel="1">
      <c r="B863" s="327"/>
      <c r="C863" s="327"/>
      <c r="D863" s="336"/>
      <c r="E863" s="333" t="s">
        <v>114</v>
      </c>
      <c r="F863" s="339">
        <v>50.0</v>
      </c>
      <c r="G863" s="334"/>
      <c r="H863" s="334"/>
      <c r="I863" s="286"/>
      <c r="J863" s="335">
        <v>77.0</v>
      </c>
      <c r="K863" s="332" t="str">
        <f t="shared" si="80"/>
        <v>#DIV/0!</v>
      </c>
      <c r="L863" s="319">
        <f t="shared" si="81"/>
        <v>-77</v>
      </c>
      <c r="M863" s="332">
        <f t="shared" si="82"/>
        <v>-1</v>
      </c>
      <c r="N863" s="331"/>
      <c r="O863" s="285"/>
      <c r="P863" s="285"/>
      <c r="Q863" s="319"/>
      <c r="R863" s="334"/>
    </row>
    <row r="864" ht="14.25" customHeight="1" outlineLevel="1">
      <c r="A864" s="327" t="s">
        <v>849</v>
      </c>
      <c r="B864" s="327"/>
      <c r="C864" s="327" t="s">
        <v>849</v>
      </c>
      <c r="D864" s="336"/>
      <c r="E864" s="333" t="s">
        <v>159</v>
      </c>
      <c r="F864" s="339">
        <v>50.0</v>
      </c>
      <c r="G864" s="334">
        <v>1199.0</v>
      </c>
      <c r="H864" s="334"/>
      <c r="I864" s="286"/>
      <c r="J864" s="335">
        <v>221.0</v>
      </c>
      <c r="K864" s="332">
        <f t="shared" si="80"/>
        <v>0.1843202669</v>
      </c>
      <c r="L864" s="319">
        <f t="shared" si="81"/>
        <v>-221</v>
      </c>
      <c r="M864" s="332">
        <f t="shared" si="82"/>
        <v>-1</v>
      </c>
      <c r="N864" s="331"/>
      <c r="O864" s="285"/>
      <c r="P864" s="285"/>
      <c r="Q864" s="319"/>
      <c r="R864" s="334"/>
    </row>
    <row r="865" ht="14.25" customHeight="1" outlineLevel="1">
      <c r="B865" s="327"/>
      <c r="D865" s="336"/>
      <c r="E865" s="333" t="s">
        <v>160</v>
      </c>
      <c r="F865" s="339">
        <v>50.0</v>
      </c>
      <c r="G865" s="334">
        <v>1199.0</v>
      </c>
      <c r="H865" s="334"/>
      <c r="I865" s="286"/>
      <c r="J865" s="335">
        <v>221.0</v>
      </c>
      <c r="K865" s="332">
        <f t="shared" si="80"/>
        <v>0.1843202669</v>
      </c>
      <c r="L865" s="319">
        <f t="shared" si="81"/>
        <v>-221</v>
      </c>
      <c r="M865" s="332">
        <f t="shared" si="82"/>
        <v>-1</v>
      </c>
      <c r="N865" s="331"/>
      <c r="O865" s="285"/>
      <c r="P865" s="285"/>
      <c r="Q865" s="319"/>
      <c r="R865" s="334"/>
    </row>
    <row r="866" ht="14.25" customHeight="1" outlineLevel="1">
      <c r="B866" s="327"/>
      <c r="D866" s="336"/>
      <c r="E866" s="333" t="s">
        <v>509</v>
      </c>
      <c r="F866" s="339">
        <v>50.0</v>
      </c>
      <c r="G866" s="334">
        <v>1299.0</v>
      </c>
      <c r="H866" s="334"/>
      <c r="I866" s="286"/>
      <c r="J866" s="335">
        <v>221.0</v>
      </c>
      <c r="K866" s="332">
        <f t="shared" si="80"/>
        <v>0.1701308699</v>
      </c>
      <c r="L866" s="319">
        <f t="shared" si="81"/>
        <v>-221</v>
      </c>
      <c r="M866" s="332">
        <f t="shared" si="82"/>
        <v>-1</v>
      </c>
      <c r="N866" s="331"/>
      <c r="O866" s="285"/>
      <c r="P866" s="285"/>
      <c r="Q866" s="319"/>
      <c r="R866" s="334"/>
    </row>
    <row r="867" ht="14.25" customHeight="1" outlineLevel="1">
      <c r="B867" s="327"/>
      <c r="D867" s="336"/>
      <c r="E867" s="333" t="s">
        <v>510</v>
      </c>
      <c r="F867" s="339">
        <v>50.0</v>
      </c>
      <c r="G867" s="334">
        <v>1299.0</v>
      </c>
      <c r="H867" s="334"/>
      <c r="I867" s="286"/>
      <c r="J867" s="335">
        <v>221.0</v>
      </c>
      <c r="K867" s="332">
        <f t="shared" si="80"/>
        <v>0.1701308699</v>
      </c>
      <c r="L867" s="319">
        <f t="shared" si="81"/>
        <v>-221</v>
      </c>
      <c r="M867" s="332">
        <f t="shared" si="82"/>
        <v>-1</v>
      </c>
      <c r="N867" s="331"/>
      <c r="O867" s="285"/>
      <c r="P867" s="285"/>
      <c r="Q867" s="319"/>
      <c r="R867" s="334"/>
    </row>
    <row r="868" ht="14.25" customHeight="1" outlineLevel="1">
      <c r="B868" s="327"/>
      <c r="C868" s="327"/>
      <c r="D868" s="336"/>
      <c r="E868" s="333" t="s">
        <v>114</v>
      </c>
      <c r="F868" s="339">
        <v>50.0</v>
      </c>
      <c r="G868" s="334"/>
      <c r="H868" s="334"/>
      <c r="I868" s="286"/>
      <c r="J868" s="335">
        <v>221.0</v>
      </c>
      <c r="K868" s="332" t="str">
        <f t="shared" si="80"/>
        <v>#DIV/0!</v>
      </c>
      <c r="L868" s="319">
        <f t="shared" si="81"/>
        <v>-221</v>
      </c>
      <c r="M868" s="332">
        <f t="shared" si="82"/>
        <v>-1</v>
      </c>
      <c r="N868" s="331"/>
      <c r="O868" s="285"/>
      <c r="P868" s="285"/>
      <c r="Q868" s="319"/>
      <c r="R868" s="334"/>
    </row>
    <row r="869" ht="14.25" customHeight="1">
      <c r="A869" s="288" t="s">
        <v>850</v>
      </c>
      <c r="B869" s="289"/>
      <c r="C869" s="288" t="s">
        <v>850</v>
      </c>
      <c r="D869" s="291"/>
      <c r="E869" s="322" t="s">
        <v>159</v>
      </c>
      <c r="F869" s="323"/>
      <c r="G869" s="294"/>
      <c r="H869" s="294"/>
      <c r="I869" s="324"/>
      <c r="J869" s="325"/>
      <c r="K869" s="297"/>
      <c r="L869" s="326"/>
      <c r="M869" s="297"/>
      <c r="N869" s="299"/>
      <c r="O869" s="290"/>
      <c r="P869" s="290"/>
      <c r="Q869" s="300"/>
      <c r="R869" s="301"/>
    </row>
    <row r="870" ht="14.25" customHeight="1">
      <c r="B870" s="289"/>
      <c r="D870" s="291"/>
      <c r="E870" s="322" t="s">
        <v>160</v>
      </c>
      <c r="F870" s="323"/>
      <c r="G870" s="294"/>
      <c r="H870" s="294"/>
      <c r="I870" s="324"/>
      <c r="J870" s="325"/>
      <c r="K870" s="297"/>
      <c r="L870" s="326"/>
      <c r="M870" s="297"/>
      <c r="N870" s="299"/>
      <c r="O870" s="290"/>
      <c r="P870" s="290"/>
      <c r="Q870" s="300"/>
      <c r="R870" s="301"/>
    </row>
    <row r="871" ht="14.25" customHeight="1">
      <c r="B871" s="289"/>
      <c r="D871" s="291"/>
      <c r="E871" s="322" t="s">
        <v>800</v>
      </c>
      <c r="F871" s="323"/>
      <c r="G871" s="294"/>
      <c r="H871" s="294"/>
      <c r="I871" s="324"/>
      <c r="J871" s="325"/>
      <c r="K871" s="297"/>
      <c r="L871" s="326"/>
      <c r="M871" s="297"/>
      <c r="N871" s="299"/>
      <c r="O871" s="290"/>
      <c r="P871" s="290"/>
      <c r="Q871" s="300"/>
      <c r="R871" s="301"/>
    </row>
    <row r="872" ht="14.25" customHeight="1">
      <c r="B872" s="289"/>
      <c r="D872" s="291"/>
      <c r="E872" s="322" t="s">
        <v>510</v>
      </c>
      <c r="F872" s="323"/>
      <c r="G872" s="294"/>
      <c r="H872" s="294"/>
      <c r="I872" s="324"/>
      <c r="J872" s="325"/>
      <c r="K872" s="297"/>
      <c r="L872" s="326"/>
      <c r="M872" s="297"/>
      <c r="N872" s="299"/>
      <c r="O872" s="290"/>
      <c r="P872" s="290"/>
      <c r="Q872" s="300"/>
      <c r="R872" s="301"/>
    </row>
    <row r="873" ht="14.25" customHeight="1">
      <c r="B873" s="289"/>
      <c r="C873" s="288"/>
      <c r="D873" s="291"/>
      <c r="E873" s="322" t="s">
        <v>114</v>
      </c>
      <c r="F873" s="323"/>
      <c r="G873" s="294"/>
      <c r="H873" s="294"/>
      <c r="I873" s="324"/>
      <c r="J873" s="325"/>
      <c r="K873" s="297"/>
      <c r="L873" s="326"/>
      <c r="M873" s="297"/>
      <c r="N873" s="299"/>
      <c r="O873" s="290"/>
      <c r="P873" s="290"/>
      <c r="Q873" s="300"/>
      <c r="R873" s="301"/>
    </row>
    <row r="874" ht="14.25" customHeight="1" outlineLevel="1">
      <c r="A874" s="327" t="s">
        <v>851</v>
      </c>
      <c r="B874" s="327"/>
      <c r="C874" s="327" t="s">
        <v>851</v>
      </c>
      <c r="D874" s="336"/>
      <c r="E874" s="333" t="s">
        <v>159</v>
      </c>
      <c r="F874" s="337">
        <v>50.0</v>
      </c>
      <c r="G874" s="341">
        <v>749.0</v>
      </c>
      <c r="H874" s="341">
        <v>649.0</v>
      </c>
      <c r="I874" s="286" t="str">
        <f>G874/R874</f>
        <v>#DIV/0!</v>
      </c>
      <c r="J874" s="335">
        <v>192.0</v>
      </c>
      <c r="K874" s="332">
        <f t="shared" ref="K874:K883" si="83">J874/G874</f>
        <v>0.2563417891</v>
      </c>
      <c r="L874" s="319">
        <f t="shared" ref="L874:L883" si="84">Q874-J874</f>
        <v>-192</v>
      </c>
      <c r="M874" s="332">
        <f t="shared" ref="M874:M883" si="85">Q874/J874-1</f>
        <v>-1</v>
      </c>
      <c r="N874" s="331"/>
      <c r="O874" s="285" t="s">
        <v>112</v>
      </c>
      <c r="P874" s="285" t="s">
        <v>112</v>
      </c>
      <c r="Q874" s="300"/>
      <c r="R874" s="341"/>
    </row>
    <row r="875" ht="14.25" customHeight="1" outlineLevel="1">
      <c r="B875" s="327"/>
      <c r="D875" s="336"/>
      <c r="E875" s="333" t="s">
        <v>160</v>
      </c>
      <c r="F875" s="337">
        <v>50.0</v>
      </c>
      <c r="G875" s="341">
        <v>749.0</v>
      </c>
      <c r="H875" s="341">
        <v>599.0</v>
      </c>
      <c r="I875" s="286"/>
      <c r="J875" s="335">
        <v>192.0</v>
      </c>
      <c r="K875" s="332">
        <f t="shared" si="83"/>
        <v>0.2563417891</v>
      </c>
      <c r="L875" s="319">
        <f t="shared" si="84"/>
        <v>-192</v>
      </c>
      <c r="M875" s="332">
        <f t="shared" si="85"/>
        <v>-1</v>
      </c>
      <c r="N875" s="331"/>
      <c r="O875" s="285"/>
      <c r="P875" s="285"/>
      <c r="Q875" s="300"/>
      <c r="R875" s="341"/>
    </row>
    <row r="876" ht="14.25" customHeight="1" outlineLevel="1">
      <c r="B876" s="327"/>
      <c r="D876" s="336"/>
      <c r="E876" s="333" t="s">
        <v>509</v>
      </c>
      <c r="F876" s="337">
        <v>50.0</v>
      </c>
      <c r="G876" s="341">
        <v>799.0</v>
      </c>
      <c r="H876" s="341">
        <v>699.0</v>
      </c>
      <c r="I876" s="286"/>
      <c r="J876" s="335">
        <v>192.0</v>
      </c>
      <c r="K876" s="332">
        <f t="shared" si="83"/>
        <v>0.2403003755</v>
      </c>
      <c r="L876" s="319">
        <f t="shared" si="84"/>
        <v>-192</v>
      </c>
      <c r="M876" s="332">
        <f t="shared" si="85"/>
        <v>-1</v>
      </c>
      <c r="N876" s="331"/>
      <c r="O876" s="285"/>
      <c r="P876" s="285"/>
      <c r="Q876" s="300"/>
      <c r="R876" s="341"/>
    </row>
    <row r="877" ht="14.25" customHeight="1" outlineLevel="1">
      <c r="B877" s="327"/>
      <c r="D877" s="336"/>
      <c r="E877" s="333" t="s">
        <v>510</v>
      </c>
      <c r="F877" s="337">
        <v>50.0</v>
      </c>
      <c r="G877" s="341">
        <v>799.0</v>
      </c>
      <c r="H877" s="341">
        <v>699.0</v>
      </c>
      <c r="I877" s="286"/>
      <c r="J877" s="335">
        <v>192.0</v>
      </c>
      <c r="K877" s="332">
        <f t="shared" si="83"/>
        <v>0.2403003755</v>
      </c>
      <c r="L877" s="319">
        <f t="shared" si="84"/>
        <v>-192</v>
      </c>
      <c r="M877" s="332">
        <f t="shared" si="85"/>
        <v>-1</v>
      </c>
      <c r="N877" s="331"/>
      <c r="O877" s="285"/>
      <c r="P877" s="285"/>
      <c r="Q877" s="300"/>
      <c r="R877" s="341"/>
    </row>
    <row r="878" ht="14.25" customHeight="1" outlineLevel="1">
      <c r="B878" s="327"/>
      <c r="C878" s="327"/>
      <c r="D878" s="336"/>
      <c r="E878" s="333" t="s">
        <v>114</v>
      </c>
      <c r="F878" s="337">
        <v>50.0</v>
      </c>
      <c r="G878" s="341"/>
      <c r="H878" s="341"/>
      <c r="I878" s="286"/>
      <c r="J878" s="335">
        <v>192.0</v>
      </c>
      <c r="K878" s="332" t="str">
        <f t="shared" si="83"/>
        <v>#DIV/0!</v>
      </c>
      <c r="L878" s="319">
        <f t="shared" si="84"/>
        <v>-192</v>
      </c>
      <c r="M878" s="332">
        <f t="shared" si="85"/>
        <v>-1</v>
      </c>
      <c r="N878" s="331"/>
      <c r="O878" s="285"/>
      <c r="P878" s="285"/>
      <c r="Q878" s="300"/>
      <c r="R878" s="341"/>
    </row>
    <row r="879" ht="14.25" customHeight="1" outlineLevel="1">
      <c r="A879" s="327" t="s">
        <v>852</v>
      </c>
      <c r="B879" s="327"/>
      <c r="C879" s="327" t="s">
        <v>852</v>
      </c>
      <c r="D879" s="336"/>
      <c r="E879" s="333" t="s">
        <v>159</v>
      </c>
      <c r="F879" s="337">
        <v>50.0</v>
      </c>
      <c r="G879" s="341">
        <v>699.0</v>
      </c>
      <c r="H879" s="341"/>
      <c r="I879" s="286"/>
      <c r="J879" s="335">
        <v>119.0</v>
      </c>
      <c r="K879" s="332">
        <f t="shared" si="83"/>
        <v>0.1702432046</v>
      </c>
      <c r="L879" s="319">
        <f t="shared" si="84"/>
        <v>-119</v>
      </c>
      <c r="M879" s="332">
        <f t="shared" si="85"/>
        <v>-1</v>
      </c>
      <c r="N879" s="331"/>
      <c r="O879" s="285"/>
      <c r="P879" s="285"/>
      <c r="Q879" s="300"/>
      <c r="R879" s="341"/>
    </row>
    <row r="880" ht="14.25" customHeight="1" outlineLevel="1">
      <c r="B880" s="327"/>
      <c r="D880" s="336"/>
      <c r="E880" s="333" t="s">
        <v>160</v>
      </c>
      <c r="F880" s="337">
        <v>50.0</v>
      </c>
      <c r="G880" s="341">
        <v>699.0</v>
      </c>
      <c r="H880" s="341"/>
      <c r="I880" s="286"/>
      <c r="J880" s="335">
        <v>119.0</v>
      </c>
      <c r="K880" s="332">
        <f t="shared" si="83"/>
        <v>0.1702432046</v>
      </c>
      <c r="L880" s="319">
        <f t="shared" si="84"/>
        <v>-119</v>
      </c>
      <c r="M880" s="332">
        <f t="shared" si="85"/>
        <v>-1</v>
      </c>
      <c r="N880" s="331"/>
      <c r="O880" s="285"/>
      <c r="P880" s="285"/>
      <c r="Q880" s="300"/>
      <c r="R880" s="341"/>
    </row>
    <row r="881" ht="14.25" customHeight="1" outlineLevel="1">
      <c r="B881" s="327"/>
      <c r="D881" s="336"/>
      <c r="E881" s="333" t="s">
        <v>509</v>
      </c>
      <c r="F881" s="337">
        <v>50.0</v>
      </c>
      <c r="G881" s="341">
        <v>699.0</v>
      </c>
      <c r="H881" s="341"/>
      <c r="I881" s="286"/>
      <c r="J881" s="335">
        <v>119.0</v>
      </c>
      <c r="K881" s="332">
        <f t="shared" si="83"/>
        <v>0.1702432046</v>
      </c>
      <c r="L881" s="319">
        <f t="shared" si="84"/>
        <v>-119</v>
      </c>
      <c r="M881" s="332">
        <f t="shared" si="85"/>
        <v>-1</v>
      </c>
      <c r="N881" s="331"/>
      <c r="O881" s="285"/>
      <c r="P881" s="285"/>
      <c r="Q881" s="300"/>
      <c r="R881" s="341"/>
    </row>
    <row r="882" ht="14.25" customHeight="1" outlineLevel="1">
      <c r="B882" s="327"/>
      <c r="D882" s="336"/>
      <c r="E882" s="333" t="s">
        <v>510</v>
      </c>
      <c r="F882" s="337">
        <v>50.0</v>
      </c>
      <c r="G882" s="341">
        <v>699.0</v>
      </c>
      <c r="H882" s="341"/>
      <c r="I882" s="286"/>
      <c r="J882" s="335">
        <v>119.0</v>
      </c>
      <c r="K882" s="332">
        <f t="shared" si="83"/>
        <v>0.1702432046</v>
      </c>
      <c r="L882" s="319">
        <f t="shared" si="84"/>
        <v>-119</v>
      </c>
      <c r="M882" s="332">
        <f t="shared" si="85"/>
        <v>-1</v>
      </c>
      <c r="N882" s="331"/>
      <c r="O882" s="285"/>
      <c r="P882" s="285"/>
      <c r="Q882" s="300"/>
      <c r="R882" s="341"/>
    </row>
    <row r="883" ht="14.25" customHeight="1" outlineLevel="1">
      <c r="B883" s="327"/>
      <c r="C883" s="327"/>
      <c r="D883" s="336"/>
      <c r="E883" s="333" t="s">
        <v>114</v>
      </c>
      <c r="F883" s="337">
        <v>50.0</v>
      </c>
      <c r="G883" s="341"/>
      <c r="H883" s="341"/>
      <c r="I883" s="286"/>
      <c r="J883" s="335">
        <v>119.0</v>
      </c>
      <c r="K883" s="332" t="str">
        <f t="shared" si="83"/>
        <v>#DIV/0!</v>
      </c>
      <c r="L883" s="319">
        <f t="shared" si="84"/>
        <v>-119</v>
      </c>
      <c r="M883" s="332">
        <f t="shared" si="85"/>
        <v>-1</v>
      </c>
      <c r="N883" s="331"/>
      <c r="O883" s="285"/>
      <c r="P883" s="285"/>
      <c r="Q883" s="300"/>
      <c r="R883" s="341"/>
    </row>
    <row r="884" ht="14.25" customHeight="1">
      <c r="A884" s="288" t="s">
        <v>853</v>
      </c>
      <c r="B884" s="289"/>
      <c r="C884" s="288" t="s">
        <v>854</v>
      </c>
      <c r="D884" s="291"/>
      <c r="E884" s="322" t="s">
        <v>159</v>
      </c>
      <c r="F884" s="323"/>
      <c r="G884" s="294"/>
      <c r="H884" s="294"/>
      <c r="I884" s="324"/>
      <c r="J884" s="325"/>
      <c r="K884" s="297"/>
      <c r="L884" s="326"/>
      <c r="M884" s="297"/>
      <c r="N884" s="299"/>
      <c r="O884" s="290"/>
      <c r="P884" s="290"/>
      <c r="Q884" s="300"/>
      <c r="R884" s="301"/>
    </row>
    <row r="885" ht="14.25" customHeight="1">
      <c r="B885" s="289"/>
      <c r="D885" s="291"/>
      <c r="E885" s="322" t="s">
        <v>160</v>
      </c>
      <c r="F885" s="323"/>
      <c r="G885" s="294"/>
      <c r="H885" s="294"/>
      <c r="I885" s="324"/>
      <c r="J885" s="325"/>
      <c r="K885" s="297"/>
      <c r="L885" s="326"/>
      <c r="M885" s="297"/>
      <c r="N885" s="299"/>
      <c r="O885" s="290"/>
      <c r="P885" s="290"/>
      <c r="Q885" s="300"/>
      <c r="R885" s="301"/>
    </row>
    <row r="886" ht="14.25" customHeight="1">
      <c r="B886" s="289"/>
      <c r="D886" s="291"/>
      <c r="E886" s="322" t="s">
        <v>800</v>
      </c>
      <c r="F886" s="323"/>
      <c r="G886" s="294"/>
      <c r="H886" s="294"/>
      <c r="I886" s="324"/>
      <c r="J886" s="325"/>
      <c r="K886" s="297"/>
      <c r="L886" s="326"/>
      <c r="M886" s="297"/>
      <c r="N886" s="299"/>
      <c r="O886" s="290"/>
      <c r="P886" s="290"/>
      <c r="Q886" s="300"/>
      <c r="R886" s="301"/>
    </row>
    <row r="887" ht="14.25" customHeight="1">
      <c r="B887" s="289"/>
      <c r="D887" s="291"/>
      <c r="E887" s="322" t="s">
        <v>510</v>
      </c>
      <c r="F887" s="323"/>
      <c r="G887" s="294"/>
      <c r="H887" s="294"/>
      <c r="I887" s="324"/>
      <c r="J887" s="325"/>
      <c r="K887" s="297"/>
      <c r="L887" s="326"/>
      <c r="M887" s="297"/>
      <c r="N887" s="299"/>
      <c r="O887" s="290"/>
      <c r="P887" s="290"/>
      <c r="Q887" s="300"/>
      <c r="R887" s="301"/>
    </row>
    <row r="888" ht="14.25" customHeight="1">
      <c r="B888" s="289"/>
      <c r="C888" s="288"/>
      <c r="D888" s="291"/>
      <c r="E888" s="322" t="s">
        <v>114</v>
      </c>
      <c r="F888" s="323"/>
      <c r="G888" s="294"/>
      <c r="H888" s="294"/>
      <c r="I888" s="324"/>
      <c r="J888" s="325"/>
      <c r="K888" s="297"/>
      <c r="L888" s="326"/>
      <c r="M888" s="297"/>
      <c r="N888" s="299"/>
      <c r="O888" s="290"/>
      <c r="P888" s="290"/>
      <c r="Q888" s="300"/>
      <c r="R888" s="301"/>
    </row>
    <row r="889" ht="14.25" customHeight="1" outlineLevel="1">
      <c r="A889" s="327" t="s">
        <v>855</v>
      </c>
      <c r="B889" s="327"/>
      <c r="C889" s="327" t="s">
        <v>855</v>
      </c>
      <c r="D889" s="336"/>
      <c r="E889" s="333" t="s">
        <v>159</v>
      </c>
      <c r="F889" s="339">
        <v>50.0</v>
      </c>
      <c r="G889" s="311">
        <v>399.0</v>
      </c>
      <c r="H889" s="311">
        <v>399.0</v>
      </c>
      <c r="I889" s="312" t="str">
        <f>G889/R889</f>
        <v>#DIV/0!</v>
      </c>
      <c r="J889" s="313">
        <v>67.0</v>
      </c>
      <c r="K889" s="314">
        <f t="shared" ref="K889:K913" si="86">J889/G889</f>
        <v>0.1679197995</v>
      </c>
      <c r="L889" s="315">
        <f t="shared" ref="L889:L913" si="87">Q889-J889</f>
        <v>-67</v>
      </c>
      <c r="M889" s="316">
        <f t="shared" ref="M889:M913" si="88">Q889/J889-1</f>
        <v>-1</v>
      </c>
      <c r="N889" s="331"/>
      <c r="O889" s="285" t="s">
        <v>112</v>
      </c>
      <c r="P889" s="285" t="s">
        <v>112</v>
      </c>
      <c r="Q889" s="319"/>
      <c r="R889" s="311"/>
    </row>
    <row r="890" ht="14.25" customHeight="1" outlineLevel="1">
      <c r="B890" s="327"/>
      <c r="D890" s="336"/>
      <c r="E890" s="333" t="s">
        <v>160</v>
      </c>
      <c r="F890" s="339">
        <v>50.0</v>
      </c>
      <c r="G890" s="311">
        <v>389.0</v>
      </c>
      <c r="H890" s="311">
        <v>389.0</v>
      </c>
      <c r="I890" s="312"/>
      <c r="J890" s="313">
        <v>67.0</v>
      </c>
      <c r="K890" s="314">
        <f t="shared" si="86"/>
        <v>0.1722365039</v>
      </c>
      <c r="L890" s="315">
        <f t="shared" si="87"/>
        <v>-67</v>
      </c>
      <c r="M890" s="316">
        <f t="shared" si="88"/>
        <v>-1</v>
      </c>
      <c r="N890" s="331"/>
      <c r="O890" s="285"/>
      <c r="P890" s="285"/>
      <c r="Q890" s="319"/>
      <c r="R890" s="311"/>
    </row>
    <row r="891" ht="14.25" customHeight="1" outlineLevel="1">
      <c r="B891" s="327"/>
      <c r="D891" s="336"/>
      <c r="E891" s="333" t="s">
        <v>509</v>
      </c>
      <c r="F891" s="339">
        <v>50.0</v>
      </c>
      <c r="G891" s="311">
        <v>429.0</v>
      </c>
      <c r="H891" s="311">
        <v>429.0</v>
      </c>
      <c r="I891" s="312"/>
      <c r="J891" s="313">
        <v>67.0</v>
      </c>
      <c r="K891" s="314">
        <f t="shared" si="86"/>
        <v>0.1561771562</v>
      </c>
      <c r="L891" s="315">
        <f t="shared" si="87"/>
        <v>-67</v>
      </c>
      <c r="M891" s="316">
        <f t="shared" si="88"/>
        <v>-1</v>
      </c>
      <c r="N891" s="331"/>
      <c r="O891" s="285"/>
      <c r="P891" s="285"/>
      <c r="Q891" s="319"/>
      <c r="R891" s="311"/>
    </row>
    <row r="892" ht="14.25" customHeight="1" outlineLevel="1">
      <c r="B892" s="327"/>
      <c r="D892" s="336"/>
      <c r="E892" s="333" t="s">
        <v>510</v>
      </c>
      <c r="F892" s="339">
        <v>50.0</v>
      </c>
      <c r="G892" s="311">
        <v>429.0</v>
      </c>
      <c r="H892" s="311">
        <v>429.0</v>
      </c>
      <c r="I892" s="312"/>
      <c r="J892" s="313">
        <v>67.0</v>
      </c>
      <c r="K892" s="314">
        <f t="shared" si="86"/>
        <v>0.1561771562</v>
      </c>
      <c r="L892" s="315">
        <f t="shared" si="87"/>
        <v>-67</v>
      </c>
      <c r="M892" s="316">
        <f t="shared" si="88"/>
        <v>-1</v>
      </c>
      <c r="N892" s="331"/>
      <c r="O892" s="285"/>
      <c r="P892" s="285"/>
      <c r="Q892" s="319"/>
      <c r="R892" s="311"/>
    </row>
    <row r="893" ht="14.25" customHeight="1" outlineLevel="1">
      <c r="B893" s="327"/>
      <c r="C893" s="327"/>
      <c r="D893" s="336"/>
      <c r="E893" s="333" t="s">
        <v>114</v>
      </c>
      <c r="F893" s="339">
        <v>50.0</v>
      </c>
      <c r="G893" s="311"/>
      <c r="H893" s="311"/>
      <c r="I893" s="312"/>
      <c r="J893" s="313">
        <v>67.0</v>
      </c>
      <c r="K893" s="314" t="str">
        <f t="shared" si="86"/>
        <v>#DIV/0!</v>
      </c>
      <c r="L893" s="315">
        <f t="shared" si="87"/>
        <v>-67</v>
      </c>
      <c r="M893" s="316">
        <f t="shared" si="88"/>
        <v>-1</v>
      </c>
      <c r="N893" s="331"/>
      <c r="O893" s="285"/>
      <c r="P893" s="285"/>
      <c r="Q893" s="319"/>
      <c r="R893" s="311"/>
    </row>
    <row r="894" ht="14.25" customHeight="1" outlineLevel="1">
      <c r="A894" s="327" t="s">
        <v>856</v>
      </c>
      <c r="B894" s="327"/>
      <c r="C894" s="327" t="s">
        <v>856</v>
      </c>
      <c r="D894" s="336"/>
      <c r="E894" s="333" t="s">
        <v>159</v>
      </c>
      <c r="F894" s="339">
        <v>50.0</v>
      </c>
      <c r="G894" s="311">
        <v>449.0</v>
      </c>
      <c r="H894" s="311">
        <v>449.0</v>
      </c>
      <c r="I894" s="312" t="str">
        <f>G894/R894</f>
        <v>#DIV/0!</v>
      </c>
      <c r="J894" s="313">
        <v>104.0</v>
      </c>
      <c r="K894" s="314">
        <f t="shared" si="86"/>
        <v>0.2316258352</v>
      </c>
      <c r="L894" s="315">
        <f t="shared" si="87"/>
        <v>-104</v>
      </c>
      <c r="M894" s="316">
        <f t="shared" si="88"/>
        <v>-1</v>
      </c>
      <c r="N894" s="331"/>
      <c r="O894" s="285" t="s">
        <v>112</v>
      </c>
      <c r="P894" s="285" t="s">
        <v>112</v>
      </c>
      <c r="Q894" s="319"/>
      <c r="R894" s="311"/>
    </row>
    <row r="895" ht="14.25" customHeight="1" outlineLevel="1">
      <c r="B895" s="327"/>
      <c r="D895" s="336"/>
      <c r="E895" s="333" t="s">
        <v>160</v>
      </c>
      <c r="F895" s="339">
        <v>50.0</v>
      </c>
      <c r="G895" s="311">
        <v>449.0</v>
      </c>
      <c r="H895" s="311">
        <v>429.0</v>
      </c>
      <c r="I895" s="312"/>
      <c r="J895" s="313">
        <v>104.0</v>
      </c>
      <c r="K895" s="314">
        <f t="shared" si="86"/>
        <v>0.2316258352</v>
      </c>
      <c r="L895" s="315">
        <f t="shared" si="87"/>
        <v>-104</v>
      </c>
      <c r="M895" s="316">
        <f t="shared" si="88"/>
        <v>-1</v>
      </c>
      <c r="N895" s="331"/>
      <c r="O895" s="285"/>
      <c r="P895" s="285"/>
      <c r="Q895" s="319"/>
      <c r="R895" s="311"/>
    </row>
    <row r="896" ht="14.25" customHeight="1" outlineLevel="1">
      <c r="B896" s="327"/>
      <c r="D896" s="336"/>
      <c r="E896" s="333" t="s">
        <v>509</v>
      </c>
      <c r="F896" s="339">
        <v>50.0</v>
      </c>
      <c r="G896" s="311">
        <v>479.0</v>
      </c>
      <c r="H896" s="311">
        <v>479.0</v>
      </c>
      <c r="I896" s="312"/>
      <c r="J896" s="313">
        <v>104.0</v>
      </c>
      <c r="K896" s="314">
        <f t="shared" si="86"/>
        <v>0.2171189979</v>
      </c>
      <c r="L896" s="315">
        <f t="shared" si="87"/>
        <v>-104</v>
      </c>
      <c r="M896" s="316">
        <f t="shared" si="88"/>
        <v>-1</v>
      </c>
      <c r="N896" s="331"/>
      <c r="O896" s="285"/>
      <c r="P896" s="285"/>
      <c r="Q896" s="319"/>
      <c r="R896" s="311"/>
    </row>
    <row r="897" ht="14.25" customHeight="1" outlineLevel="1">
      <c r="B897" s="327"/>
      <c r="D897" s="336"/>
      <c r="E897" s="333" t="s">
        <v>510</v>
      </c>
      <c r="F897" s="339">
        <v>50.0</v>
      </c>
      <c r="G897" s="311">
        <v>479.0</v>
      </c>
      <c r="H897" s="311">
        <v>479.0</v>
      </c>
      <c r="I897" s="312"/>
      <c r="J897" s="313">
        <v>104.0</v>
      </c>
      <c r="K897" s="314">
        <f t="shared" si="86"/>
        <v>0.2171189979</v>
      </c>
      <c r="L897" s="315">
        <f t="shared" si="87"/>
        <v>-104</v>
      </c>
      <c r="M897" s="316">
        <f t="shared" si="88"/>
        <v>-1</v>
      </c>
      <c r="N897" s="331"/>
      <c r="O897" s="285"/>
      <c r="P897" s="285"/>
      <c r="Q897" s="319"/>
      <c r="R897" s="311"/>
    </row>
    <row r="898" ht="14.25" customHeight="1" outlineLevel="1">
      <c r="B898" s="327"/>
      <c r="C898" s="327"/>
      <c r="D898" s="336"/>
      <c r="E898" s="333" t="s">
        <v>114</v>
      </c>
      <c r="F898" s="339">
        <v>50.0</v>
      </c>
      <c r="G898" s="311"/>
      <c r="H898" s="311"/>
      <c r="I898" s="312"/>
      <c r="J898" s="313">
        <v>104.0</v>
      </c>
      <c r="K898" s="314" t="str">
        <f t="shared" si="86"/>
        <v>#DIV/0!</v>
      </c>
      <c r="L898" s="315">
        <f t="shared" si="87"/>
        <v>-104</v>
      </c>
      <c r="M898" s="316">
        <f t="shared" si="88"/>
        <v>-1</v>
      </c>
      <c r="N898" s="331"/>
      <c r="O898" s="285"/>
      <c r="P898" s="285"/>
      <c r="Q898" s="319"/>
      <c r="R898" s="311"/>
    </row>
    <row r="899" ht="14.25" customHeight="1" outlineLevel="1">
      <c r="A899" s="327" t="s">
        <v>857</v>
      </c>
      <c r="B899" s="327"/>
      <c r="C899" s="327" t="s">
        <v>857</v>
      </c>
      <c r="D899" s="336"/>
      <c r="E899" s="333" t="s">
        <v>159</v>
      </c>
      <c r="F899" s="339">
        <v>50.0</v>
      </c>
      <c r="G899" s="311">
        <v>549.0</v>
      </c>
      <c r="H899" s="311">
        <v>539.0</v>
      </c>
      <c r="I899" s="312" t="str">
        <f>G899/R899</f>
        <v>#DIV/0!</v>
      </c>
      <c r="J899" s="313">
        <v>121.0</v>
      </c>
      <c r="K899" s="314">
        <f t="shared" si="86"/>
        <v>0.2204007286</v>
      </c>
      <c r="L899" s="315">
        <f t="shared" si="87"/>
        <v>-121</v>
      </c>
      <c r="M899" s="316">
        <f t="shared" si="88"/>
        <v>-1</v>
      </c>
      <c r="N899" s="331"/>
      <c r="O899" s="332" t="s">
        <v>112</v>
      </c>
      <c r="P899" s="332" t="s">
        <v>112</v>
      </c>
      <c r="Q899" s="319"/>
      <c r="R899" s="311"/>
    </row>
    <row r="900" ht="14.25" customHeight="1" outlineLevel="1">
      <c r="B900" s="327"/>
      <c r="D900" s="336"/>
      <c r="E900" s="333" t="s">
        <v>160</v>
      </c>
      <c r="F900" s="339">
        <v>50.0</v>
      </c>
      <c r="G900" s="311">
        <v>549.0</v>
      </c>
      <c r="H900" s="311">
        <v>459.0</v>
      </c>
      <c r="I900" s="312"/>
      <c r="J900" s="313">
        <v>121.0</v>
      </c>
      <c r="K900" s="314">
        <f t="shared" si="86"/>
        <v>0.2204007286</v>
      </c>
      <c r="L900" s="315">
        <f t="shared" si="87"/>
        <v>-121</v>
      </c>
      <c r="M900" s="316">
        <f t="shared" si="88"/>
        <v>-1</v>
      </c>
      <c r="N900" s="331"/>
      <c r="O900" s="332"/>
      <c r="P900" s="332"/>
      <c r="Q900" s="319"/>
      <c r="R900" s="311"/>
    </row>
    <row r="901" ht="14.25" customHeight="1" outlineLevel="1">
      <c r="B901" s="327"/>
      <c r="D901" s="336"/>
      <c r="E901" s="333" t="s">
        <v>509</v>
      </c>
      <c r="F901" s="339">
        <v>50.0</v>
      </c>
      <c r="G901" s="311">
        <v>589.0</v>
      </c>
      <c r="H901" s="311">
        <v>589.0</v>
      </c>
      <c r="I901" s="312"/>
      <c r="J901" s="313">
        <v>121.0</v>
      </c>
      <c r="K901" s="314">
        <f t="shared" si="86"/>
        <v>0.2054329372</v>
      </c>
      <c r="L901" s="315">
        <f t="shared" si="87"/>
        <v>-121</v>
      </c>
      <c r="M901" s="316">
        <f t="shared" si="88"/>
        <v>-1</v>
      </c>
      <c r="N901" s="331"/>
      <c r="O901" s="332"/>
      <c r="P901" s="332"/>
      <c r="Q901" s="319"/>
      <c r="R901" s="311"/>
    </row>
    <row r="902" ht="14.25" customHeight="1" outlineLevel="1">
      <c r="B902" s="327"/>
      <c r="D902" s="336"/>
      <c r="E902" s="333" t="s">
        <v>510</v>
      </c>
      <c r="F902" s="339">
        <v>50.0</v>
      </c>
      <c r="G902" s="311">
        <v>589.0</v>
      </c>
      <c r="H902" s="311">
        <v>589.0</v>
      </c>
      <c r="I902" s="312"/>
      <c r="J902" s="313">
        <v>121.0</v>
      </c>
      <c r="K902" s="314">
        <f t="shared" si="86"/>
        <v>0.2054329372</v>
      </c>
      <c r="L902" s="315">
        <f t="shared" si="87"/>
        <v>-121</v>
      </c>
      <c r="M902" s="316">
        <f t="shared" si="88"/>
        <v>-1</v>
      </c>
      <c r="N902" s="331"/>
      <c r="O902" s="332"/>
      <c r="P902" s="332"/>
      <c r="Q902" s="319"/>
      <c r="R902" s="311"/>
    </row>
    <row r="903" ht="14.25" customHeight="1" outlineLevel="1">
      <c r="B903" s="327"/>
      <c r="C903" s="327"/>
      <c r="D903" s="336"/>
      <c r="E903" s="333" t="s">
        <v>114</v>
      </c>
      <c r="F903" s="339">
        <v>50.0</v>
      </c>
      <c r="G903" s="311"/>
      <c r="H903" s="311"/>
      <c r="I903" s="312"/>
      <c r="J903" s="313">
        <v>121.0</v>
      </c>
      <c r="K903" s="314" t="str">
        <f t="shared" si="86"/>
        <v>#DIV/0!</v>
      </c>
      <c r="L903" s="315">
        <f t="shared" si="87"/>
        <v>-121</v>
      </c>
      <c r="M903" s="316">
        <f t="shared" si="88"/>
        <v>-1</v>
      </c>
      <c r="N903" s="331"/>
      <c r="O903" s="332"/>
      <c r="P903" s="332"/>
      <c r="Q903" s="319"/>
      <c r="R903" s="311"/>
    </row>
    <row r="904" ht="14.25" customHeight="1" outlineLevel="1">
      <c r="A904" s="327" t="s">
        <v>858</v>
      </c>
      <c r="B904" s="327"/>
      <c r="C904" s="327" t="s">
        <v>858</v>
      </c>
      <c r="D904" s="336"/>
      <c r="E904" s="333" t="s">
        <v>159</v>
      </c>
      <c r="F904" s="339">
        <v>50.0</v>
      </c>
      <c r="G904" s="301">
        <v>529.0</v>
      </c>
      <c r="H904" s="301">
        <v>499.0</v>
      </c>
      <c r="I904" s="312" t="str">
        <f>G904/R904</f>
        <v>#DIV/0!</v>
      </c>
      <c r="J904" s="313">
        <v>164.0</v>
      </c>
      <c r="K904" s="314">
        <f t="shared" si="86"/>
        <v>0.3100189036</v>
      </c>
      <c r="L904" s="315">
        <f t="shared" si="87"/>
        <v>-164</v>
      </c>
      <c r="M904" s="316">
        <f t="shared" si="88"/>
        <v>-1</v>
      </c>
      <c r="N904" s="317"/>
      <c r="O904" s="373" t="s">
        <v>112</v>
      </c>
      <c r="P904" s="373" t="s">
        <v>112</v>
      </c>
      <c r="Q904" s="300"/>
      <c r="R904" s="301"/>
    </row>
    <row r="905" ht="14.25" customHeight="1" outlineLevel="1">
      <c r="B905" s="327"/>
      <c r="D905" s="336"/>
      <c r="E905" s="333" t="s">
        <v>160</v>
      </c>
      <c r="F905" s="339">
        <v>50.0</v>
      </c>
      <c r="G905" s="341">
        <v>529.0</v>
      </c>
      <c r="H905" s="341">
        <v>459.0</v>
      </c>
      <c r="I905" s="286"/>
      <c r="J905" s="335">
        <v>164.0</v>
      </c>
      <c r="K905" s="332">
        <f t="shared" si="86"/>
        <v>0.3100189036</v>
      </c>
      <c r="L905" s="319">
        <f t="shared" si="87"/>
        <v>-164</v>
      </c>
      <c r="M905" s="332">
        <f t="shared" si="88"/>
        <v>-1</v>
      </c>
      <c r="N905" s="331"/>
      <c r="O905" s="332"/>
      <c r="P905" s="332"/>
      <c r="Q905" s="300"/>
      <c r="R905" s="341"/>
    </row>
    <row r="906" ht="14.25" customHeight="1" outlineLevel="1">
      <c r="B906" s="327"/>
      <c r="D906" s="336"/>
      <c r="E906" s="333" t="s">
        <v>509</v>
      </c>
      <c r="F906" s="339">
        <v>50.0</v>
      </c>
      <c r="G906" s="341">
        <v>549.0</v>
      </c>
      <c r="H906" s="341">
        <v>499.0</v>
      </c>
      <c r="I906" s="286"/>
      <c r="J906" s="335">
        <v>164.0</v>
      </c>
      <c r="K906" s="332">
        <f t="shared" si="86"/>
        <v>0.2987249545</v>
      </c>
      <c r="L906" s="319">
        <f t="shared" si="87"/>
        <v>-164</v>
      </c>
      <c r="M906" s="332">
        <f t="shared" si="88"/>
        <v>-1</v>
      </c>
      <c r="N906" s="331"/>
      <c r="O906" s="332"/>
      <c r="P906" s="332"/>
      <c r="Q906" s="300"/>
      <c r="R906" s="341"/>
    </row>
    <row r="907" ht="14.25" customHeight="1" outlineLevel="1">
      <c r="B907" s="327"/>
      <c r="D907" s="336"/>
      <c r="E907" s="333" t="s">
        <v>510</v>
      </c>
      <c r="F907" s="339">
        <v>50.0</v>
      </c>
      <c r="G907" s="341">
        <v>549.0</v>
      </c>
      <c r="H907" s="341">
        <v>499.0</v>
      </c>
      <c r="I907" s="286"/>
      <c r="J907" s="335">
        <v>164.0</v>
      </c>
      <c r="K907" s="332">
        <f t="shared" si="86"/>
        <v>0.2987249545</v>
      </c>
      <c r="L907" s="319">
        <f t="shared" si="87"/>
        <v>-164</v>
      </c>
      <c r="M907" s="332">
        <f t="shared" si="88"/>
        <v>-1</v>
      </c>
      <c r="N907" s="331"/>
      <c r="O907" s="332"/>
      <c r="P907" s="332"/>
      <c r="Q907" s="300"/>
      <c r="R907" s="341"/>
    </row>
    <row r="908" ht="14.25" customHeight="1" outlineLevel="1">
      <c r="B908" s="327"/>
      <c r="C908" s="327"/>
      <c r="D908" s="336"/>
      <c r="E908" s="333" t="s">
        <v>114</v>
      </c>
      <c r="F908" s="339">
        <v>50.0</v>
      </c>
      <c r="G908" s="341"/>
      <c r="H908" s="341"/>
      <c r="I908" s="286"/>
      <c r="J908" s="335">
        <v>164.0</v>
      </c>
      <c r="K908" s="332" t="str">
        <f t="shared" si="86"/>
        <v>#DIV/0!</v>
      </c>
      <c r="L908" s="319">
        <f t="shared" si="87"/>
        <v>-164</v>
      </c>
      <c r="M908" s="332">
        <f t="shared" si="88"/>
        <v>-1</v>
      </c>
      <c r="N908" s="331"/>
      <c r="O908" s="332"/>
      <c r="P908" s="332"/>
      <c r="Q908" s="300"/>
      <c r="R908" s="341"/>
    </row>
    <row r="909" ht="14.25" customHeight="1" outlineLevel="1">
      <c r="A909" s="327" t="s">
        <v>859</v>
      </c>
      <c r="B909" s="327"/>
      <c r="C909" s="327" t="s">
        <v>859</v>
      </c>
      <c r="D909" s="336"/>
      <c r="E909" s="333" t="s">
        <v>159</v>
      </c>
      <c r="F909" s="339">
        <v>50.0</v>
      </c>
      <c r="G909" s="341">
        <v>499.0</v>
      </c>
      <c r="H909" s="341"/>
      <c r="I909" s="286"/>
      <c r="J909" s="335">
        <v>92.0</v>
      </c>
      <c r="K909" s="332">
        <f t="shared" si="86"/>
        <v>0.1843687375</v>
      </c>
      <c r="L909" s="319">
        <f t="shared" si="87"/>
        <v>-92</v>
      </c>
      <c r="M909" s="332">
        <f t="shared" si="88"/>
        <v>-1</v>
      </c>
      <c r="N909" s="331"/>
      <c r="O909" s="332"/>
      <c r="P909" s="332"/>
      <c r="Q909" s="300"/>
      <c r="R909" s="341"/>
    </row>
    <row r="910" ht="14.25" customHeight="1" outlineLevel="1">
      <c r="B910" s="327"/>
      <c r="D910" s="336"/>
      <c r="E910" s="333" t="s">
        <v>160</v>
      </c>
      <c r="F910" s="339">
        <v>50.0</v>
      </c>
      <c r="G910" s="341">
        <v>499.0</v>
      </c>
      <c r="H910" s="341"/>
      <c r="I910" s="286"/>
      <c r="J910" s="335">
        <v>92.0</v>
      </c>
      <c r="K910" s="332">
        <f t="shared" si="86"/>
        <v>0.1843687375</v>
      </c>
      <c r="L910" s="319">
        <f t="shared" si="87"/>
        <v>-92</v>
      </c>
      <c r="M910" s="332">
        <f t="shared" si="88"/>
        <v>-1</v>
      </c>
      <c r="N910" s="331"/>
      <c r="O910" s="332"/>
      <c r="P910" s="332"/>
      <c r="Q910" s="300"/>
      <c r="R910" s="341"/>
    </row>
    <row r="911" ht="14.25" customHeight="1" outlineLevel="1">
      <c r="B911" s="327"/>
      <c r="D911" s="336"/>
      <c r="E911" s="333" t="s">
        <v>509</v>
      </c>
      <c r="F911" s="339">
        <v>50.0</v>
      </c>
      <c r="G911" s="341">
        <v>549.0</v>
      </c>
      <c r="H911" s="341"/>
      <c r="I911" s="286"/>
      <c r="J911" s="335">
        <v>92.0</v>
      </c>
      <c r="K911" s="332">
        <f t="shared" si="86"/>
        <v>0.1675774135</v>
      </c>
      <c r="L911" s="319">
        <f t="shared" si="87"/>
        <v>-92</v>
      </c>
      <c r="M911" s="332">
        <f t="shared" si="88"/>
        <v>-1</v>
      </c>
      <c r="N911" s="331"/>
      <c r="O911" s="332"/>
      <c r="P911" s="332"/>
      <c r="Q911" s="300"/>
      <c r="R911" s="341"/>
    </row>
    <row r="912" ht="14.25" customHeight="1" outlineLevel="1">
      <c r="B912" s="327"/>
      <c r="D912" s="336"/>
      <c r="E912" s="333" t="s">
        <v>510</v>
      </c>
      <c r="F912" s="339">
        <v>50.0</v>
      </c>
      <c r="G912" s="341">
        <v>549.0</v>
      </c>
      <c r="H912" s="341"/>
      <c r="I912" s="286"/>
      <c r="J912" s="335">
        <v>92.0</v>
      </c>
      <c r="K912" s="332">
        <f t="shared" si="86"/>
        <v>0.1675774135</v>
      </c>
      <c r="L912" s="319">
        <f t="shared" si="87"/>
        <v>-92</v>
      </c>
      <c r="M912" s="332">
        <f t="shared" si="88"/>
        <v>-1</v>
      </c>
      <c r="N912" s="331"/>
      <c r="O912" s="332"/>
      <c r="P912" s="332"/>
      <c r="Q912" s="300"/>
      <c r="R912" s="341"/>
    </row>
    <row r="913" ht="14.25" customHeight="1" outlineLevel="1">
      <c r="B913" s="327"/>
      <c r="C913" s="327"/>
      <c r="D913" s="336"/>
      <c r="E913" s="333" t="s">
        <v>114</v>
      </c>
      <c r="F913" s="339">
        <v>50.0</v>
      </c>
      <c r="G913" s="341"/>
      <c r="H913" s="341"/>
      <c r="I913" s="286"/>
      <c r="J913" s="335">
        <v>92.0</v>
      </c>
      <c r="K913" s="332" t="str">
        <f t="shared" si="86"/>
        <v>#DIV/0!</v>
      </c>
      <c r="L913" s="319">
        <f t="shared" si="87"/>
        <v>-92</v>
      </c>
      <c r="M913" s="332">
        <f t="shared" si="88"/>
        <v>-1</v>
      </c>
      <c r="N913" s="331"/>
      <c r="O913" s="332"/>
      <c r="P913" s="332"/>
      <c r="Q913" s="300"/>
      <c r="R913" s="341"/>
    </row>
    <row r="914" ht="14.25" customHeight="1">
      <c r="A914" s="288" t="s">
        <v>860</v>
      </c>
      <c r="B914" s="289"/>
      <c r="C914" s="288" t="s">
        <v>861</v>
      </c>
      <c r="D914" s="291"/>
      <c r="E914" s="322" t="s">
        <v>159</v>
      </c>
      <c r="F914" s="323"/>
      <c r="G914" s="294"/>
      <c r="H914" s="294"/>
      <c r="I914" s="324"/>
      <c r="J914" s="325"/>
      <c r="K914" s="297"/>
      <c r="L914" s="326"/>
      <c r="M914" s="297"/>
      <c r="N914" s="299"/>
      <c r="O914" s="297"/>
      <c r="P914" s="297"/>
      <c r="Q914" s="300"/>
      <c r="R914" s="301"/>
    </row>
    <row r="915" ht="14.25" customHeight="1">
      <c r="B915" s="289"/>
      <c r="D915" s="291"/>
      <c r="E915" s="322" t="s">
        <v>160</v>
      </c>
      <c r="F915" s="323"/>
      <c r="G915" s="294"/>
      <c r="H915" s="294"/>
      <c r="I915" s="324"/>
      <c r="J915" s="325"/>
      <c r="K915" s="297"/>
      <c r="L915" s="326"/>
      <c r="M915" s="297"/>
      <c r="N915" s="299"/>
      <c r="O915" s="297"/>
      <c r="P915" s="297"/>
      <c r="Q915" s="300"/>
      <c r="R915" s="301"/>
    </row>
    <row r="916" ht="14.25" customHeight="1">
      <c r="B916" s="289"/>
      <c r="D916" s="291"/>
      <c r="E916" s="322" t="s">
        <v>509</v>
      </c>
      <c r="F916" s="323"/>
      <c r="G916" s="294"/>
      <c r="H916" s="294"/>
      <c r="I916" s="324"/>
      <c r="J916" s="325"/>
      <c r="K916" s="297"/>
      <c r="L916" s="326"/>
      <c r="M916" s="297"/>
      <c r="N916" s="299"/>
      <c r="O916" s="297"/>
      <c r="P916" s="297"/>
      <c r="Q916" s="300"/>
      <c r="R916" s="301"/>
    </row>
    <row r="917" ht="14.25" customHeight="1">
      <c r="B917" s="289"/>
      <c r="D917" s="291"/>
      <c r="E917" s="322" t="s">
        <v>510</v>
      </c>
      <c r="F917" s="323"/>
      <c r="G917" s="294"/>
      <c r="H917" s="294"/>
      <c r="I917" s="324"/>
      <c r="J917" s="325"/>
      <c r="K917" s="297"/>
      <c r="L917" s="326"/>
      <c r="M917" s="297"/>
      <c r="N917" s="299"/>
      <c r="O917" s="297"/>
      <c r="P917" s="297"/>
      <c r="Q917" s="300"/>
      <c r="R917" s="301"/>
    </row>
    <row r="918" ht="14.25" customHeight="1">
      <c r="B918" s="289"/>
      <c r="C918" s="288"/>
      <c r="D918" s="291"/>
      <c r="E918" s="322" t="s">
        <v>114</v>
      </c>
      <c r="F918" s="323"/>
      <c r="G918" s="294"/>
      <c r="H918" s="294"/>
      <c r="I918" s="324"/>
      <c r="J918" s="325"/>
      <c r="K918" s="297"/>
      <c r="L918" s="326"/>
      <c r="M918" s="297"/>
      <c r="N918" s="299"/>
      <c r="O918" s="297"/>
      <c r="P918" s="297"/>
      <c r="Q918" s="300"/>
      <c r="R918" s="301"/>
    </row>
    <row r="919" ht="14.25" customHeight="1" outlineLevel="1">
      <c r="A919" s="327" t="s">
        <v>862</v>
      </c>
      <c r="B919" s="327"/>
      <c r="C919" s="327" t="s">
        <v>862</v>
      </c>
      <c r="D919" s="336"/>
      <c r="E919" s="333" t="s">
        <v>159</v>
      </c>
      <c r="F919" s="337">
        <v>50.0</v>
      </c>
      <c r="G919" s="341">
        <v>1199.0</v>
      </c>
      <c r="H919" s="341"/>
      <c r="I919" s="286"/>
      <c r="J919" s="335">
        <v>318.0</v>
      </c>
      <c r="K919" s="332">
        <f t="shared" ref="K919:K923" si="89">J919/G919</f>
        <v>0.2652210175</v>
      </c>
      <c r="L919" s="319">
        <f t="shared" ref="L919:L923" si="90">Q919-J919</f>
        <v>-318</v>
      </c>
      <c r="M919" s="332">
        <f t="shared" ref="M919:M923" si="91">Q919/J919-1</f>
        <v>-1</v>
      </c>
      <c r="N919" s="331"/>
      <c r="O919" s="332"/>
      <c r="P919" s="332"/>
      <c r="Q919" s="300"/>
      <c r="R919" s="341"/>
    </row>
    <row r="920" ht="14.25" customHeight="1" outlineLevel="1">
      <c r="B920" s="327"/>
      <c r="D920" s="336"/>
      <c r="E920" s="333" t="s">
        <v>160</v>
      </c>
      <c r="F920" s="337">
        <v>50.0</v>
      </c>
      <c r="G920" s="341">
        <v>1199.0</v>
      </c>
      <c r="H920" s="341"/>
      <c r="I920" s="286"/>
      <c r="J920" s="335">
        <v>318.0</v>
      </c>
      <c r="K920" s="332">
        <f t="shared" si="89"/>
        <v>0.2652210175</v>
      </c>
      <c r="L920" s="319">
        <f t="shared" si="90"/>
        <v>-318</v>
      </c>
      <c r="M920" s="332">
        <f t="shared" si="91"/>
        <v>-1</v>
      </c>
      <c r="N920" s="331"/>
      <c r="O920" s="332"/>
      <c r="P920" s="332"/>
      <c r="Q920" s="300"/>
      <c r="R920" s="341"/>
    </row>
    <row r="921" ht="14.25" customHeight="1" outlineLevel="1">
      <c r="B921" s="327"/>
      <c r="D921" s="336"/>
      <c r="E921" s="333" t="s">
        <v>509</v>
      </c>
      <c r="F921" s="337">
        <v>50.0</v>
      </c>
      <c r="G921" s="341">
        <v>1199.0</v>
      </c>
      <c r="H921" s="341"/>
      <c r="I921" s="286"/>
      <c r="J921" s="335">
        <v>318.0</v>
      </c>
      <c r="K921" s="332">
        <f t="shared" si="89"/>
        <v>0.2652210175</v>
      </c>
      <c r="L921" s="319">
        <f t="shared" si="90"/>
        <v>-318</v>
      </c>
      <c r="M921" s="332">
        <f t="shared" si="91"/>
        <v>-1</v>
      </c>
      <c r="N921" s="331"/>
      <c r="O921" s="332"/>
      <c r="P921" s="332"/>
      <c r="Q921" s="300"/>
      <c r="R921" s="341"/>
    </row>
    <row r="922" ht="14.25" customHeight="1" outlineLevel="1">
      <c r="B922" s="327"/>
      <c r="D922" s="336"/>
      <c r="E922" s="333" t="s">
        <v>510</v>
      </c>
      <c r="F922" s="337">
        <v>50.0</v>
      </c>
      <c r="G922" s="341">
        <v>1199.0</v>
      </c>
      <c r="H922" s="341"/>
      <c r="I922" s="286"/>
      <c r="J922" s="335">
        <v>318.0</v>
      </c>
      <c r="K922" s="332">
        <f t="shared" si="89"/>
        <v>0.2652210175</v>
      </c>
      <c r="L922" s="319">
        <f t="shared" si="90"/>
        <v>-318</v>
      </c>
      <c r="M922" s="332">
        <f t="shared" si="91"/>
        <v>-1</v>
      </c>
      <c r="N922" s="331"/>
      <c r="O922" s="332"/>
      <c r="P922" s="332"/>
      <c r="Q922" s="300"/>
      <c r="R922" s="341"/>
    </row>
    <row r="923" ht="14.25" customHeight="1" outlineLevel="1">
      <c r="B923" s="327"/>
      <c r="C923" s="327"/>
      <c r="D923" s="336"/>
      <c r="E923" s="333" t="s">
        <v>114</v>
      </c>
      <c r="F923" s="337">
        <v>50.0</v>
      </c>
      <c r="G923" s="341"/>
      <c r="H923" s="341"/>
      <c r="I923" s="286"/>
      <c r="J923" s="335">
        <v>318.0</v>
      </c>
      <c r="K923" s="332" t="str">
        <f t="shared" si="89"/>
        <v>#DIV/0!</v>
      </c>
      <c r="L923" s="319">
        <f t="shared" si="90"/>
        <v>-318</v>
      </c>
      <c r="M923" s="332">
        <f t="shared" si="91"/>
        <v>-1</v>
      </c>
      <c r="N923" s="331"/>
      <c r="O923" s="332"/>
      <c r="P923" s="332"/>
      <c r="Q923" s="300"/>
      <c r="R923" s="341"/>
    </row>
    <row r="924" ht="14.25" customHeight="1">
      <c r="A924" s="376" t="s">
        <v>863</v>
      </c>
      <c r="B924" s="289"/>
      <c r="C924" s="376" t="s">
        <v>864</v>
      </c>
      <c r="D924" s="291"/>
      <c r="E924" s="322" t="s">
        <v>159</v>
      </c>
      <c r="F924" s="323"/>
      <c r="G924" s="294"/>
      <c r="H924" s="294"/>
      <c r="I924" s="324"/>
      <c r="J924" s="325"/>
      <c r="K924" s="297"/>
      <c r="L924" s="326"/>
      <c r="M924" s="297"/>
      <c r="N924" s="299"/>
      <c r="O924" s="377"/>
      <c r="P924" s="297"/>
      <c r="Q924" s="300"/>
      <c r="R924" s="301"/>
    </row>
    <row r="925" ht="14.25" customHeight="1">
      <c r="B925" s="289"/>
      <c r="D925" s="291"/>
      <c r="E925" s="322" t="s">
        <v>160</v>
      </c>
      <c r="F925" s="323"/>
      <c r="G925" s="294"/>
      <c r="H925" s="294"/>
      <c r="I925" s="324"/>
      <c r="J925" s="325"/>
      <c r="K925" s="297"/>
      <c r="L925" s="326"/>
      <c r="M925" s="297"/>
      <c r="N925" s="299"/>
      <c r="O925" s="377"/>
      <c r="P925" s="297"/>
      <c r="Q925" s="298"/>
      <c r="R925" s="294"/>
    </row>
    <row r="926" ht="14.25" customHeight="1">
      <c r="B926" s="289"/>
      <c r="D926" s="291"/>
      <c r="E926" s="322" t="s">
        <v>509</v>
      </c>
      <c r="F926" s="323"/>
      <c r="G926" s="294"/>
      <c r="H926" s="294"/>
      <c r="I926" s="324"/>
      <c r="J926" s="325"/>
      <c r="K926" s="297"/>
      <c r="L926" s="326"/>
      <c r="M926" s="297"/>
      <c r="N926" s="299"/>
      <c r="O926" s="377"/>
      <c r="P926" s="297"/>
      <c r="Q926" s="300"/>
      <c r="R926" s="301"/>
    </row>
    <row r="927" ht="14.25" customHeight="1">
      <c r="B927" s="289"/>
      <c r="D927" s="291"/>
      <c r="E927" s="322" t="s">
        <v>510</v>
      </c>
      <c r="F927" s="323"/>
      <c r="G927" s="294"/>
      <c r="H927" s="294"/>
      <c r="I927" s="324"/>
      <c r="J927" s="325"/>
      <c r="K927" s="297"/>
      <c r="L927" s="326"/>
      <c r="M927" s="297"/>
      <c r="N927" s="299"/>
      <c r="O927" s="377"/>
      <c r="P927" s="297"/>
      <c r="Q927" s="300"/>
      <c r="R927" s="301"/>
    </row>
    <row r="928" ht="14.25" customHeight="1">
      <c r="B928" s="289"/>
      <c r="C928" s="376"/>
      <c r="D928" s="291"/>
      <c r="E928" s="322" t="s">
        <v>114</v>
      </c>
      <c r="F928" s="323"/>
      <c r="G928" s="294"/>
      <c r="H928" s="294"/>
      <c r="I928" s="324"/>
      <c r="J928" s="325"/>
      <c r="K928" s="297"/>
      <c r="L928" s="326"/>
      <c r="M928" s="297"/>
      <c r="N928" s="299"/>
      <c r="O928" s="377"/>
      <c r="P928" s="297"/>
      <c r="Q928" s="300"/>
      <c r="R928" s="301"/>
    </row>
    <row r="929" ht="14.25" customHeight="1" outlineLevel="1">
      <c r="A929" s="327" t="s">
        <v>865</v>
      </c>
      <c r="B929" s="327"/>
      <c r="C929" s="327" t="s">
        <v>865</v>
      </c>
      <c r="D929" s="336"/>
      <c r="E929" s="333" t="s">
        <v>159</v>
      </c>
      <c r="F929" s="339">
        <v>50.0</v>
      </c>
      <c r="G929" s="334">
        <v>899.0</v>
      </c>
      <c r="H929" s="334">
        <v>799.0</v>
      </c>
      <c r="I929" s="286" t="str">
        <f>G929/R929</f>
        <v>#DIV/0!</v>
      </c>
      <c r="J929" s="335">
        <v>204.0</v>
      </c>
      <c r="K929" s="332">
        <f t="shared" ref="K929:K938" si="92">J929/G929</f>
        <v>0.2269187987</v>
      </c>
      <c r="L929" s="319">
        <f t="shared" ref="L929:L938" si="93">Q929-J929</f>
        <v>-204</v>
      </c>
      <c r="M929" s="332">
        <f t="shared" ref="M929:M938" si="94">Q929/J929-1</f>
        <v>-1</v>
      </c>
      <c r="N929" s="331"/>
      <c r="O929" s="332" t="s">
        <v>112</v>
      </c>
      <c r="P929" s="332" t="s">
        <v>112</v>
      </c>
      <c r="Q929" s="319"/>
      <c r="R929" s="334"/>
    </row>
    <row r="930" ht="14.25" customHeight="1" outlineLevel="1">
      <c r="B930" s="327"/>
      <c r="D930" s="336"/>
      <c r="E930" s="333" t="s">
        <v>160</v>
      </c>
      <c r="F930" s="339">
        <v>50.0</v>
      </c>
      <c r="G930" s="334">
        <v>899.0</v>
      </c>
      <c r="H930" s="334">
        <v>659.0</v>
      </c>
      <c r="I930" s="286"/>
      <c r="J930" s="335">
        <v>176.0</v>
      </c>
      <c r="K930" s="332">
        <f t="shared" si="92"/>
        <v>0.1957730812</v>
      </c>
      <c r="L930" s="319">
        <f t="shared" si="93"/>
        <v>-176</v>
      </c>
      <c r="M930" s="332">
        <f t="shared" si="94"/>
        <v>-1</v>
      </c>
      <c r="N930" s="331"/>
      <c r="O930" s="332"/>
      <c r="P930" s="332"/>
      <c r="Q930" s="319"/>
      <c r="R930" s="334"/>
    </row>
    <row r="931" ht="14.25" customHeight="1" outlineLevel="1">
      <c r="B931" s="327"/>
      <c r="D931" s="336"/>
      <c r="E931" s="333" t="s">
        <v>509</v>
      </c>
      <c r="F931" s="339">
        <v>50.0</v>
      </c>
      <c r="G931" s="334">
        <v>899.0</v>
      </c>
      <c r="H931" s="334">
        <v>859.0</v>
      </c>
      <c r="I931" s="286"/>
      <c r="J931" s="335">
        <v>203.0</v>
      </c>
      <c r="K931" s="332">
        <f t="shared" si="92"/>
        <v>0.2258064516</v>
      </c>
      <c r="L931" s="319">
        <f t="shared" si="93"/>
        <v>-203</v>
      </c>
      <c r="M931" s="332">
        <f t="shared" si="94"/>
        <v>-1</v>
      </c>
      <c r="N931" s="331"/>
      <c r="O931" s="332"/>
      <c r="P931" s="332"/>
      <c r="Q931" s="319"/>
      <c r="R931" s="334"/>
    </row>
    <row r="932" ht="14.25" customHeight="1" outlineLevel="1">
      <c r="B932" s="327"/>
      <c r="D932" s="336"/>
      <c r="E932" s="333" t="s">
        <v>510</v>
      </c>
      <c r="F932" s="339">
        <v>50.0</v>
      </c>
      <c r="G932" s="334">
        <v>899.0</v>
      </c>
      <c r="H932" s="334">
        <v>859.0</v>
      </c>
      <c r="I932" s="286"/>
      <c r="J932" s="335">
        <v>180.0</v>
      </c>
      <c r="K932" s="332">
        <f t="shared" si="92"/>
        <v>0.2002224694</v>
      </c>
      <c r="L932" s="319">
        <f t="shared" si="93"/>
        <v>-180</v>
      </c>
      <c r="M932" s="332">
        <f t="shared" si="94"/>
        <v>-1</v>
      </c>
      <c r="N932" s="331"/>
      <c r="O932" s="332"/>
      <c r="P932" s="332"/>
      <c r="Q932" s="319"/>
      <c r="R932" s="334"/>
    </row>
    <row r="933" ht="14.25" customHeight="1" outlineLevel="1">
      <c r="B933" s="327"/>
      <c r="C933" s="327"/>
      <c r="D933" s="336"/>
      <c r="E933" s="333" t="s">
        <v>114</v>
      </c>
      <c r="F933" s="339">
        <v>50.0</v>
      </c>
      <c r="G933" s="334"/>
      <c r="H933" s="334"/>
      <c r="I933" s="286"/>
      <c r="J933" s="335">
        <v>180.0</v>
      </c>
      <c r="K933" s="332" t="str">
        <f t="shared" si="92"/>
        <v>#DIV/0!</v>
      </c>
      <c r="L933" s="319">
        <f t="shared" si="93"/>
        <v>-180</v>
      </c>
      <c r="M933" s="332">
        <f t="shared" si="94"/>
        <v>-1</v>
      </c>
      <c r="N933" s="331"/>
      <c r="O933" s="332"/>
      <c r="P933" s="332"/>
      <c r="Q933" s="319"/>
      <c r="R933" s="334"/>
    </row>
    <row r="934" ht="14.25" customHeight="1" outlineLevel="1">
      <c r="A934" s="327" t="s">
        <v>866</v>
      </c>
      <c r="B934" s="327"/>
      <c r="C934" s="327" t="s">
        <v>866</v>
      </c>
      <c r="D934" s="336"/>
      <c r="E934" s="333" t="s">
        <v>159</v>
      </c>
      <c r="F934" s="339">
        <v>50.0</v>
      </c>
      <c r="G934" s="334">
        <v>999.0</v>
      </c>
      <c r="H934" s="334">
        <v>899.0</v>
      </c>
      <c r="I934" s="286" t="str">
        <f>G934/R934</f>
        <v>#DIV/0!</v>
      </c>
      <c r="J934" s="335">
        <v>251.0</v>
      </c>
      <c r="K934" s="332">
        <f t="shared" si="92"/>
        <v>0.2512512513</v>
      </c>
      <c r="L934" s="319">
        <f t="shared" si="93"/>
        <v>-251</v>
      </c>
      <c r="M934" s="332">
        <f t="shared" si="94"/>
        <v>-1</v>
      </c>
      <c r="N934" s="331"/>
      <c r="O934" s="332" t="s">
        <v>112</v>
      </c>
      <c r="P934" s="332" t="s">
        <v>112</v>
      </c>
      <c r="Q934" s="319"/>
      <c r="R934" s="334"/>
    </row>
    <row r="935" ht="14.25" customHeight="1" outlineLevel="1">
      <c r="B935" s="327"/>
      <c r="D935" s="336"/>
      <c r="E935" s="333" t="s">
        <v>160</v>
      </c>
      <c r="F935" s="339">
        <v>50.0</v>
      </c>
      <c r="G935" s="334">
        <v>999.0</v>
      </c>
      <c r="H935" s="334">
        <v>759.0</v>
      </c>
      <c r="I935" s="286"/>
      <c r="J935" s="335">
        <v>213.0</v>
      </c>
      <c r="K935" s="332">
        <f t="shared" si="92"/>
        <v>0.2132132132</v>
      </c>
      <c r="L935" s="319">
        <f t="shared" si="93"/>
        <v>-213</v>
      </c>
      <c r="M935" s="332">
        <f t="shared" si="94"/>
        <v>-1</v>
      </c>
      <c r="N935" s="331"/>
      <c r="O935" s="332"/>
      <c r="P935" s="332"/>
      <c r="Q935" s="319"/>
      <c r="R935" s="334"/>
    </row>
    <row r="936" ht="14.25" customHeight="1" outlineLevel="1">
      <c r="B936" s="327"/>
      <c r="D936" s="336"/>
      <c r="E936" s="333" t="s">
        <v>509</v>
      </c>
      <c r="F936" s="339">
        <v>50.0</v>
      </c>
      <c r="G936" s="334">
        <v>999.0</v>
      </c>
      <c r="H936" s="334">
        <v>859.0</v>
      </c>
      <c r="I936" s="286"/>
      <c r="J936" s="335">
        <v>273.0</v>
      </c>
      <c r="K936" s="332">
        <f t="shared" si="92"/>
        <v>0.2732732733</v>
      </c>
      <c r="L936" s="319">
        <f t="shared" si="93"/>
        <v>-273</v>
      </c>
      <c r="M936" s="332">
        <f t="shared" si="94"/>
        <v>-1</v>
      </c>
      <c r="N936" s="331"/>
      <c r="O936" s="332"/>
      <c r="P936" s="332"/>
      <c r="Q936" s="319"/>
      <c r="R936" s="334"/>
    </row>
    <row r="937" ht="14.25" customHeight="1" outlineLevel="1">
      <c r="B937" s="327"/>
      <c r="D937" s="336"/>
      <c r="E937" s="333" t="s">
        <v>510</v>
      </c>
      <c r="F937" s="339">
        <v>50.0</v>
      </c>
      <c r="G937" s="334">
        <v>999.0</v>
      </c>
      <c r="H937" s="334">
        <v>959.0</v>
      </c>
      <c r="I937" s="286"/>
      <c r="J937" s="335">
        <v>273.0</v>
      </c>
      <c r="K937" s="332">
        <f t="shared" si="92"/>
        <v>0.2732732733</v>
      </c>
      <c r="L937" s="319">
        <f t="shared" si="93"/>
        <v>-273</v>
      </c>
      <c r="M937" s="332">
        <f t="shared" si="94"/>
        <v>-1</v>
      </c>
      <c r="N937" s="331"/>
      <c r="O937" s="332"/>
      <c r="P937" s="332"/>
      <c r="Q937" s="319"/>
      <c r="R937" s="334"/>
    </row>
    <row r="938" ht="14.25" customHeight="1" outlineLevel="1">
      <c r="B938" s="327"/>
      <c r="C938" s="327"/>
      <c r="D938" s="336"/>
      <c r="E938" s="333" t="s">
        <v>114</v>
      </c>
      <c r="F938" s="339">
        <v>50.0</v>
      </c>
      <c r="G938" s="334"/>
      <c r="H938" s="334"/>
      <c r="I938" s="286"/>
      <c r="J938" s="335">
        <v>273.0</v>
      </c>
      <c r="K938" s="332" t="str">
        <f t="shared" si="92"/>
        <v>#DIV/0!</v>
      </c>
      <c r="L938" s="319">
        <f t="shared" si="93"/>
        <v>-273</v>
      </c>
      <c r="M938" s="332">
        <f t="shared" si="94"/>
        <v>-1</v>
      </c>
      <c r="N938" s="331"/>
      <c r="O938" s="332"/>
      <c r="P938" s="332"/>
      <c r="Q938" s="319"/>
      <c r="R938" s="334"/>
    </row>
    <row r="939" ht="14.25" customHeight="1">
      <c r="A939" s="376" t="s">
        <v>867</v>
      </c>
      <c r="B939" s="289"/>
      <c r="C939" s="376" t="s">
        <v>867</v>
      </c>
      <c r="D939" s="291"/>
      <c r="E939" s="322" t="s">
        <v>159</v>
      </c>
      <c r="F939" s="323"/>
      <c r="G939" s="294"/>
      <c r="H939" s="294"/>
      <c r="I939" s="324"/>
      <c r="J939" s="325"/>
      <c r="K939" s="297"/>
      <c r="L939" s="326"/>
      <c r="M939" s="297"/>
      <c r="N939" s="299"/>
      <c r="O939" s="377"/>
      <c r="P939" s="377"/>
      <c r="Q939" s="300"/>
      <c r="R939" s="301"/>
    </row>
    <row r="940" ht="14.25" customHeight="1">
      <c r="B940" s="289"/>
      <c r="D940" s="291"/>
      <c r="E940" s="322" t="s">
        <v>160</v>
      </c>
      <c r="F940" s="323"/>
      <c r="G940" s="294"/>
      <c r="H940" s="294"/>
      <c r="I940" s="324"/>
      <c r="J940" s="325"/>
      <c r="K940" s="297"/>
      <c r="L940" s="326"/>
      <c r="M940" s="297"/>
      <c r="N940" s="299"/>
      <c r="O940" s="377"/>
      <c r="P940" s="377"/>
      <c r="Q940" s="300"/>
      <c r="R940" s="301"/>
    </row>
    <row r="941" ht="14.25" customHeight="1">
      <c r="B941" s="289"/>
      <c r="D941" s="291"/>
      <c r="E941" s="322" t="s">
        <v>509</v>
      </c>
      <c r="F941" s="323"/>
      <c r="G941" s="294"/>
      <c r="H941" s="294"/>
      <c r="I941" s="324"/>
      <c r="J941" s="325"/>
      <c r="K941" s="297"/>
      <c r="L941" s="326"/>
      <c r="M941" s="297"/>
      <c r="N941" s="299"/>
      <c r="O941" s="377"/>
      <c r="P941" s="377"/>
      <c r="Q941" s="300"/>
      <c r="R941" s="301"/>
    </row>
    <row r="942" ht="14.25" customHeight="1">
      <c r="B942" s="289"/>
      <c r="D942" s="291"/>
      <c r="E942" s="322" t="s">
        <v>510</v>
      </c>
      <c r="F942" s="323"/>
      <c r="G942" s="294"/>
      <c r="H942" s="294"/>
      <c r="I942" s="324"/>
      <c r="J942" s="325"/>
      <c r="K942" s="297"/>
      <c r="L942" s="326"/>
      <c r="M942" s="297"/>
      <c r="N942" s="299"/>
      <c r="O942" s="377"/>
      <c r="P942" s="377"/>
      <c r="Q942" s="300"/>
      <c r="R942" s="301"/>
    </row>
    <row r="943" ht="14.25" customHeight="1">
      <c r="B943" s="289"/>
      <c r="C943" s="376"/>
      <c r="D943" s="291"/>
      <c r="E943" s="322" t="s">
        <v>114</v>
      </c>
      <c r="F943" s="323"/>
      <c r="G943" s="294"/>
      <c r="H943" s="294"/>
      <c r="I943" s="324"/>
      <c r="J943" s="325"/>
      <c r="K943" s="297"/>
      <c r="L943" s="326"/>
      <c r="M943" s="297"/>
      <c r="N943" s="299"/>
      <c r="O943" s="377"/>
      <c r="P943" s="377"/>
      <c r="Q943" s="300"/>
      <c r="R943" s="301"/>
    </row>
    <row r="944" ht="14.25" customHeight="1" outlineLevel="1">
      <c r="A944" s="327" t="s">
        <v>868</v>
      </c>
      <c r="B944" s="327"/>
      <c r="C944" s="327" t="s">
        <v>868</v>
      </c>
      <c r="D944" s="336"/>
      <c r="E944" s="333" t="s">
        <v>159</v>
      </c>
      <c r="F944" s="339">
        <v>50.0</v>
      </c>
      <c r="G944" s="334">
        <v>449.0</v>
      </c>
      <c r="H944" s="334">
        <v>399.0</v>
      </c>
      <c r="I944" s="286" t="str">
        <f>G944/R944</f>
        <v>#DIV/0!</v>
      </c>
      <c r="J944" s="335">
        <v>87.0</v>
      </c>
      <c r="K944" s="332">
        <f t="shared" ref="K944:K958" si="95">J944/G944</f>
        <v>0.1937639198</v>
      </c>
      <c r="L944" s="319">
        <f t="shared" ref="L944:L958" si="96">Q944-J944</f>
        <v>-87</v>
      </c>
      <c r="M944" s="332">
        <f t="shared" ref="M944:M958" si="97">Q944/J944-1</f>
        <v>-1</v>
      </c>
      <c r="N944" s="331"/>
      <c r="O944" s="332" t="s">
        <v>112</v>
      </c>
      <c r="P944" s="332" t="s">
        <v>112</v>
      </c>
      <c r="Q944" s="319"/>
      <c r="R944" s="334"/>
    </row>
    <row r="945" ht="14.25" customHeight="1" outlineLevel="1">
      <c r="B945" s="327"/>
      <c r="D945" s="336"/>
      <c r="E945" s="333" t="s">
        <v>160</v>
      </c>
      <c r="F945" s="339">
        <v>50.0</v>
      </c>
      <c r="G945" s="334">
        <v>449.0</v>
      </c>
      <c r="H945" s="334">
        <v>359.0</v>
      </c>
      <c r="I945" s="286"/>
      <c r="J945" s="335">
        <v>87.0</v>
      </c>
      <c r="K945" s="332">
        <f t="shared" si="95"/>
        <v>0.1937639198</v>
      </c>
      <c r="L945" s="319">
        <f t="shared" si="96"/>
        <v>-87</v>
      </c>
      <c r="M945" s="332">
        <f t="shared" si="97"/>
        <v>-1</v>
      </c>
      <c r="N945" s="331"/>
      <c r="O945" s="332"/>
      <c r="P945" s="332"/>
      <c r="Q945" s="319"/>
      <c r="R945" s="334"/>
    </row>
    <row r="946" ht="14.25" customHeight="1" outlineLevel="1">
      <c r="B946" s="327"/>
      <c r="D946" s="336"/>
      <c r="E946" s="333" t="s">
        <v>509</v>
      </c>
      <c r="F946" s="339">
        <v>50.0</v>
      </c>
      <c r="G946" s="334">
        <v>469.0</v>
      </c>
      <c r="H946" s="334">
        <v>399.0</v>
      </c>
      <c r="I946" s="286"/>
      <c r="J946" s="335">
        <v>87.0</v>
      </c>
      <c r="K946" s="332">
        <f t="shared" si="95"/>
        <v>0.1855010661</v>
      </c>
      <c r="L946" s="319">
        <f t="shared" si="96"/>
        <v>-87</v>
      </c>
      <c r="M946" s="332">
        <f t="shared" si="97"/>
        <v>-1</v>
      </c>
      <c r="N946" s="331"/>
      <c r="O946" s="332"/>
      <c r="P946" s="332"/>
      <c r="Q946" s="319"/>
      <c r="R946" s="334"/>
    </row>
    <row r="947" ht="14.25" customHeight="1" outlineLevel="1">
      <c r="B947" s="327"/>
      <c r="D947" s="336"/>
      <c r="E947" s="333" t="s">
        <v>510</v>
      </c>
      <c r="F947" s="339">
        <v>50.0</v>
      </c>
      <c r="G947" s="334">
        <v>469.0</v>
      </c>
      <c r="H947" s="334">
        <v>399.0</v>
      </c>
      <c r="I947" s="286"/>
      <c r="J947" s="335">
        <v>87.0</v>
      </c>
      <c r="K947" s="332">
        <f t="shared" si="95"/>
        <v>0.1855010661</v>
      </c>
      <c r="L947" s="319">
        <f t="shared" si="96"/>
        <v>-87</v>
      </c>
      <c r="M947" s="332">
        <f t="shared" si="97"/>
        <v>-1</v>
      </c>
      <c r="N947" s="331"/>
      <c r="O947" s="332"/>
      <c r="P947" s="332"/>
      <c r="Q947" s="319"/>
      <c r="R947" s="334"/>
    </row>
    <row r="948" ht="14.25" customHeight="1" outlineLevel="1">
      <c r="B948" s="327"/>
      <c r="C948" s="327"/>
      <c r="D948" s="336"/>
      <c r="E948" s="333" t="s">
        <v>114</v>
      </c>
      <c r="F948" s="339">
        <v>50.0</v>
      </c>
      <c r="G948" s="334"/>
      <c r="H948" s="334"/>
      <c r="I948" s="286"/>
      <c r="J948" s="335">
        <v>87.0</v>
      </c>
      <c r="K948" s="332" t="str">
        <f t="shared" si="95"/>
        <v>#DIV/0!</v>
      </c>
      <c r="L948" s="319">
        <f t="shared" si="96"/>
        <v>-87</v>
      </c>
      <c r="M948" s="332">
        <f t="shared" si="97"/>
        <v>-1</v>
      </c>
      <c r="N948" s="331"/>
      <c r="O948" s="332"/>
      <c r="P948" s="332"/>
      <c r="Q948" s="319"/>
      <c r="R948" s="334"/>
    </row>
    <row r="949" ht="14.25" customHeight="1" outlineLevel="1">
      <c r="A949" s="327" t="s">
        <v>869</v>
      </c>
      <c r="B949" s="327"/>
      <c r="C949" s="327" t="s">
        <v>869</v>
      </c>
      <c r="D949" s="336"/>
      <c r="E949" s="333" t="s">
        <v>159</v>
      </c>
      <c r="F949" s="339">
        <v>50.0</v>
      </c>
      <c r="G949" s="334">
        <v>499.0</v>
      </c>
      <c r="H949" s="334">
        <v>439.0</v>
      </c>
      <c r="I949" s="286" t="str">
        <f>G949/R949</f>
        <v>#DIV/0!</v>
      </c>
      <c r="J949" s="335">
        <v>97.0</v>
      </c>
      <c r="K949" s="332">
        <f t="shared" si="95"/>
        <v>0.1943887776</v>
      </c>
      <c r="L949" s="319">
        <f t="shared" si="96"/>
        <v>-97</v>
      </c>
      <c r="M949" s="332">
        <f t="shared" si="97"/>
        <v>-1</v>
      </c>
      <c r="N949" s="331"/>
      <c r="O949" s="332" t="s">
        <v>112</v>
      </c>
      <c r="P949" s="332" t="s">
        <v>112</v>
      </c>
      <c r="Q949" s="319"/>
      <c r="R949" s="334"/>
    </row>
    <row r="950" ht="14.25" customHeight="1" outlineLevel="1">
      <c r="B950" s="327"/>
      <c r="D950" s="336"/>
      <c r="E950" s="333" t="s">
        <v>160</v>
      </c>
      <c r="F950" s="339">
        <v>50.0</v>
      </c>
      <c r="G950" s="334">
        <v>499.0</v>
      </c>
      <c r="H950" s="334">
        <v>429.0</v>
      </c>
      <c r="I950" s="286"/>
      <c r="J950" s="335">
        <v>97.0</v>
      </c>
      <c r="K950" s="332">
        <f t="shared" si="95"/>
        <v>0.1943887776</v>
      </c>
      <c r="L950" s="319">
        <f t="shared" si="96"/>
        <v>-97</v>
      </c>
      <c r="M950" s="332">
        <f t="shared" si="97"/>
        <v>-1</v>
      </c>
      <c r="N950" s="331"/>
      <c r="O950" s="332"/>
      <c r="P950" s="332"/>
      <c r="Q950" s="319"/>
      <c r="R950" s="334"/>
    </row>
    <row r="951" ht="14.25" customHeight="1" outlineLevel="1">
      <c r="B951" s="327"/>
      <c r="D951" s="336"/>
      <c r="E951" s="333" t="s">
        <v>509</v>
      </c>
      <c r="F951" s="339">
        <v>50.0</v>
      </c>
      <c r="G951" s="334">
        <v>549.0</v>
      </c>
      <c r="H951" s="334">
        <v>459.0</v>
      </c>
      <c r="I951" s="286"/>
      <c r="J951" s="335">
        <v>97.0</v>
      </c>
      <c r="K951" s="332">
        <f t="shared" si="95"/>
        <v>0.1766848816</v>
      </c>
      <c r="L951" s="319">
        <f t="shared" si="96"/>
        <v>-97</v>
      </c>
      <c r="M951" s="332">
        <f t="shared" si="97"/>
        <v>-1</v>
      </c>
      <c r="N951" s="331"/>
      <c r="O951" s="332"/>
      <c r="P951" s="332"/>
      <c r="Q951" s="319"/>
      <c r="R951" s="334"/>
    </row>
    <row r="952" ht="14.25" customHeight="1" outlineLevel="1">
      <c r="B952" s="327"/>
      <c r="D952" s="336"/>
      <c r="E952" s="333" t="s">
        <v>510</v>
      </c>
      <c r="F952" s="339">
        <v>50.0</v>
      </c>
      <c r="G952" s="334">
        <v>549.0</v>
      </c>
      <c r="H952" s="334">
        <v>459.0</v>
      </c>
      <c r="I952" s="286"/>
      <c r="J952" s="335">
        <v>97.0</v>
      </c>
      <c r="K952" s="332">
        <f t="shared" si="95"/>
        <v>0.1766848816</v>
      </c>
      <c r="L952" s="319">
        <f t="shared" si="96"/>
        <v>-97</v>
      </c>
      <c r="M952" s="332">
        <f t="shared" si="97"/>
        <v>-1</v>
      </c>
      <c r="N952" s="331"/>
      <c r="O952" s="332"/>
      <c r="P952" s="332"/>
      <c r="Q952" s="319"/>
      <c r="R952" s="334"/>
    </row>
    <row r="953" ht="14.25" customHeight="1" outlineLevel="1">
      <c r="B953" s="327"/>
      <c r="C953" s="327"/>
      <c r="D953" s="336"/>
      <c r="E953" s="333" t="s">
        <v>114</v>
      </c>
      <c r="F953" s="339">
        <v>50.0</v>
      </c>
      <c r="G953" s="334"/>
      <c r="H953" s="334"/>
      <c r="I953" s="286"/>
      <c r="J953" s="335">
        <v>97.0</v>
      </c>
      <c r="K953" s="332" t="str">
        <f t="shared" si="95"/>
        <v>#DIV/0!</v>
      </c>
      <c r="L953" s="319">
        <f t="shared" si="96"/>
        <v>-97</v>
      </c>
      <c r="M953" s="332">
        <f t="shared" si="97"/>
        <v>-1</v>
      </c>
      <c r="N953" s="331"/>
      <c r="O953" s="332"/>
      <c r="P953" s="332"/>
      <c r="Q953" s="319"/>
      <c r="R953" s="334"/>
    </row>
    <row r="954" ht="14.25" customHeight="1" outlineLevel="1">
      <c r="A954" s="327" t="s">
        <v>870</v>
      </c>
      <c r="B954" s="327"/>
      <c r="C954" s="327" t="s">
        <v>870</v>
      </c>
      <c r="D954" s="336"/>
      <c r="E954" s="333" t="s">
        <v>159</v>
      </c>
      <c r="F954" s="339">
        <v>50.0</v>
      </c>
      <c r="G954" s="334">
        <v>699.0</v>
      </c>
      <c r="H954" s="334"/>
      <c r="I954" s="286"/>
      <c r="J954" s="335">
        <v>120.0</v>
      </c>
      <c r="K954" s="332">
        <f t="shared" si="95"/>
        <v>0.1716738197</v>
      </c>
      <c r="L954" s="319">
        <f t="shared" si="96"/>
        <v>-120</v>
      </c>
      <c r="M954" s="332">
        <f t="shared" si="97"/>
        <v>-1</v>
      </c>
      <c r="N954" s="331"/>
      <c r="O954" s="332"/>
      <c r="P954" s="332"/>
      <c r="Q954" s="319"/>
      <c r="R954" s="334"/>
    </row>
    <row r="955" ht="14.25" customHeight="1" outlineLevel="1">
      <c r="B955" s="327"/>
      <c r="D955" s="336"/>
      <c r="E955" s="333" t="s">
        <v>160</v>
      </c>
      <c r="F955" s="339">
        <v>50.0</v>
      </c>
      <c r="G955" s="334">
        <v>699.0</v>
      </c>
      <c r="H955" s="334"/>
      <c r="I955" s="286"/>
      <c r="J955" s="335">
        <v>120.0</v>
      </c>
      <c r="K955" s="332">
        <f t="shared" si="95"/>
        <v>0.1716738197</v>
      </c>
      <c r="L955" s="319">
        <f t="shared" si="96"/>
        <v>-120</v>
      </c>
      <c r="M955" s="332">
        <f t="shared" si="97"/>
        <v>-1</v>
      </c>
      <c r="N955" s="331"/>
      <c r="O955" s="332"/>
      <c r="P955" s="332"/>
      <c r="Q955" s="319"/>
      <c r="R955" s="334"/>
    </row>
    <row r="956" ht="14.25" customHeight="1" outlineLevel="1">
      <c r="B956" s="327"/>
      <c r="D956" s="336"/>
      <c r="E956" s="333" t="s">
        <v>509</v>
      </c>
      <c r="F956" s="339">
        <v>50.0</v>
      </c>
      <c r="G956" s="334">
        <v>799.0</v>
      </c>
      <c r="H956" s="334"/>
      <c r="I956" s="286"/>
      <c r="J956" s="335">
        <v>120.0</v>
      </c>
      <c r="K956" s="332">
        <f t="shared" si="95"/>
        <v>0.1501877347</v>
      </c>
      <c r="L956" s="319">
        <f t="shared" si="96"/>
        <v>-120</v>
      </c>
      <c r="M956" s="332">
        <f t="shared" si="97"/>
        <v>-1</v>
      </c>
      <c r="N956" s="331"/>
      <c r="O956" s="332"/>
      <c r="P956" s="332"/>
      <c r="Q956" s="319"/>
      <c r="R956" s="334"/>
    </row>
    <row r="957" ht="14.25" customHeight="1" outlineLevel="1">
      <c r="B957" s="327"/>
      <c r="D957" s="336"/>
      <c r="E957" s="333" t="s">
        <v>622</v>
      </c>
      <c r="F957" s="339">
        <v>50.0</v>
      </c>
      <c r="G957" s="334">
        <v>799.0</v>
      </c>
      <c r="H957" s="334"/>
      <c r="I957" s="286"/>
      <c r="J957" s="335">
        <v>120.0</v>
      </c>
      <c r="K957" s="332">
        <f t="shared" si="95"/>
        <v>0.1501877347</v>
      </c>
      <c r="L957" s="319">
        <f t="shared" si="96"/>
        <v>-120</v>
      </c>
      <c r="M957" s="332">
        <f t="shared" si="97"/>
        <v>-1</v>
      </c>
      <c r="N957" s="331"/>
      <c r="O957" s="332"/>
      <c r="P957" s="332"/>
      <c r="Q957" s="319"/>
      <c r="R957" s="334"/>
    </row>
    <row r="958" ht="14.25" customHeight="1" outlineLevel="1">
      <c r="B958" s="327"/>
      <c r="C958" s="327"/>
      <c r="D958" s="336"/>
      <c r="E958" s="333" t="s">
        <v>114</v>
      </c>
      <c r="F958" s="339">
        <v>50.0</v>
      </c>
      <c r="G958" s="334"/>
      <c r="H958" s="334"/>
      <c r="I958" s="286"/>
      <c r="J958" s="335">
        <v>120.0</v>
      </c>
      <c r="K958" s="332" t="str">
        <f t="shared" si="95"/>
        <v>#DIV/0!</v>
      </c>
      <c r="L958" s="319">
        <f t="shared" si="96"/>
        <v>-120</v>
      </c>
      <c r="M958" s="332">
        <f t="shared" si="97"/>
        <v>-1</v>
      </c>
      <c r="N958" s="331"/>
      <c r="O958" s="332"/>
      <c r="P958" s="332"/>
      <c r="Q958" s="319"/>
      <c r="R958" s="334"/>
    </row>
    <row r="959" ht="14.25" customHeight="1">
      <c r="A959" s="288" t="s">
        <v>871</v>
      </c>
      <c r="B959" s="289"/>
      <c r="C959" s="288" t="s">
        <v>872</v>
      </c>
      <c r="D959" s="291"/>
      <c r="E959" s="322" t="s">
        <v>159</v>
      </c>
      <c r="F959" s="323"/>
      <c r="G959" s="294"/>
      <c r="H959" s="294"/>
      <c r="I959" s="324"/>
      <c r="J959" s="325"/>
      <c r="K959" s="297"/>
      <c r="L959" s="326"/>
      <c r="M959" s="297"/>
      <c r="N959" s="299"/>
      <c r="O959" s="377"/>
      <c r="P959" s="377"/>
      <c r="Q959" s="300"/>
      <c r="R959" s="301"/>
    </row>
    <row r="960" ht="14.25" customHeight="1">
      <c r="B960" s="289"/>
      <c r="D960" s="291"/>
      <c r="E960" s="322" t="s">
        <v>160</v>
      </c>
      <c r="F960" s="323"/>
      <c r="G960" s="294"/>
      <c r="H960" s="294"/>
      <c r="I960" s="324"/>
      <c r="J960" s="325"/>
      <c r="K960" s="297"/>
      <c r="L960" s="326"/>
      <c r="M960" s="297"/>
      <c r="N960" s="299"/>
      <c r="O960" s="377"/>
      <c r="P960" s="377"/>
      <c r="Q960" s="300"/>
      <c r="R960" s="301"/>
    </row>
    <row r="961" ht="14.25" customHeight="1">
      <c r="B961" s="289"/>
      <c r="D961" s="291"/>
      <c r="E961" s="322" t="s">
        <v>800</v>
      </c>
      <c r="F961" s="323"/>
      <c r="G961" s="294"/>
      <c r="H961" s="294"/>
      <c r="I961" s="324"/>
      <c r="J961" s="325"/>
      <c r="K961" s="297"/>
      <c r="L961" s="326"/>
      <c r="M961" s="297"/>
      <c r="N961" s="299"/>
      <c r="O961" s="377"/>
      <c r="P961" s="377"/>
      <c r="Q961" s="300"/>
      <c r="R961" s="301"/>
    </row>
    <row r="962" ht="14.25" customHeight="1">
      <c r="B962" s="289"/>
      <c r="D962" s="291"/>
      <c r="E962" s="322" t="s">
        <v>510</v>
      </c>
      <c r="F962" s="323"/>
      <c r="G962" s="294"/>
      <c r="H962" s="294"/>
      <c r="I962" s="324"/>
      <c r="J962" s="325"/>
      <c r="K962" s="297"/>
      <c r="L962" s="326"/>
      <c r="M962" s="297"/>
      <c r="N962" s="299"/>
      <c r="O962" s="377"/>
      <c r="P962" s="377"/>
      <c r="Q962" s="300"/>
      <c r="R962" s="301"/>
    </row>
    <row r="963" ht="14.25" customHeight="1">
      <c r="B963" s="289"/>
      <c r="C963" s="288"/>
      <c r="D963" s="291"/>
      <c r="E963" s="322" t="s">
        <v>114</v>
      </c>
      <c r="F963" s="323"/>
      <c r="G963" s="294"/>
      <c r="H963" s="294"/>
      <c r="I963" s="324"/>
      <c r="J963" s="325"/>
      <c r="K963" s="297"/>
      <c r="L963" s="326"/>
      <c r="M963" s="297"/>
      <c r="N963" s="299"/>
      <c r="O963" s="377"/>
      <c r="P963" s="377"/>
      <c r="Q963" s="300"/>
      <c r="R963" s="301"/>
    </row>
    <row r="964" ht="14.25" customHeight="1" outlineLevel="1">
      <c r="A964" s="327" t="s">
        <v>873</v>
      </c>
      <c r="B964" s="327"/>
      <c r="C964" s="327" t="s">
        <v>873</v>
      </c>
      <c r="D964" s="336"/>
      <c r="E964" s="333" t="s">
        <v>159</v>
      </c>
      <c r="F964" s="339">
        <v>50.0</v>
      </c>
      <c r="G964" s="311">
        <v>429.0</v>
      </c>
      <c r="H964" s="311">
        <v>229.0</v>
      </c>
      <c r="I964" s="312" t="str">
        <f>G964/R964</f>
        <v>#DIV/0!</v>
      </c>
      <c r="J964" s="313">
        <v>80.0</v>
      </c>
      <c r="K964" s="314">
        <f t="shared" ref="K964:K978" si="98">J964/G964</f>
        <v>0.1864801865</v>
      </c>
      <c r="L964" s="315">
        <f t="shared" ref="L964:L978" si="99">Q964-J964</f>
        <v>-80</v>
      </c>
      <c r="M964" s="316">
        <f t="shared" ref="M964:M978" si="100">Q964/J964-1</f>
        <v>-1</v>
      </c>
      <c r="N964" s="331"/>
      <c r="O964" s="332" t="s">
        <v>112</v>
      </c>
      <c r="P964" s="332" t="s">
        <v>112</v>
      </c>
      <c r="Q964" s="319"/>
      <c r="R964" s="311"/>
    </row>
    <row r="965" ht="14.25" customHeight="1" outlineLevel="1">
      <c r="B965" s="327"/>
      <c r="D965" s="336"/>
      <c r="E965" s="333" t="s">
        <v>160</v>
      </c>
      <c r="F965" s="339">
        <v>50.0</v>
      </c>
      <c r="G965" s="311">
        <v>429.0</v>
      </c>
      <c r="H965" s="311">
        <v>219.0</v>
      </c>
      <c r="I965" s="312"/>
      <c r="J965" s="313">
        <v>80.0</v>
      </c>
      <c r="K965" s="314">
        <f t="shared" si="98"/>
        <v>0.1864801865</v>
      </c>
      <c r="L965" s="315">
        <f t="shared" si="99"/>
        <v>-80</v>
      </c>
      <c r="M965" s="316">
        <f t="shared" si="100"/>
        <v>-1</v>
      </c>
      <c r="N965" s="331"/>
      <c r="O965" s="332"/>
      <c r="P965" s="332"/>
      <c r="Q965" s="319"/>
      <c r="R965" s="311"/>
    </row>
    <row r="966" ht="14.25" customHeight="1" outlineLevel="1">
      <c r="B966" s="327"/>
      <c r="D966" s="336"/>
      <c r="E966" s="333" t="s">
        <v>509</v>
      </c>
      <c r="F966" s="339">
        <v>50.0</v>
      </c>
      <c r="G966" s="311">
        <v>449.0</v>
      </c>
      <c r="H966" s="311">
        <v>229.0</v>
      </c>
      <c r="I966" s="312"/>
      <c r="J966" s="313">
        <v>80.0</v>
      </c>
      <c r="K966" s="314">
        <f t="shared" si="98"/>
        <v>0.1781737194</v>
      </c>
      <c r="L966" s="315">
        <f t="shared" si="99"/>
        <v>-80</v>
      </c>
      <c r="M966" s="316">
        <f t="shared" si="100"/>
        <v>-1</v>
      </c>
      <c r="N966" s="331"/>
      <c r="O966" s="332"/>
      <c r="P966" s="332"/>
      <c r="Q966" s="319"/>
      <c r="R966" s="311"/>
    </row>
    <row r="967" ht="14.25" customHeight="1" outlineLevel="1">
      <c r="B967" s="327"/>
      <c r="D967" s="336"/>
      <c r="E967" s="333" t="s">
        <v>510</v>
      </c>
      <c r="F967" s="339">
        <v>50.0</v>
      </c>
      <c r="G967" s="311">
        <v>449.0</v>
      </c>
      <c r="H967" s="311">
        <v>299.0</v>
      </c>
      <c r="I967" s="312"/>
      <c r="J967" s="313">
        <v>80.0</v>
      </c>
      <c r="K967" s="314">
        <f t="shared" si="98"/>
        <v>0.1781737194</v>
      </c>
      <c r="L967" s="315">
        <f t="shared" si="99"/>
        <v>-80</v>
      </c>
      <c r="M967" s="316">
        <f t="shared" si="100"/>
        <v>-1</v>
      </c>
      <c r="N967" s="331"/>
      <c r="O967" s="332"/>
      <c r="P967" s="332"/>
      <c r="Q967" s="319"/>
      <c r="R967" s="311"/>
    </row>
    <row r="968" ht="14.25" customHeight="1" outlineLevel="1">
      <c r="B968" s="327"/>
      <c r="C968" s="327"/>
      <c r="D968" s="336"/>
      <c r="E968" s="333" t="s">
        <v>114</v>
      </c>
      <c r="F968" s="339">
        <v>50.0</v>
      </c>
      <c r="G968" s="311"/>
      <c r="H968" s="311"/>
      <c r="I968" s="312"/>
      <c r="J968" s="313">
        <v>80.0</v>
      </c>
      <c r="K968" s="314" t="str">
        <f t="shared" si="98"/>
        <v>#DIV/0!</v>
      </c>
      <c r="L968" s="315">
        <f t="shared" si="99"/>
        <v>-80</v>
      </c>
      <c r="M968" s="316">
        <f t="shared" si="100"/>
        <v>-1</v>
      </c>
      <c r="N968" s="331"/>
      <c r="O968" s="332"/>
      <c r="P968" s="332"/>
      <c r="Q968" s="319"/>
      <c r="R968" s="311"/>
    </row>
    <row r="969" ht="14.25" customHeight="1" outlineLevel="1">
      <c r="A969" s="327" t="s">
        <v>874</v>
      </c>
      <c r="B969" s="327"/>
      <c r="C969" s="327" t="s">
        <v>874</v>
      </c>
      <c r="D969" s="336"/>
      <c r="E969" s="333" t="s">
        <v>159</v>
      </c>
      <c r="F969" s="339">
        <v>50.0</v>
      </c>
      <c r="G969" s="311">
        <v>429.0</v>
      </c>
      <c r="H969" s="311">
        <v>229.0</v>
      </c>
      <c r="I969" s="312" t="str">
        <f>G969/R969</f>
        <v>#DIV/0!</v>
      </c>
      <c r="J969" s="313">
        <v>80.0</v>
      </c>
      <c r="K969" s="314">
        <f t="shared" si="98"/>
        <v>0.1864801865</v>
      </c>
      <c r="L969" s="315">
        <f t="shared" si="99"/>
        <v>-80</v>
      </c>
      <c r="M969" s="316">
        <f t="shared" si="100"/>
        <v>-1</v>
      </c>
      <c r="N969" s="331"/>
      <c r="O969" s="332" t="s">
        <v>112</v>
      </c>
      <c r="P969" s="332" t="s">
        <v>112</v>
      </c>
      <c r="Q969" s="319"/>
      <c r="R969" s="311"/>
    </row>
    <row r="970" ht="14.25" customHeight="1" outlineLevel="1">
      <c r="B970" s="327"/>
      <c r="D970" s="336"/>
      <c r="E970" s="333" t="s">
        <v>160</v>
      </c>
      <c r="F970" s="339">
        <v>50.0</v>
      </c>
      <c r="G970" s="311">
        <v>429.0</v>
      </c>
      <c r="H970" s="311">
        <v>219.0</v>
      </c>
      <c r="I970" s="312"/>
      <c r="J970" s="313">
        <v>80.0</v>
      </c>
      <c r="K970" s="314">
        <f t="shared" si="98"/>
        <v>0.1864801865</v>
      </c>
      <c r="L970" s="315">
        <f t="shared" si="99"/>
        <v>-80</v>
      </c>
      <c r="M970" s="316">
        <f t="shared" si="100"/>
        <v>-1</v>
      </c>
      <c r="N970" s="331"/>
      <c r="O970" s="332"/>
      <c r="P970" s="332"/>
      <c r="Q970" s="319"/>
      <c r="R970" s="311"/>
    </row>
    <row r="971" ht="14.25" customHeight="1" outlineLevel="1">
      <c r="B971" s="327"/>
      <c r="D971" s="336"/>
      <c r="E971" s="333" t="s">
        <v>509</v>
      </c>
      <c r="F971" s="339">
        <v>50.0</v>
      </c>
      <c r="G971" s="311">
        <v>449.0</v>
      </c>
      <c r="H971" s="311">
        <v>229.0</v>
      </c>
      <c r="I971" s="312"/>
      <c r="J971" s="313">
        <v>80.0</v>
      </c>
      <c r="K971" s="314">
        <f t="shared" si="98"/>
        <v>0.1781737194</v>
      </c>
      <c r="L971" s="315">
        <f t="shared" si="99"/>
        <v>-80</v>
      </c>
      <c r="M971" s="316">
        <f t="shared" si="100"/>
        <v>-1</v>
      </c>
      <c r="N971" s="331"/>
      <c r="O971" s="332"/>
      <c r="P971" s="332"/>
      <c r="Q971" s="319"/>
      <c r="R971" s="311"/>
    </row>
    <row r="972" ht="14.25" customHeight="1" outlineLevel="1">
      <c r="B972" s="327"/>
      <c r="D972" s="336"/>
      <c r="E972" s="333" t="s">
        <v>510</v>
      </c>
      <c r="F972" s="339">
        <v>50.0</v>
      </c>
      <c r="G972" s="311">
        <v>449.0</v>
      </c>
      <c r="H972" s="311">
        <v>299.0</v>
      </c>
      <c r="I972" s="312"/>
      <c r="J972" s="313">
        <v>80.0</v>
      </c>
      <c r="K972" s="314">
        <f t="shared" si="98"/>
        <v>0.1781737194</v>
      </c>
      <c r="L972" s="315">
        <f t="shared" si="99"/>
        <v>-80</v>
      </c>
      <c r="M972" s="316">
        <f t="shared" si="100"/>
        <v>-1</v>
      </c>
      <c r="N972" s="331"/>
      <c r="O972" s="332"/>
      <c r="P972" s="332"/>
      <c r="Q972" s="319"/>
      <c r="R972" s="311"/>
    </row>
    <row r="973" ht="14.25" customHeight="1" outlineLevel="1">
      <c r="B973" s="327"/>
      <c r="C973" s="327"/>
      <c r="D973" s="336"/>
      <c r="E973" s="333" t="s">
        <v>114</v>
      </c>
      <c r="F973" s="339">
        <v>50.0</v>
      </c>
      <c r="G973" s="311"/>
      <c r="H973" s="311"/>
      <c r="I973" s="312"/>
      <c r="J973" s="313">
        <v>80.0</v>
      </c>
      <c r="K973" s="314" t="str">
        <f t="shared" si="98"/>
        <v>#DIV/0!</v>
      </c>
      <c r="L973" s="315">
        <f t="shared" si="99"/>
        <v>-80</v>
      </c>
      <c r="M973" s="316">
        <f t="shared" si="100"/>
        <v>-1</v>
      </c>
      <c r="N973" s="331"/>
      <c r="O973" s="332"/>
      <c r="P973" s="332"/>
      <c r="Q973" s="319"/>
      <c r="R973" s="311"/>
    </row>
    <row r="974" ht="14.25" customHeight="1" outlineLevel="1">
      <c r="A974" s="327" t="s">
        <v>875</v>
      </c>
      <c r="B974" s="327"/>
      <c r="C974" s="327" t="s">
        <v>875</v>
      </c>
      <c r="D974" s="336"/>
      <c r="E974" s="333" t="s">
        <v>159</v>
      </c>
      <c r="F974" s="339">
        <v>50.0</v>
      </c>
      <c r="G974" s="311">
        <v>429.0</v>
      </c>
      <c r="H974" s="311">
        <v>229.0</v>
      </c>
      <c r="I974" s="312" t="str">
        <f>G974/R974</f>
        <v>#DIV/0!</v>
      </c>
      <c r="J974" s="313">
        <v>80.0</v>
      </c>
      <c r="K974" s="314">
        <f t="shared" si="98"/>
        <v>0.1864801865</v>
      </c>
      <c r="L974" s="315">
        <f t="shared" si="99"/>
        <v>-80</v>
      </c>
      <c r="M974" s="316">
        <f t="shared" si="100"/>
        <v>-1</v>
      </c>
      <c r="N974" s="331"/>
      <c r="O974" s="332" t="s">
        <v>112</v>
      </c>
      <c r="P974" s="332" t="s">
        <v>112</v>
      </c>
      <c r="Q974" s="319"/>
      <c r="R974" s="311"/>
    </row>
    <row r="975" ht="14.25" customHeight="1" outlineLevel="1">
      <c r="B975" s="327"/>
      <c r="D975" s="336"/>
      <c r="E975" s="333" t="s">
        <v>160</v>
      </c>
      <c r="F975" s="339">
        <v>50.0</v>
      </c>
      <c r="G975" s="311">
        <v>429.0</v>
      </c>
      <c r="H975" s="311">
        <v>219.0</v>
      </c>
      <c r="I975" s="312"/>
      <c r="J975" s="313">
        <v>80.0</v>
      </c>
      <c r="K975" s="314">
        <f t="shared" si="98"/>
        <v>0.1864801865</v>
      </c>
      <c r="L975" s="315">
        <f t="shared" si="99"/>
        <v>-80</v>
      </c>
      <c r="M975" s="316">
        <f t="shared" si="100"/>
        <v>-1</v>
      </c>
      <c r="N975" s="331"/>
      <c r="O975" s="332"/>
      <c r="P975" s="332"/>
      <c r="Q975" s="319"/>
      <c r="R975" s="311"/>
    </row>
    <row r="976" ht="14.25" customHeight="1" outlineLevel="1">
      <c r="B976" s="327"/>
      <c r="D976" s="336"/>
      <c r="E976" s="333" t="s">
        <v>509</v>
      </c>
      <c r="F976" s="339">
        <v>50.0</v>
      </c>
      <c r="G976" s="311">
        <v>449.0</v>
      </c>
      <c r="H976" s="311">
        <v>229.0</v>
      </c>
      <c r="I976" s="312"/>
      <c r="J976" s="313">
        <v>80.0</v>
      </c>
      <c r="K976" s="314">
        <f t="shared" si="98"/>
        <v>0.1781737194</v>
      </c>
      <c r="L976" s="315">
        <f t="shared" si="99"/>
        <v>-80</v>
      </c>
      <c r="M976" s="316">
        <f t="shared" si="100"/>
        <v>-1</v>
      </c>
      <c r="N976" s="331"/>
      <c r="O976" s="332"/>
      <c r="P976" s="332"/>
      <c r="Q976" s="319"/>
      <c r="R976" s="311"/>
    </row>
    <row r="977" ht="14.25" customHeight="1" outlineLevel="1">
      <c r="B977" s="327"/>
      <c r="D977" s="336"/>
      <c r="E977" s="333" t="s">
        <v>510</v>
      </c>
      <c r="F977" s="339">
        <v>50.0</v>
      </c>
      <c r="G977" s="311">
        <v>449.0</v>
      </c>
      <c r="H977" s="311">
        <v>299.0</v>
      </c>
      <c r="I977" s="312"/>
      <c r="J977" s="313">
        <v>80.0</v>
      </c>
      <c r="K977" s="314">
        <f t="shared" si="98"/>
        <v>0.1781737194</v>
      </c>
      <c r="L977" s="315">
        <f t="shared" si="99"/>
        <v>-80</v>
      </c>
      <c r="M977" s="316">
        <f t="shared" si="100"/>
        <v>-1</v>
      </c>
      <c r="N977" s="331"/>
      <c r="O977" s="332"/>
      <c r="P977" s="332"/>
      <c r="Q977" s="319"/>
      <c r="R977" s="311"/>
    </row>
    <row r="978" ht="14.25" customHeight="1" outlineLevel="1">
      <c r="B978" s="327"/>
      <c r="C978" s="327"/>
      <c r="D978" s="336"/>
      <c r="E978" s="333" t="s">
        <v>114</v>
      </c>
      <c r="F978" s="339">
        <v>50.0</v>
      </c>
      <c r="G978" s="311"/>
      <c r="H978" s="311"/>
      <c r="I978" s="312"/>
      <c r="J978" s="313">
        <v>80.0</v>
      </c>
      <c r="K978" s="314" t="str">
        <f t="shared" si="98"/>
        <v>#DIV/0!</v>
      </c>
      <c r="L978" s="315">
        <f t="shared" si="99"/>
        <v>-80</v>
      </c>
      <c r="M978" s="316">
        <f t="shared" si="100"/>
        <v>-1</v>
      </c>
      <c r="N978" s="331"/>
      <c r="O978" s="332"/>
      <c r="P978" s="332"/>
      <c r="Q978" s="319"/>
      <c r="R978" s="311"/>
    </row>
    <row r="979" ht="14.25" customHeight="1" outlineLevel="1">
      <c r="A979" s="288" t="s">
        <v>876</v>
      </c>
      <c r="B979" s="289"/>
      <c r="C979" s="289"/>
      <c r="D979" s="340"/>
      <c r="E979" s="322" t="s">
        <v>159</v>
      </c>
      <c r="F979" s="356"/>
      <c r="G979" s="357"/>
      <c r="H979" s="357"/>
      <c r="I979" s="324"/>
      <c r="J979" s="325"/>
      <c r="K979" s="297"/>
      <c r="L979" s="326"/>
      <c r="M979" s="297"/>
      <c r="N979" s="299"/>
      <c r="O979" s="297"/>
      <c r="P979" s="297"/>
      <c r="Q979" s="326"/>
      <c r="R979" s="357"/>
    </row>
    <row r="980" ht="14.25" customHeight="1" outlineLevel="1">
      <c r="B980" s="289"/>
      <c r="C980" s="289"/>
      <c r="D980" s="340"/>
      <c r="E980" s="322" t="s">
        <v>160</v>
      </c>
      <c r="F980" s="356"/>
      <c r="G980" s="357"/>
      <c r="H980" s="357"/>
      <c r="I980" s="324"/>
      <c r="J980" s="325"/>
      <c r="K980" s="297"/>
      <c r="L980" s="326"/>
      <c r="M980" s="297"/>
      <c r="N980" s="299"/>
      <c r="O980" s="297"/>
      <c r="P980" s="297"/>
      <c r="Q980" s="326"/>
      <c r="R980" s="357"/>
    </row>
    <row r="981" ht="14.25" customHeight="1" outlineLevel="1">
      <c r="B981" s="289"/>
      <c r="C981" s="289"/>
      <c r="D981" s="340"/>
      <c r="E981" s="322" t="s">
        <v>509</v>
      </c>
      <c r="F981" s="356"/>
      <c r="G981" s="357"/>
      <c r="H981" s="357"/>
      <c r="I981" s="324"/>
      <c r="J981" s="325"/>
      <c r="K981" s="297"/>
      <c r="L981" s="326"/>
      <c r="M981" s="297"/>
      <c r="N981" s="299"/>
      <c r="O981" s="297"/>
      <c r="P981" s="297"/>
      <c r="Q981" s="326"/>
      <c r="R981" s="357"/>
    </row>
    <row r="982" ht="14.25" customHeight="1" outlineLevel="1">
      <c r="B982" s="289"/>
      <c r="C982" s="289"/>
      <c r="D982" s="340"/>
      <c r="E982" s="322" t="s">
        <v>622</v>
      </c>
      <c r="F982" s="356"/>
      <c r="G982" s="357"/>
      <c r="H982" s="357"/>
      <c r="I982" s="324"/>
      <c r="J982" s="325"/>
      <c r="K982" s="297"/>
      <c r="L982" s="326"/>
      <c r="M982" s="297"/>
      <c r="N982" s="299"/>
      <c r="O982" s="297"/>
      <c r="P982" s="297"/>
      <c r="Q982" s="326"/>
      <c r="R982" s="357"/>
    </row>
    <row r="983" ht="14.25" customHeight="1" outlineLevel="1">
      <c r="B983" s="289"/>
      <c r="C983" s="289"/>
      <c r="D983" s="340"/>
      <c r="E983" s="322" t="s">
        <v>114</v>
      </c>
      <c r="F983" s="356"/>
      <c r="G983" s="357"/>
      <c r="H983" s="357"/>
      <c r="I983" s="324"/>
      <c r="J983" s="325"/>
      <c r="K983" s="297"/>
      <c r="L983" s="326"/>
      <c r="M983" s="297"/>
      <c r="N983" s="299"/>
      <c r="O983" s="297"/>
      <c r="P983" s="297"/>
      <c r="Q983" s="326"/>
      <c r="R983" s="357"/>
    </row>
    <row r="984" ht="14.25" customHeight="1" outlineLevel="1">
      <c r="A984" s="327" t="s">
        <v>877</v>
      </c>
      <c r="B984" s="327"/>
      <c r="C984" s="327" t="s">
        <v>877</v>
      </c>
      <c r="D984" s="336"/>
      <c r="E984" s="333" t="s">
        <v>159</v>
      </c>
      <c r="F984" s="339">
        <v>50.0</v>
      </c>
      <c r="G984" s="334">
        <v>299.0</v>
      </c>
      <c r="H984" s="334"/>
      <c r="I984" s="286"/>
      <c r="J984" s="335">
        <v>50.0</v>
      </c>
      <c r="K984" s="332">
        <f t="shared" ref="K984:K998" si="101">J984/G984</f>
        <v>0.1672240803</v>
      </c>
      <c r="L984" s="319">
        <f t="shared" ref="L984:L998" si="102">Q984-J984</f>
        <v>-50</v>
      </c>
      <c r="M984" s="332">
        <f t="shared" ref="M984:M998" si="103">Q984/J984-1</f>
        <v>-1</v>
      </c>
      <c r="N984" s="331"/>
      <c r="O984" s="332"/>
      <c r="P984" s="332"/>
      <c r="Q984" s="319"/>
      <c r="R984" s="334"/>
    </row>
    <row r="985" ht="14.25" customHeight="1" outlineLevel="1">
      <c r="B985" s="327"/>
      <c r="D985" s="336"/>
      <c r="E985" s="333" t="s">
        <v>160</v>
      </c>
      <c r="F985" s="339">
        <v>50.0</v>
      </c>
      <c r="G985" s="334">
        <v>299.0</v>
      </c>
      <c r="H985" s="334"/>
      <c r="I985" s="286"/>
      <c r="J985" s="335">
        <v>50.0</v>
      </c>
      <c r="K985" s="332">
        <f t="shared" si="101"/>
        <v>0.1672240803</v>
      </c>
      <c r="L985" s="319">
        <f t="shared" si="102"/>
        <v>-50</v>
      </c>
      <c r="M985" s="332">
        <f t="shared" si="103"/>
        <v>-1</v>
      </c>
      <c r="N985" s="331"/>
      <c r="O985" s="332"/>
      <c r="P985" s="332"/>
      <c r="Q985" s="319"/>
      <c r="R985" s="334"/>
    </row>
    <row r="986" ht="14.25" customHeight="1" outlineLevel="1">
      <c r="B986" s="327"/>
      <c r="D986" s="336"/>
      <c r="E986" s="333" t="s">
        <v>509</v>
      </c>
      <c r="F986" s="339">
        <v>50.0</v>
      </c>
      <c r="G986" s="334">
        <v>299.0</v>
      </c>
      <c r="H986" s="334"/>
      <c r="I986" s="286"/>
      <c r="J986" s="335">
        <v>50.0</v>
      </c>
      <c r="K986" s="332">
        <f t="shared" si="101"/>
        <v>0.1672240803</v>
      </c>
      <c r="L986" s="319">
        <f t="shared" si="102"/>
        <v>-50</v>
      </c>
      <c r="M986" s="332">
        <f t="shared" si="103"/>
        <v>-1</v>
      </c>
      <c r="N986" s="331"/>
      <c r="O986" s="332"/>
      <c r="P986" s="332"/>
      <c r="Q986" s="319"/>
      <c r="R986" s="334"/>
    </row>
    <row r="987" ht="14.25" customHeight="1" outlineLevel="1">
      <c r="B987" s="327"/>
      <c r="D987" s="336"/>
      <c r="E987" s="333" t="s">
        <v>510</v>
      </c>
      <c r="F987" s="339">
        <v>50.0</v>
      </c>
      <c r="G987" s="334">
        <v>299.0</v>
      </c>
      <c r="H987" s="334"/>
      <c r="I987" s="286"/>
      <c r="J987" s="335">
        <v>50.0</v>
      </c>
      <c r="K987" s="332">
        <f t="shared" si="101"/>
        <v>0.1672240803</v>
      </c>
      <c r="L987" s="319">
        <f t="shared" si="102"/>
        <v>-50</v>
      </c>
      <c r="M987" s="332">
        <f t="shared" si="103"/>
        <v>-1</v>
      </c>
      <c r="N987" s="331"/>
      <c r="O987" s="332"/>
      <c r="P987" s="332"/>
      <c r="Q987" s="319"/>
      <c r="R987" s="334"/>
    </row>
    <row r="988" ht="14.25" customHeight="1" outlineLevel="1">
      <c r="B988" s="327"/>
      <c r="C988" s="327"/>
      <c r="D988" s="336"/>
      <c r="E988" s="333" t="s">
        <v>114</v>
      </c>
      <c r="F988" s="339">
        <v>50.0</v>
      </c>
      <c r="G988" s="334"/>
      <c r="H988" s="334"/>
      <c r="I988" s="286"/>
      <c r="J988" s="335">
        <v>50.0</v>
      </c>
      <c r="K988" s="332" t="str">
        <f t="shared" si="101"/>
        <v>#DIV/0!</v>
      </c>
      <c r="L988" s="319">
        <f t="shared" si="102"/>
        <v>-50</v>
      </c>
      <c r="M988" s="332">
        <f t="shared" si="103"/>
        <v>-1</v>
      </c>
      <c r="N988" s="331"/>
      <c r="O988" s="332"/>
      <c r="P988" s="332"/>
      <c r="Q988" s="319"/>
      <c r="R988" s="334"/>
    </row>
    <row r="989" ht="14.25" customHeight="1" outlineLevel="1">
      <c r="A989" s="327" t="s">
        <v>878</v>
      </c>
      <c r="B989" s="327"/>
      <c r="C989" s="327" t="s">
        <v>878</v>
      </c>
      <c r="D989" s="336"/>
      <c r="E989" s="333" t="s">
        <v>159</v>
      </c>
      <c r="F989" s="339">
        <v>50.0</v>
      </c>
      <c r="G989" s="311">
        <v>479.0</v>
      </c>
      <c r="H989" s="311">
        <v>459.0</v>
      </c>
      <c r="I989" s="312" t="str">
        <f>G989/R989</f>
        <v>#DIV/0!</v>
      </c>
      <c r="J989" s="313">
        <v>84.0</v>
      </c>
      <c r="K989" s="314">
        <f t="shared" si="101"/>
        <v>0.1753653445</v>
      </c>
      <c r="L989" s="315">
        <f t="shared" si="102"/>
        <v>-84</v>
      </c>
      <c r="M989" s="316">
        <f t="shared" si="103"/>
        <v>-1</v>
      </c>
      <c r="N989" s="331"/>
      <c r="O989" s="332" t="s">
        <v>112</v>
      </c>
      <c r="P989" s="332" t="s">
        <v>112</v>
      </c>
      <c r="Q989" s="319"/>
      <c r="R989" s="311"/>
    </row>
    <row r="990" ht="14.25" customHeight="1" outlineLevel="1">
      <c r="B990" s="327"/>
      <c r="D990" s="336"/>
      <c r="E990" s="333" t="s">
        <v>160</v>
      </c>
      <c r="F990" s="339">
        <v>50.0</v>
      </c>
      <c r="G990" s="311">
        <v>479.0</v>
      </c>
      <c r="H990" s="311">
        <v>429.0</v>
      </c>
      <c r="I990" s="312"/>
      <c r="J990" s="313">
        <v>84.0</v>
      </c>
      <c r="K990" s="314">
        <f t="shared" si="101"/>
        <v>0.1753653445</v>
      </c>
      <c r="L990" s="315">
        <f t="shared" si="102"/>
        <v>-84</v>
      </c>
      <c r="M990" s="316">
        <f t="shared" si="103"/>
        <v>-1</v>
      </c>
      <c r="N990" s="331"/>
      <c r="O990" s="332"/>
      <c r="P990" s="332"/>
      <c r="Q990" s="319"/>
      <c r="R990" s="311"/>
    </row>
    <row r="991" ht="14.25" customHeight="1" outlineLevel="1">
      <c r="B991" s="327"/>
      <c r="D991" s="336"/>
      <c r="E991" s="333" t="s">
        <v>509</v>
      </c>
      <c r="F991" s="339">
        <v>50.0</v>
      </c>
      <c r="G991" s="311">
        <v>499.0</v>
      </c>
      <c r="H991" s="311">
        <v>469.0</v>
      </c>
      <c r="I991" s="312"/>
      <c r="J991" s="313">
        <v>84.0</v>
      </c>
      <c r="K991" s="314">
        <f t="shared" si="101"/>
        <v>0.1683366733</v>
      </c>
      <c r="L991" s="315">
        <f t="shared" si="102"/>
        <v>-84</v>
      </c>
      <c r="M991" s="316">
        <f t="shared" si="103"/>
        <v>-1</v>
      </c>
      <c r="N991" s="331"/>
      <c r="O991" s="332"/>
      <c r="P991" s="332"/>
      <c r="Q991" s="319"/>
      <c r="R991" s="311"/>
    </row>
    <row r="992" ht="14.25" customHeight="1" outlineLevel="1">
      <c r="B992" s="327"/>
      <c r="D992" s="336"/>
      <c r="E992" s="333" t="s">
        <v>510</v>
      </c>
      <c r="F992" s="339">
        <v>50.0</v>
      </c>
      <c r="G992" s="311">
        <v>499.0</v>
      </c>
      <c r="H992" s="311"/>
      <c r="I992" s="312"/>
      <c r="J992" s="313">
        <v>84.0</v>
      </c>
      <c r="K992" s="314">
        <f t="shared" si="101"/>
        <v>0.1683366733</v>
      </c>
      <c r="L992" s="315">
        <f t="shared" si="102"/>
        <v>-84</v>
      </c>
      <c r="M992" s="316">
        <f t="shared" si="103"/>
        <v>-1</v>
      </c>
      <c r="N992" s="331"/>
      <c r="O992" s="332"/>
      <c r="P992" s="332"/>
      <c r="Q992" s="319"/>
      <c r="R992" s="311"/>
    </row>
    <row r="993" ht="14.25" customHeight="1" outlineLevel="1">
      <c r="B993" s="327"/>
      <c r="C993" s="327"/>
      <c r="D993" s="336"/>
      <c r="E993" s="333" t="s">
        <v>114</v>
      </c>
      <c r="F993" s="339">
        <v>50.0</v>
      </c>
      <c r="G993" s="311"/>
      <c r="H993" s="311"/>
      <c r="I993" s="312"/>
      <c r="J993" s="313">
        <v>84.0</v>
      </c>
      <c r="K993" s="314" t="str">
        <f t="shared" si="101"/>
        <v>#DIV/0!</v>
      </c>
      <c r="L993" s="315">
        <f t="shared" si="102"/>
        <v>-84</v>
      </c>
      <c r="M993" s="316">
        <f t="shared" si="103"/>
        <v>-1</v>
      </c>
      <c r="N993" s="331"/>
      <c r="O993" s="332"/>
      <c r="P993" s="332"/>
      <c r="Q993" s="319"/>
      <c r="R993" s="311"/>
    </row>
    <row r="994" ht="14.25" customHeight="1" outlineLevel="1">
      <c r="A994" s="327" t="s">
        <v>879</v>
      </c>
      <c r="B994" s="327"/>
      <c r="C994" s="327" t="s">
        <v>879</v>
      </c>
      <c r="D994" s="336"/>
      <c r="E994" s="333" t="s">
        <v>159</v>
      </c>
      <c r="F994" s="339">
        <v>50.0</v>
      </c>
      <c r="G994" s="311">
        <v>459.0</v>
      </c>
      <c r="H994" s="311">
        <v>449.0</v>
      </c>
      <c r="I994" s="312" t="str">
        <f>G994/R994</f>
        <v>#DIV/0!</v>
      </c>
      <c r="J994" s="313">
        <v>66.0</v>
      </c>
      <c r="K994" s="314">
        <f t="shared" si="101"/>
        <v>0.1437908497</v>
      </c>
      <c r="L994" s="315">
        <f t="shared" si="102"/>
        <v>-66</v>
      </c>
      <c r="M994" s="316">
        <f t="shared" si="103"/>
        <v>-1</v>
      </c>
      <c r="N994" s="331"/>
      <c r="O994" s="332" t="s">
        <v>112</v>
      </c>
      <c r="P994" s="332" t="s">
        <v>112</v>
      </c>
      <c r="Q994" s="319"/>
      <c r="R994" s="311"/>
    </row>
    <row r="995" ht="14.25" customHeight="1" outlineLevel="1">
      <c r="B995" s="327"/>
      <c r="D995" s="336"/>
      <c r="E995" s="333" t="s">
        <v>160</v>
      </c>
      <c r="F995" s="339">
        <v>50.0</v>
      </c>
      <c r="G995" s="311">
        <v>459.0</v>
      </c>
      <c r="H995" s="311">
        <v>389.0</v>
      </c>
      <c r="I995" s="312"/>
      <c r="J995" s="313">
        <v>66.0</v>
      </c>
      <c r="K995" s="314">
        <f t="shared" si="101"/>
        <v>0.1437908497</v>
      </c>
      <c r="L995" s="315">
        <f t="shared" si="102"/>
        <v>-66</v>
      </c>
      <c r="M995" s="316">
        <f t="shared" si="103"/>
        <v>-1</v>
      </c>
      <c r="N995" s="331"/>
      <c r="O995" s="332"/>
      <c r="P995" s="332"/>
      <c r="Q995" s="319"/>
      <c r="R995" s="311"/>
    </row>
    <row r="996" ht="14.25" customHeight="1" outlineLevel="1">
      <c r="B996" s="327"/>
      <c r="D996" s="336"/>
      <c r="E996" s="333" t="s">
        <v>509</v>
      </c>
      <c r="F996" s="339">
        <v>50.0</v>
      </c>
      <c r="G996" s="311">
        <v>479.0</v>
      </c>
      <c r="H996" s="311">
        <v>429.0</v>
      </c>
      <c r="I996" s="312"/>
      <c r="J996" s="313">
        <v>66.0</v>
      </c>
      <c r="K996" s="314">
        <f t="shared" si="101"/>
        <v>0.1377870564</v>
      </c>
      <c r="L996" s="315">
        <f t="shared" si="102"/>
        <v>-66</v>
      </c>
      <c r="M996" s="316">
        <f t="shared" si="103"/>
        <v>-1</v>
      </c>
      <c r="N996" s="331"/>
      <c r="O996" s="332"/>
      <c r="P996" s="332"/>
      <c r="Q996" s="319"/>
      <c r="R996" s="311"/>
    </row>
    <row r="997" ht="14.25" customHeight="1" outlineLevel="1">
      <c r="B997" s="327"/>
      <c r="D997" s="336"/>
      <c r="E997" s="333" t="s">
        <v>510</v>
      </c>
      <c r="F997" s="339">
        <v>50.0</v>
      </c>
      <c r="G997" s="311">
        <v>479.0</v>
      </c>
      <c r="H997" s="311">
        <v>429.0</v>
      </c>
      <c r="I997" s="312"/>
      <c r="J997" s="313">
        <v>66.0</v>
      </c>
      <c r="K997" s="314">
        <f t="shared" si="101"/>
        <v>0.1377870564</v>
      </c>
      <c r="L997" s="315">
        <f t="shared" si="102"/>
        <v>-66</v>
      </c>
      <c r="M997" s="316">
        <f t="shared" si="103"/>
        <v>-1</v>
      </c>
      <c r="N997" s="331"/>
      <c r="O997" s="332"/>
      <c r="P997" s="332"/>
      <c r="Q997" s="319"/>
      <c r="R997" s="311"/>
    </row>
    <row r="998" ht="14.25" customHeight="1" outlineLevel="1">
      <c r="B998" s="327"/>
      <c r="C998" s="327"/>
      <c r="D998" s="336"/>
      <c r="E998" s="333" t="s">
        <v>114</v>
      </c>
      <c r="F998" s="339">
        <v>50.0</v>
      </c>
      <c r="G998" s="311"/>
      <c r="H998" s="311"/>
      <c r="I998" s="312"/>
      <c r="J998" s="313">
        <v>66.0</v>
      </c>
      <c r="K998" s="314" t="str">
        <f t="shared" si="101"/>
        <v>#DIV/0!</v>
      </c>
      <c r="L998" s="315">
        <f t="shared" si="102"/>
        <v>-66</v>
      </c>
      <c r="M998" s="316">
        <f t="shared" si="103"/>
        <v>-1</v>
      </c>
      <c r="N998" s="331"/>
      <c r="O998" s="332"/>
      <c r="P998" s="332"/>
      <c r="Q998" s="319"/>
      <c r="R998" s="311"/>
    </row>
    <row r="999" ht="14.25" customHeight="1" outlineLevel="1">
      <c r="A999" s="288" t="s">
        <v>880</v>
      </c>
      <c r="B999" s="289"/>
      <c r="C999" s="289"/>
      <c r="D999" s="340"/>
      <c r="E999" s="322" t="s">
        <v>159</v>
      </c>
      <c r="F999" s="356"/>
      <c r="G999" s="357"/>
      <c r="H999" s="357"/>
      <c r="I999" s="324"/>
      <c r="J999" s="325"/>
      <c r="K999" s="297"/>
      <c r="L999" s="326"/>
      <c r="M999" s="297"/>
      <c r="N999" s="299"/>
      <c r="O999" s="297"/>
      <c r="P999" s="297"/>
      <c r="Q999" s="326"/>
      <c r="R999" s="357"/>
    </row>
    <row r="1000" ht="14.25" customHeight="1" outlineLevel="1">
      <c r="B1000" s="289"/>
      <c r="C1000" s="289"/>
      <c r="D1000" s="340"/>
      <c r="E1000" s="322" t="s">
        <v>160</v>
      </c>
      <c r="F1000" s="356"/>
      <c r="G1000" s="357"/>
      <c r="H1000" s="357"/>
      <c r="I1000" s="324"/>
      <c r="J1000" s="325"/>
      <c r="K1000" s="297"/>
      <c r="L1000" s="326"/>
      <c r="M1000" s="297"/>
      <c r="N1000" s="299"/>
      <c r="O1000" s="297"/>
      <c r="P1000" s="297"/>
      <c r="Q1000" s="326"/>
      <c r="R1000" s="357"/>
    </row>
    <row r="1001" ht="14.25" customHeight="1" outlineLevel="1">
      <c r="B1001" s="289"/>
      <c r="C1001" s="289"/>
      <c r="D1001" s="340"/>
      <c r="E1001" s="322" t="s">
        <v>509</v>
      </c>
      <c r="F1001" s="356"/>
      <c r="G1001" s="357"/>
      <c r="H1001" s="357"/>
      <c r="I1001" s="324"/>
      <c r="J1001" s="325"/>
      <c r="K1001" s="297"/>
      <c r="L1001" s="326"/>
      <c r="M1001" s="297"/>
      <c r="N1001" s="299"/>
      <c r="O1001" s="297"/>
      <c r="P1001" s="297"/>
      <c r="Q1001" s="326"/>
      <c r="R1001" s="357"/>
    </row>
    <row r="1002" ht="14.25" customHeight="1" outlineLevel="1">
      <c r="B1002" s="289"/>
      <c r="C1002" s="289"/>
      <c r="D1002" s="340"/>
      <c r="E1002" s="322" t="s">
        <v>622</v>
      </c>
      <c r="F1002" s="356"/>
      <c r="G1002" s="357"/>
      <c r="H1002" s="357"/>
      <c r="I1002" s="324"/>
      <c r="J1002" s="325"/>
      <c r="K1002" s="297"/>
      <c r="L1002" s="326"/>
      <c r="M1002" s="297"/>
      <c r="N1002" s="299"/>
      <c r="O1002" s="297"/>
      <c r="P1002" s="297"/>
      <c r="Q1002" s="326"/>
      <c r="R1002" s="357"/>
    </row>
    <row r="1003" ht="14.25" customHeight="1" outlineLevel="1">
      <c r="B1003" s="289"/>
      <c r="C1003" s="289"/>
      <c r="D1003" s="340"/>
      <c r="E1003" s="322" t="s">
        <v>114</v>
      </c>
      <c r="F1003" s="356"/>
      <c r="G1003" s="357"/>
      <c r="H1003" s="357"/>
      <c r="I1003" s="324"/>
      <c r="J1003" s="325"/>
      <c r="K1003" s="297"/>
      <c r="L1003" s="326"/>
      <c r="M1003" s="297"/>
      <c r="N1003" s="299"/>
      <c r="O1003" s="297"/>
      <c r="P1003" s="297"/>
      <c r="Q1003" s="326"/>
      <c r="R1003" s="357"/>
    </row>
    <row r="1004" ht="14.25" customHeight="1" outlineLevel="1">
      <c r="A1004" s="327" t="s">
        <v>881</v>
      </c>
      <c r="B1004" s="327"/>
      <c r="C1004" s="327" t="s">
        <v>881</v>
      </c>
      <c r="D1004" s="336"/>
      <c r="E1004" s="333" t="s">
        <v>159</v>
      </c>
      <c r="F1004" s="339">
        <v>50.0</v>
      </c>
      <c r="G1004" s="334">
        <v>299.0</v>
      </c>
      <c r="H1004" s="334"/>
      <c r="I1004" s="286"/>
      <c r="J1004" s="335">
        <v>43.0</v>
      </c>
      <c r="K1004" s="332">
        <f t="shared" ref="K1004:K1018" si="104">J1004/G1004</f>
        <v>0.143812709</v>
      </c>
      <c r="L1004" s="319">
        <f t="shared" ref="L1004:L1018" si="105">Q1004-J1004</f>
        <v>-43</v>
      </c>
      <c r="M1004" s="332">
        <f t="shared" ref="M1004:M1018" si="106">Q1004/J1004-1</f>
        <v>-1</v>
      </c>
      <c r="N1004" s="331"/>
      <c r="O1004" s="332"/>
      <c r="P1004" s="332"/>
      <c r="Q1004" s="319"/>
      <c r="R1004" s="334"/>
    </row>
    <row r="1005" ht="14.25" customHeight="1" outlineLevel="1">
      <c r="B1005" s="327"/>
      <c r="D1005" s="336"/>
      <c r="E1005" s="333" t="s">
        <v>160</v>
      </c>
      <c r="F1005" s="339">
        <v>50.0</v>
      </c>
      <c r="G1005" s="334">
        <v>299.0</v>
      </c>
      <c r="H1005" s="334"/>
      <c r="I1005" s="286"/>
      <c r="J1005" s="335">
        <v>43.0</v>
      </c>
      <c r="K1005" s="332">
        <f t="shared" si="104"/>
        <v>0.143812709</v>
      </c>
      <c r="L1005" s="319">
        <f t="shared" si="105"/>
        <v>-43</v>
      </c>
      <c r="M1005" s="332">
        <f t="shared" si="106"/>
        <v>-1</v>
      </c>
      <c r="N1005" s="331"/>
      <c r="O1005" s="332"/>
      <c r="P1005" s="332"/>
      <c r="Q1005" s="319"/>
      <c r="R1005" s="334"/>
    </row>
    <row r="1006" ht="14.25" customHeight="1" outlineLevel="1">
      <c r="B1006" s="327"/>
      <c r="D1006" s="336"/>
      <c r="E1006" s="333" t="s">
        <v>509</v>
      </c>
      <c r="F1006" s="339">
        <v>50.0</v>
      </c>
      <c r="G1006" s="334">
        <v>329.0</v>
      </c>
      <c r="H1006" s="334"/>
      <c r="I1006" s="286"/>
      <c r="J1006" s="335">
        <v>43.0</v>
      </c>
      <c r="K1006" s="332">
        <f t="shared" si="104"/>
        <v>0.1306990881</v>
      </c>
      <c r="L1006" s="319">
        <f t="shared" si="105"/>
        <v>-43</v>
      </c>
      <c r="M1006" s="332">
        <f t="shared" si="106"/>
        <v>-1</v>
      </c>
      <c r="N1006" s="331"/>
      <c r="O1006" s="332"/>
      <c r="P1006" s="332"/>
      <c r="Q1006" s="319"/>
      <c r="R1006" s="334"/>
    </row>
    <row r="1007" ht="14.25" customHeight="1" outlineLevel="1">
      <c r="B1007" s="327"/>
      <c r="D1007" s="336"/>
      <c r="E1007" s="333" t="s">
        <v>510</v>
      </c>
      <c r="F1007" s="339">
        <v>50.0</v>
      </c>
      <c r="G1007" s="334">
        <v>329.0</v>
      </c>
      <c r="H1007" s="334"/>
      <c r="I1007" s="286"/>
      <c r="J1007" s="335">
        <v>43.0</v>
      </c>
      <c r="K1007" s="332">
        <f t="shared" si="104"/>
        <v>0.1306990881</v>
      </c>
      <c r="L1007" s="319">
        <f t="shared" si="105"/>
        <v>-43</v>
      </c>
      <c r="M1007" s="332">
        <f t="shared" si="106"/>
        <v>-1</v>
      </c>
      <c r="N1007" s="331"/>
      <c r="O1007" s="332"/>
      <c r="P1007" s="332"/>
      <c r="Q1007" s="319"/>
      <c r="R1007" s="334"/>
    </row>
    <row r="1008" ht="14.25" customHeight="1" outlineLevel="1">
      <c r="B1008" s="327"/>
      <c r="C1008" s="327"/>
      <c r="D1008" s="336"/>
      <c r="E1008" s="333" t="s">
        <v>114</v>
      </c>
      <c r="F1008" s="339">
        <v>50.0</v>
      </c>
      <c r="G1008" s="334"/>
      <c r="H1008" s="334"/>
      <c r="I1008" s="286"/>
      <c r="J1008" s="335">
        <v>43.0</v>
      </c>
      <c r="K1008" s="332" t="str">
        <f t="shared" si="104"/>
        <v>#DIV/0!</v>
      </c>
      <c r="L1008" s="319">
        <f t="shared" si="105"/>
        <v>-43</v>
      </c>
      <c r="M1008" s="332">
        <f t="shared" si="106"/>
        <v>-1</v>
      </c>
      <c r="N1008" s="331"/>
      <c r="O1008" s="332"/>
      <c r="P1008" s="332"/>
      <c r="Q1008" s="319"/>
      <c r="R1008" s="334"/>
    </row>
    <row r="1009" ht="14.25" customHeight="1" outlineLevel="1">
      <c r="A1009" s="327" t="s">
        <v>882</v>
      </c>
      <c r="B1009" s="327"/>
      <c r="C1009" s="327" t="s">
        <v>882</v>
      </c>
      <c r="D1009" s="336"/>
      <c r="E1009" s="333" t="s">
        <v>159</v>
      </c>
      <c r="F1009" s="339">
        <v>50.0</v>
      </c>
      <c r="G1009" s="334">
        <v>349.0</v>
      </c>
      <c r="H1009" s="334"/>
      <c r="I1009" s="286" t="str">
        <f>G1009/R1009</f>
        <v>#DIV/0!</v>
      </c>
      <c r="J1009" s="335">
        <v>52.0</v>
      </c>
      <c r="K1009" s="332">
        <f t="shared" si="104"/>
        <v>0.1489971347</v>
      </c>
      <c r="L1009" s="319">
        <f t="shared" si="105"/>
        <v>-52</v>
      </c>
      <c r="M1009" s="332">
        <f t="shared" si="106"/>
        <v>-1</v>
      </c>
      <c r="N1009" s="331"/>
      <c r="O1009" s="332"/>
      <c r="P1009" s="332"/>
      <c r="Q1009" s="319"/>
      <c r="R1009" s="334"/>
    </row>
    <row r="1010" ht="14.25" customHeight="1" outlineLevel="1">
      <c r="B1010" s="327"/>
      <c r="D1010" s="336"/>
      <c r="E1010" s="333" t="s">
        <v>160</v>
      </c>
      <c r="F1010" s="339">
        <v>50.0</v>
      </c>
      <c r="G1010" s="334">
        <v>349.0</v>
      </c>
      <c r="H1010" s="334"/>
      <c r="I1010" s="286"/>
      <c r="J1010" s="335">
        <v>52.0</v>
      </c>
      <c r="K1010" s="332">
        <f t="shared" si="104"/>
        <v>0.1489971347</v>
      </c>
      <c r="L1010" s="319">
        <f t="shared" si="105"/>
        <v>-52</v>
      </c>
      <c r="M1010" s="332">
        <f t="shared" si="106"/>
        <v>-1</v>
      </c>
      <c r="N1010" s="331"/>
      <c r="O1010" s="332"/>
      <c r="P1010" s="332"/>
      <c r="Q1010" s="319"/>
      <c r="R1010" s="334"/>
    </row>
    <row r="1011" ht="14.25" customHeight="1" outlineLevel="1">
      <c r="B1011" s="327"/>
      <c r="D1011" s="336"/>
      <c r="E1011" s="333" t="s">
        <v>509</v>
      </c>
      <c r="F1011" s="339">
        <v>50.0</v>
      </c>
      <c r="G1011" s="334">
        <v>399.0</v>
      </c>
      <c r="H1011" s="334"/>
      <c r="I1011" s="286"/>
      <c r="J1011" s="335">
        <v>52.0</v>
      </c>
      <c r="K1011" s="332">
        <f t="shared" si="104"/>
        <v>0.1303258145</v>
      </c>
      <c r="L1011" s="319">
        <f t="shared" si="105"/>
        <v>-52</v>
      </c>
      <c r="M1011" s="332">
        <f t="shared" si="106"/>
        <v>-1</v>
      </c>
      <c r="N1011" s="331"/>
      <c r="O1011" s="332"/>
      <c r="P1011" s="332"/>
      <c r="Q1011" s="319"/>
      <c r="R1011" s="334"/>
    </row>
    <row r="1012" ht="14.25" customHeight="1" outlineLevel="1">
      <c r="B1012" s="327"/>
      <c r="D1012" s="336"/>
      <c r="E1012" s="333" t="s">
        <v>510</v>
      </c>
      <c r="F1012" s="339">
        <v>50.0</v>
      </c>
      <c r="G1012" s="334">
        <v>399.0</v>
      </c>
      <c r="H1012" s="334"/>
      <c r="I1012" s="286"/>
      <c r="J1012" s="335">
        <v>52.0</v>
      </c>
      <c r="K1012" s="332">
        <f t="shared" si="104"/>
        <v>0.1303258145</v>
      </c>
      <c r="L1012" s="319">
        <f t="shared" si="105"/>
        <v>-52</v>
      </c>
      <c r="M1012" s="332">
        <f t="shared" si="106"/>
        <v>-1</v>
      </c>
      <c r="N1012" s="331"/>
      <c r="O1012" s="332"/>
      <c r="P1012" s="332"/>
      <c r="Q1012" s="319"/>
      <c r="R1012" s="334"/>
    </row>
    <row r="1013" ht="14.25" customHeight="1" outlineLevel="1">
      <c r="B1013" s="327"/>
      <c r="C1013" s="327"/>
      <c r="D1013" s="336"/>
      <c r="E1013" s="333" t="s">
        <v>114</v>
      </c>
      <c r="F1013" s="339">
        <v>50.0</v>
      </c>
      <c r="G1013" s="334"/>
      <c r="H1013" s="334"/>
      <c r="I1013" s="286"/>
      <c r="J1013" s="335">
        <v>52.0</v>
      </c>
      <c r="K1013" s="332" t="str">
        <f t="shared" si="104"/>
        <v>#DIV/0!</v>
      </c>
      <c r="L1013" s="319">
        <f t="shared" si="105"/>
        <v>-52</v>
      </c>
      <c r="M1013" s="332">
        <f t="shared" si="106"/>
        <v>-1</v>
      </c>
      <c r="N1013" s="331"/>
      <c r="O1013" s="332"/>
      <c r="P1013" s="332"/>
      <c r="Q1013" s="319"/>
      <c r="R1013" s="334"/>
    </row>
    <row r="1014" ht="14.25" customHeight="1" outlineLevel="1">
      <c r="A1014" s="327" t="s">
        <v>883</v>
      </c>
      <c r="B1014" s="327"/>
      <c r="C1014" s="327" t="s">
        <v>883</v>
      </c>
      <c r="D1014" s="336"/>
      <c r="E1014" s="333" t="s">
        <v>159</v>
      </c>
      <c r="F1014" s="339">
        <v>50.0</v>
      </c>
      <c r="G1014" s="334">
        <v>479.0</v>
      </c>
      <c r="H1014" s="334"/>
      <c r="I1014" s="286"/>
      <c r="J1014" s="335">
        <v>82.0</v>
      </c>
      <c r="K1014" s="332">
        <f t="shared" si="104"/>
        <v>0.1711899791</v>
      </c>
      <c r="L1014" s="319">
        <f t="shared" si="105"/>
        <v>-82</v>
      </c>
      <c r="M1014" s="332">
        <f t="shared" si="106"/>
        <v>-1</v>
      </c>
      <c r="N1014" s="331"/>
      <c r="O1014" s="332"/>
      <c r="P1014" s="332"/>
      <c r="Q1014" s="319"/>
      <c r="R1014" s="334"/>
    </row>
    <row r="1015" ht="14.25" customHeight="1" outlineLevel="1">
      <c r="B1015" s="327"/>
      <c r="D1015" s="336"/>
      <c r="E1015" s="333" t="s">
        <v>160</v>
      </c>
      <c r="F1015" s="339">
        <v>50.0</v>
      </c>
      <c r="G1015" s="334">
        <v>479.0</v>
      </c>
      <c r="H1015" s="334"/>
      <c r="I1015" s="286"/>
      <c r="J1015" s="335">
        <v>82.0</v>
      </c>
      <c r="K1015" s="332">
        <f t="shared" si="104"/>
        <v>0.1711899791</v>
      </c>
      <c r="L1015" s="319">
        <f t="shared" si="105"/>
        <v>-82</v>
      </c>
      <c r="M1015" s="332">
        <f t="shared" si="106"/>
        <v>-1</v>
      </c>
      <c r="N1015" s="331"/>
      <c r="O1015" s="332"/>
      <c r="P1015" s="332"/>
      <c r="Q1015" s="319"/>
      <c r="R1015" s="334"/>
    </row>
    <row r="1016" ht="14.25" customHeight="1" outlineLevel="1">
      <c r="B1016" s="327"/>
      <c r="D1016" s="336"/>
      <c r="E1016" s="333" t="s">
        <v>509</v>
      </c>
      <c r="F1016" s="339">
        <v>50.0</v>
      </c>
      <c r="G1016" s="334">
        <v>499.0</v>
      </c>
      <c r="H1016" s="334"/>
      <c r="I1016" s="286"/>
      <c r="J1016" s="335">
        <v>82.0</v>
      </c>
      <c r="K1016" s="332">
        <f t="shared" si="104"/>
        <v>0.1643286573</v>
      </c>
      <c r="L1016" s="319">
        <f t="shared" si="105"/>
        <v>-82</v>
      </c>
      <c r="M1016" s="332">
        <f t="shared" si="106"/>
        <v>-1</v>
      </c>
      <c r="N1016" s="331"/>
      <c r="O1016" s="332"/>
      <c r="P1016" s="332"/>
      <c r="Q1016" s="319"/>
      <c r="R1016" s="334"/>
    </row>
    <row r="1017" ht="14.25" customHeight="1" outlineLevel="1">
      <c r="B1017" s="327"/>
      <c r="D1017" s="336"/>
      <c r="E1017" s="333" t="s">
        <v>510</v>
      </c>
      <c r="F1017" s="339">
        <v>50.0</v>
      </c>
      <c r="G1017" s="334">
        <v>499.0</v>
      </c>
      <c r="H1017" s="334"/>
      <c r="I1017" s="286"/>
      <c r="J1017" s="335">
        <v>82.0</v>
      </c>
      <c r="K1017" s="332">
        <f t="shared" si="104"/>
        <v>0.1643286573</v>
      </c>
      <c r="L1017" s="319">
        <f t="shared" si="105"/>
        <v>-82</v>
      </c>
      <c r="M1017" s="332">
        <f t="shared" si="106"/>
        <v>-1</v>
      </c>
      <c r="N1017" s="331"/>
      <c r="O1017" s="332"/>
      <c r="P1017" s="332"/>
      <c r="Q1017" s="319"/>
      <c r="R1017" s="334"/>
    </row>
    <row r="1018" ht="14.25" customHeight="1" outlineLevel="1">
      <c r="B1018" s="327"/>
      <c r="C1018" s="327"/>
      <c r="D1018" s="336"/>
      <c r="E1018" s="333" t="s">
        <v>114</v>
      </c>
      <c r="F1018" s="339">
        <v>50.0</v>
      </c>
      <c r="G1018" s="334"/>
      <c r="H1018" s="334"/>
      <c r="I1018" s="286"/>
      <c r="J1018" s="335">
        <v>82.0</v>
      </c>
      <c r="K1018" s="332" t="str">
        <f t="shared" si="104"/>
        <v>#DIV/0!</v>
      </c>
      <c r="L1018" s="319">
        <f t="shared" si="105"/>
        <v>-82</v>
      </c>
      <c r="M1018" s="332">
        <f t="shared" si="106"/>
        <v>-1</v>
      </c>
      <c r="N1018" s="331"/>
      <c r="O1018" s="332"/>
      <c r="P1018" s="332"/>
      <c r="Q1018" s="319"/>
      <c r="R1018" s="334"/>
    </row>
    <row r="1019" ht="14.25" customHeight="1">
      <c r="A1019" s="288" t="s">
        <v>884</v>
      </c>
      <c r="B1019" s="289"/>
      <c r="C1019" s="288" t="s">
        <v>885</v>
      </c>
      <c r="D1019" s="378"/>
      <c r="E1019" s="322" t="s">
        <v>159</v>
      </c>
      <c r="F1019" s="323"/>
      <c r="G1019" s="294"/>
      <c r="H1019" s="294"/>
      <c r="I1019" s="324"/>
      <c r="J1019" s="325"/>
      <c r="K1019" s="297"/>
      <c r="L1019" s="326"/>
      <c r="M1019" s="297"/>
      <c r="N1019" s="299"/>
      <c r="O1019" s="377"/>
      <c r="P1019" s="377"/>
      <c r="Q1019" s="300"/>
      <c r="R1019" s="301"/>
    </row>
    <row r="1020" ht="14.25" customHeight="1">
      <c r="B1020" s="289"/>
      <c r="D1020" s="378"/>
      <c r="E1020" s="322" t="s">
        <v>160</v>
      </c>
      <c r="F1020" s="323"/>
      <c r="G1020" s="294"/>
      <c r="H1020" s="294"/>
      <c r="I1020" s="324"/>
      <c r="J1020" s="325"/>
      <c r="K1020" s="297"/>
      <c r="L1020" s="326"/>
      <c r="M1020" s="297"/>
      <c r="N1020" s="299"/>
      <c r="O1020" s="377"/>
      <c r="P1020" s="377"/>
      <c r="Q1020" s="300"/>
      <c r="R1020" s="301"/>
    </row>
    <row r="1021" ht="14.25" customHeight="1">
      <c r="B1021" s="289"/>
      <c r="D1021" s="378"/>
      <c r="E1021" s="322" t="s">
        <v>509</v>
      </c>
      <c r="F1021" s="323"/>
      <c r="G1021" s="294"/>
      <c r="H1021" s="294"/>
      <c r="I1021" s="324"/>
      <c r="J1021" s="325"/>
      <c r="K1021" s="297"/>
      <c r="L1021" s="326"/>
      <c r="M1021" s="297"/>
      <c r="N1021" s="299"/>
      <c r="O1021" s="377"/>
      <c r="P1021" s="377"/>
      <c r="Q1021" s="300"/>
      <c r="R1021" s="301"/>
    </row>
    <row r="1022" ht="14.25" customHeight="1">
      <c r="B1022" s="289"/>
      <c r="D1022" s="378"/>
      <c r="E1022" s="322" t="s">
        <v>510</v>
      </c>
      <c r="F1022" s="323"/>
      <c r="G1022" s="294"/>
      <c r="H1022" s="294"/>
      <c r="I1022" s="324"/>
      <c r="J1022" s="325"/>
      <c r="K1022" s="297"/>
      <c r="L1022" s="326"/>
      <c r="M1022" s="297"/>
      <c r="N1022" s="299"/>
      <c r="O1022" s="377"/>
      <c r="P1022" s="377"/>
      <c r="Q1022" s="300"/>
      <c r="R1022" s="301"/>
    </row>
    <row r="1023" ht="14.25" customHeight="1">
      <c r="B1023" s="289"/>
      <c r="C1023" s="288"/>
      <c r="D1023" s="378"/>
      <c r="E1023" s="322" t="s">
        <v>114</v>
      </c>
      <c r="F1023" s="323"/>
      <c r="G1023" s="294"/>
      <c r="H1023" s="294"/>
      <c r="I1023" s="324"/>
      <c r="J1023" s="325"/>
      <c r="K1023" s="297"/>
      <c r="L1023" s="326"/>
      <c r="M1023" s="297"/>
      <c r="N1023" s="299"/>
      <c r="O1023" s="377"/>
      <c r="P1023" s="377"/>
      <c r="Q1023" s="300"/>
      <c r="R1023" s="301"/>
    </row>
    <row r="1024" ht="14.25" customHeight="1" outlineLevel="1">
      <c r="A1024" s="327" t="s">
        <v>886</v>
      </c>
      <c r="B1024" s="327"/>
      <c r="C1024" s="327" t="s">
        <v>886</v>
      </c>
      <c r="D1024" s="336"/>
      <c r="E1024" s="333" t="s">
        <v>159</v>
      </c>
      <c r="F1024" s="337">
        <v>50.0</v>
      </c>
      <c r="G1024" s="341">
        <v>479.0</v>
      </c>
      <c r="H1024" s="341"/>
      <c r="I1024" s="286"/>
      <c r="J1024" s="335">
        <v>81.0</v>
      </c>
      <c r="K1024" s="332">
        <f t="shared" ref="K1024:K1038" si="107">J1024/G1024</f>
        <v>0.1691022965</v>
      </c>
      <c r="L1024" s="319">
        <f t="shared" ref="L1024:L1038" si="108">Q1024-J1024</f>
        <v>-81</v>
      </c>
      <c r="M1024" s="332">
        <f t="shared" ref="M1024:M1038" si="109">Q1024/J1024-1</f>
        <v>-1</v>
      </c>
      <c r="N1024" s="331"/>
      <c r="O1024" s="332"/>
      <c r="P1024" s="332"/>
      <c r="Q1024" s="300"/>
      <c r="R1024" s="341"/>
    </row>
    <row r="1025" ht="14.25" customHeight="1" outlineLevel="1">
      <c r="B1025" s="327"/>
      <c r="D1025" s="336"/>
      <c r="E1025" s="333" t="s">
        <v>160</v>
      </c>
      <c r="F1025" s="337">
        <v>50.0</v>
      </c>
      <c r="G1025" s="341">
        <v>479.0</v>
      </c>
      <c r="H1025" s="341"/>
      <c r="I1025" s="286"/>
      <c r="J1025" s="335">
        <v>81.0</v>
      </c>
      <c r="K1025" s="332">
        <f t="shared" si="107"/>
        <v>0.1691022965</v>
      </c>
      <c r="L1025" s="319">
        <f t="shared" si="108"/>
        <v>-81</v>
      </c>
      <c r="M1025" s="332">
        <f t="shared" si="109"/>
        <v>-1</v>
      </c>
      <c r="N1025" s="331"/>
      <c r="O1025" s="332"/>
      <c r="P1025" s="332"/>
      <c r="Q1025" s="300"/>
      <c r="R1025" s="341"/>
    </row>
    <row r="1026" ht="14.25" customHeight="1" outlineLevel="1">
      <c r="B1026" s="327"/>
      <c r="D1026" s="336"/>
      <c r="E1026" s="333" t="s">
        <v>509</v>
      </c>
      <c r="F1026" s="337">
        <v>50.0</v>
      </c>
      <c r="G1026" s="341">
        <v>499.0</v>
      </c>
      <c r="H1026" s="341"/>
      <c r="I1026" s="286"/>
      <c r="J1026" s="335">
        <v>81.0</v>
      </c>
      <c r="K1026" s="332">
        <f t="shared" si="107"/>
        <v>0.1623246493</v>
      </c>
      <c r="L1026" s="319">
        <f t="shared" si="108"/>
        <v>-81</v>
      </c>
      <c r="M1026" s="332">
        <f t="shared" si="109"/>
        <v>-1</v>
      </c>
      <c r="N1026" s="331"/>
      <c r="O1026" s="332"/>
      <c r="P1026" s="332"/>
      <c r="Q1026" s="300"/>
      <c r="R1026" s="341"/>
    </row>
    <row r="1027" ht="14.25" customHeight="1" outlineLevel="1">
      <c r="B1027" s="327"/>
      <c r="D1027" s="336"/>
      <c r="E1027" s="333" t="s">
        <v>510</v>
      </c>
      <c r="F1027" s="337">
        <v>50.0</v>
      </c>
      <c r="G1027" s="341">
        <v>499.0</v>
      </c>
      <c r="H1027" s="341"/>
      <c r="I1027" s="286"/>
      <c r="J1027" s="335">
        <v>81.0</v>
      </c>
      <c r="K1027" s="332">
        <f t="shared" si="107"/>
        <v>0.1623246493</v>
      </c>
      <c r="L1027" s="319">
        <f t="shared" si="108"/>
        <v>-81</v>
      </c>
      <c r="M1027" s="332">
        <f t="shared" si="109"/>
        <v>-1</v>
      </c>
      <c r="N1027" s="331"/>
      <c r="O1027" s="332"/>
      <c r="P1027" s="332"/>
      <c r="Q1027" s="300"/>
      <c r="R1027" s="341"/>
    </row>
    <row r="1028" ht="14.25" customHeight="1" outlineLevel="1">
      <c r="B1028" s="327"/>
      <c r="C1028" s="327"/>
      <c r="D1028" s="336"/>
      <c r="E1028" s="333" t="s">
        <v>114</v>
      </c>
      <c r="F1028" s="337">
        <v>50.0</v>
      </c>
      <c r="G1028" s="341"/>
      <c r="H1028" s="341"/>
      <c r="I1028" s="286"/>
      <c r="J1028" s="335">
        <v>81.0</v>
      </c>
      <c r="K1028" s="332" t="str">
        <f t="shared" si="107"/>
        <v>#DIV/0!</v>
      </c>
      <c r="L1028" s="319">
        <f t="shared" si="108"/>
        <v>-81</v>
      </c>
      <c r="M1028" s="332">
        <f t="shared" si="109"/>
        <v>-1</v>
      </c>
      <c r="N1028" s="331"/>
      <c r="O1028" s="332"/>
      <c r="P1028" s="332"/>
      <c r="Q1028" s="300"/>
      <c r="R1028" s="341"/>
    </row>
    <row r="1029" ht="14.25" customHeight="1" outlineLevel="1">
      <c r="A1029" s="379" t="s">
        <v>887</v>
      </c>
      <c r="B1029" s="327"/>
      <c r="C1029" s="379" t="s">
        <v>887</v>
      </c>
      <c r="D1029" s="336"/>
      <c r="E1029" s="333" t="s">
        <v>159</v>
      </c>
      <c r="F1029" s="337">
        <v>50.0</v>
      </c>
      <c r="G1029" s="341">
        <v>679.0</v>
      </c>
      <c r="H1029" s="341">
        <v>599.0</v>
      </c>
      <c r="I1029" s="286" t="str">
        <f>G1029/R1029</f>
        <v>#DIV/0!</v>
      </c>
      <c r="J1029" s="335">
        <v>113.0</v>
      </c>
      <c r="K1029" s="332">
        <f t="shared" si="107"/>
        <v>0.1664212077</v>
      </c>
      <c r="L1029" s="319">
        <f t="shared" si="108"/>
        <v>-113</v>
      </c>
      <c r="M1029" s="332">
        <f t="shared" si="109"/>
        <v>-1</v>
      </c>
      <c r="N1029" s="331"/>
      <c r="O1029" s="332"/>
      <c r="P1029" s="332"/>
      <c r="Q1029" s="300"/>
      <c r="R1029" s="341"/>
    </row>
    <row r="1030" ht="14.25" customHeight="1" outlineLevel="1">
      <c r="B1030" s="327"/>
      <c r="D1030" s="336"/>
      <c r="E1030" s="333" t="s">
        <v>160</v>
      </c>
      <c r="F1030" s="337">
        <v>50.0</v>
      </c>
      <c r="G1030" s="341">
        <v>679.0</v>
      </c>
      <c r="H1030" s="341"/>
      <c r="I1030" s="286"/>
      <c r="J1030" s="335">
        <v>113.0</v>
      </c>
      <c r="K1030" s="332">
        <f t="shared" si="107"/>
        <v>0.1664212077</v>
      </c>
      <c r="L1030" s="319">
        <f t="shared" si="108"/>
        <v>-113</v>
      </c>
      <c r="M1030" s="332">
        <f t="shared" si="109"/>
        <v>-1</v>
      </c>
      <c r="N1030" s="331"/>
      <c r="O1030" s="332"/>
      <c r="P1030" s="332"/>
      <c r="Q1030" s="300"/>
      <c r="R1030" s="341"/>
    </row>
    <row r="1031" ht="14.25" customHeight="1" outlineLevel="1">
      <c r="B1031" s="327"/>
      <c r="D1031" s="336"/>
      <c r="E1031" s="333" t="s">
        <v>509</v>
      </c>
      <c r="F1031" s="337">
        <v>50.0</v>
      </c>
      <c r="G1031" s="341">
        <v>699.0</v>
      </c>
      <c r="H1031" s="341"/>
      <c r="I1031" s="286"/>
      <c r="J1031" s="335">
        <v>113.0</v>
      </c>
      <c r="K1031" s="332">
        <f t="shared" si="107"/>
        <v>0.1616595136</v>
      </c>
      <c r="L1031" s="319">
        <f t="shared" si="108"/>
        <v>-113</v>
      </c>
      <c r="M1031" s="332">
        <f t="shared" si="109"/>
        <v>-1</v>
      </c>
      <c r="N1031" s="331"/>
      <c r="O1031" s="332"/>
      <c r="P1031" s="332"/>
      <c r="Q1031" s="300"/>
      <c r="R1031" s="341"/>
    </row>
    <row r="1032" ht="14.25" customHeight="1" outlineLevel="1">
      <c r="B1032" s="327"/>
      <c r="D1032" s="336"/>
      <c r="E1032" s="333" t="s">
        <v>510</v>
      </c>
      <c r="F1032" s="337">
        <v>50.0</v>
      </c>
      <c r="G1032" s="341">
        <v>699.0</v>
      </c>
      <c r="H1032" s="341"/>
      <c r="I1032" s="286"/>
      <c r="J1032" s="335">
        <v>113.0</v>
      </c>
      <c r="K1032" s="332">
        <f t="shared" si="107"/>
        <v>0.1616595136</v>
      </c>
      <c r="L1032" s="319">
        <f t="shared" si="108"/>
        <v>-113</v>
      </c>
      <c r="M1032" s="332">
        <f t="shared" si="109"/>
        <v>-1</v>
      </c>
      <c r="N1032" s="331"/>
      <c r="O1032" s="332"/>
      <c r="P1032" s="332"/>
      <c r="Q1032" s="300"/>
      <c r="R1032" s="341"/>
    </row>
    <row r="1033" ht="14.25" customHeight="1" outlineLevel="1">
      <c r="B1033" s="327"/>
      <c r="C1033" s="379"/>
      <c r="D1033" s="336"/>
      <c r="E1033" s="333" t="s">
        <v>114</v>
      </c>
      <c r="F1033" s="337">
        <v>50.0</v>
      </c>
      <c r="G1033" s="341"/>
      <c r="H1033" s="341"/>
      <c r="I1033" s="286"/>
      <c r="J1033" s="335">
        <v>113.0</v>
      </c>
      <c r="K1033" s="332" t="str">
        <f t="shared" si="107"/>
        <v>#DIV/0!</v>
      </c>
      <c r="L1033" s="319">
        <f t="shared" si="108"/>
        <v>-113</v>
      </c>
      <c r="M1033" s="332">
        <f t="shared" si="109"/>
        <v>-1</v>
      </c>
      <c r="N1033" s="331"/>
      <c r="O1033" s="332"/>
      <c r="P1033" s="332"/>
      <c r="Q1033" s="300"/>
      <c r="R1033" s="341"/>
    </row>
    <row r="1034" ht="14.25" customHeight="1" outlineLevel="1">
      <c r="A1034" s="327" t="s">
        <v>888</v>
      </c>
      <c r="B1034" s="327"/>
      <c r="C1034" s="327" t="s">
        <v>888</v>
      </c>
      <c r="D1034" s="336"/>
      <c r="E1034" s="333" t="s">
        <v>159</v>
      </c>
      <c r="F1034" s="337">
        <v>50.0</v>
      </c>
      <c r="G1034" s="341">
        <v>679.0</v>
      </c>
      <c r="H1034" s="341"/>
      <c r="I1034" s="286"/>
      <c r="J1034" s="335">
        <v>113.0</v>
      </c>
      <c r="K1034" s="332">
        <f t="shared" si="107"/>
        <v>0.1664212077</v>
      </c>
      <c r="L1034" s="319">
        <f t="shared" si="108"/>
        <v>-113</v>
      </c>
      <c r="M1034" s="332">
        <f t="shared" si="109"/>
        <v>-1</v>
      </c>
      <c r="N1034" s="331"/>
      <c r="O1034" s="332"/>
      <c r="P1034" s="332"/>
      <c r="Q1034" s="300"/>
      <c r="R1034" s="341"/>
    </row>
    <row r="1035" ht="14.25" customHeight="1" outlineLevel="1">
      <c r="B1035" s="327"/>
      <c r="D1035" s="336"/>
      <c r="E1035" s="333" t="s">
        <v>160</v>
      </c>
      <c r="F1035" s="337">
        <v>50.0</v>
      </c>
      <c r="G1035" s="341">
        <v>679.0</v>
      </c>
      <c r="H1035" s="341"/>
      <c r="I1035" s="286"/>
      <c r="J1035" s="335">
        <v>113.0</v>
      </c>
      <c r="K1035" s="332">
        <f t="shared" si="107"/>
        <v>0.1664212077</v>
      </c>
      <c r="L1035" s="319">
        <f t="shared" si="108"/>
        <v>-113</v>
      </c>
      <c r="M1035" s="332">
        <f t="shared" si="109"/>
        <v>-1</v>
      </c>
      <c r="N1035" s="331"/>
      <c r="O1035" s="332"/>
      <c r="P1035" s="332"/>
      <c r="Q1035" s="300"/>
      <c r="R1035" s="341"/>
    </row>
    <row r="1036" ht="14.25" customHeight="1" outlineLevel="1">
      <c r="B1036" s="327"/>
      <c r="D1036" s="336"/>
      <c r="E1036" s="333" t="s">
        <v>509</v>
      </c>
      <c r="F1036" s="337">
        <v>50.0</v>
      </c>
      <c r="G1036" s="341">
        <v>699.0</v>
      </c>
      <c r="H1036" s="341"/>
      <c r="I1036" s="286"/>
      <c r="J1036" s="335">
        <v>113.0</v>
      </c>
      <c r="K1036" s="332">
        <f t="shared" si="107"/>
        <v>0.1616595136</v>
      </c>
      <c r="L1036" s="319">
        <f t="shared" si="108"/>
        <v>-113</v>
      </c>
      <c r="M1036" s="332">
        <f t="shared" si="109"/>
        <v>-1</v>
      </c>
      <c r="N1036" s="331"/>
      <c r="O1036" s="332"/>
      <c r="P1036" s="332"/>
      <c r="Q1036" s="300"/>
      <c r="R1036" s="341"/>
    </row>
    <row r="1037" ht="14.25" customHeight="1" outlineLevel="1">
      <c r="B1037" s="327"/>
      <c r="D1037" s="336"/>
      <c r="E1037" s="333" t="s">
        <v>510</v>
      </c>
      <c r="F1037" s="337">
        <v>50.0</v>
      </c>
      <c r="G1037" s="341">
        <v>699.0</v>
      </c>
      <c r="H1037" s="341"/>
      <c r="I1037" s="286"/>
      <c r="J1037" s="335">
        <v>113.0</v>
      </c>
      <c r="K1037" s="332">
        <f t="shared" si="107"/>
        <v>0.1616595136</v>
      </c>
      <c r="L1037" s="319">
        <f t="shared" si="108"/>
        <v>-113</v>
      </c>
      <c r="M1037" s="332">
        <f t="shared" si="109"/>
        <v>-1</v>
      </c>
      <c r="N1037" s="331"/>
      <c r="O1037" s="332"/>
      <c r="P1037" s="332"/>
      <c r="Q1037" s="300"/>
      <c r="R1037" s="341"/>
    </row>
    <row r="1038" ht="14.25" customHeight="1" outlineLevel="1">
      <c r="B1038" s="327"/>
      <c r="C1038" s="327"/>
      <c r="D1038" s="336"/>
      <c r="E1038" s="333" t="s">
        <v>114</v>
      </c>
      <c r="F1038" s="337">
        <v>50.0</v>
      </c>
      <c r="G1038" s="341"/>
      <c r="H1038" s="341"/>
      <c r="I1038" s="286"/>
      <c r="J1038" s="335">
        <v>113.0</v>
      </c>
      <c r="K1038" s="332" t="str">
        <f t="shared" si="107"/>
        <v>#DIV/0!</v>
      </c>
      <c r="L1038" s="319">
        <f t="shared" si="108"/>
        <v>-113</v>
      </c>
      <c r="M1038" s="332">
        <f t="shared" si="109"/>
        <v>-1</v>
      </c>
      <c r="N1038" s="331"/>
      <c r="O1038" s="332"/>
      <c r="P1038" s="332"/>
      <c r="Q1038" s="300"/>
      <c r="R1038" s="341"/>
    </row>
    <row r="1039" ht="14.25" customHeight="1">
      <c r="A1039" s="288" t="s">
        <v>889</v>
      </c>
      <c r="B1039" s="289"/>
      <c r="C1039" s="288" t="s">
        <v>889</v>
      </c>
      <c r="D1039" s="291"/>
      <c r="E1039" s="322" t="s">
        <v>159</v>
      </c>
      <c r="F1039" s="323"/>
      <c r="G1039" s="294"/>
      <c r="H1039" s="294"/>
      <c r="I1039" s="324"/>
      <c r="J1039" s="325"/>
      <c r="K1039" s="297"/>
      <c r="L1039" s="326"/>
      <c r="M1039" s="297"/>
      <c r="N1039" s="299"/>
      <c r="O1039" s="377"/>
      <c r="P1039" s="377"/>
      <c r="Q1039" s="300"/>
      <c r="R1039" s="301"/>
    </row>
    <row r="1040" ht="14.25" customHeight="1">
      <c r="B1040" s="289"/>
      <c r="D1040" s="291"/>
      <c r="E1040" s="322" t="s">
        <v>160</v>
      </c>
      <c r="F1040" s="323"/>
      <c r="G1040" s="294"/>
      <c r="H1040" s="294"/>
      <c r="I1040" s="324"/>
      <c r="J1040" s="325"/>
      <c r="K1040" s="297"/>
      <c r="L1040" s="326"/>
      <c r="M1040" s="297"/>
      <c r="N1040" s="299"/>
      <c r="O1040" s="377"/>
      <c r="P1040" s="377"/>
      <c r="Q1040" s="300"/>
      <c r="R1040" s="301"/>
    </row>
    <row r="1041" ht="14.25" customHeight="1">
      <c r="B1041" s="289"/>
      <c r="D1041" s="291"/>
      <c r="E1041" s="322" t="s">
        <v>509</v>
      </c>
      <c r="F1041" s="323"/>
      <c r="G1041" s="294"/>
      <c r="H1041" s="294"/>
      <c r="I1041" s="324"/>
      <c r="J1041" s="325"/>
      <c r="K1041" s="297"/>
      <c r="L1041" s="326"/>
      <c r="M1041" s="297"/>
      <c r="N1041" s="299"/>
      <c r="O1041" s="377"/>
      <c r="P1041" s="377"/>
      <c r="Q1041" s="300"/>
      <c r="R1041" s="301"/>
    </row>
    <row r="1042" ht="14.25" customHeight="1">
      <c r="B1042" s="289"/>
      <c r="D1042" s="291"/>
      <c r="E1042" s="322" t="s">
        <v>510</v>
      </c>
      <c r="F1042" s="323"/>
      <c r="G1042" s="294"/>
      <c r="H1042" s="294"/>
      <c r="I1042" s="324"/>
      <c r="J1042" s="325"/>
      <c r="K1042" s="297"/>
      <c r="L1042" s="326"/>
      <c r="M1042" s="297"/>
      <c r="N1042" s="299"/>
      <c r="O1042" s="377"/>
      <c r="P1042" s="377"/>
      <c r="Q1042" s="300"/>
      <c r="R1042" s="301"/>
    </row>
    <row r="1043" ht="14.25" customHeight="1">
      <c r="B1043" s="289"/>
      <c r="C1043" s="288"/>
      <c r="D1043" s="291"/>
      <c r="E1043" s="322" t="s">
        <v>114</v>
      </c>
      <c r="F1043" s="323"/>
      <c r="G1043" s="294"/>
      <c r="H1043" s="294"/>
      <c r="I1043" s="324"/>
      <c r="J1043" s="325"/>
      <c r="K1043" s="297"/>
      <c r="L1043" s="326"/>
      <c r="M1043" s="297"/>
      <c r="N1043" s="299"/>
      <c r="O1043" s="377"/>
      <c r="P1043" s="377"/>
      <c r="Q1043" s="300"/>
      <c r="R1043" s="301"/>
    </row>
    <row r="1044" ht="14.25" customHeight="1" outlineLevel="1">
      <c r="A1044" s="380" t="s">
        <v>890</v>
      </c>
      <c r="B1044" s="327"/>
      <c r="C1044" s="380" t="s">
        <v>890</v>
      </c>
      <c r="D1044" s="336"/>
      <c r="E1044" s="333" t="s">
        <v>159</v>
      </c>
      <c r="F1044" s="339">
        <v>50.0</v>
      </c>
      <c r="G1044" s="311">
        <v>599.0</v>
      </c>
      <c r="H1044" s="311">
        <v>569.0</v>
      </c>
      <c r="I1044" s="312" t="str">
        <f>G1044/R1044</f>
        <v>#DIV/0!</v>
      </c>
      <c r="J1044" s="313">
        <v>110.0</v>
      </c>
      <c r="K1044" s="314">
        <f t="shared" ref="K1044:K1068" si="110">J1044/G1044</f>
        <v>0.183639399</v>
      </c>
      <c r="L1044" s="315">
        <f t="shared" ref="L1044:L1068" si="111">Q1044-J1044</f>
        <v>-110</v>
      </c>
      <c r="M1044" s="316">
        <f t="shared" ref="M1044:M1068" si="112">Q1044/J1044-1</f>
        <v>-1</v>
      </c>
      <c r="N1044" s="331"/>
      <c r="O1044" s="332" t="s">
        <v>112</v>
      </c>
      <c r="P1044" s="332" t="s">
        <v>112</v>
      </c>
      <c r="Q1044" s="319"/>
      <c r="R1044" s="311"/>
    </row>
    <row r="1045" ht="14.25" customHeight="1" outlineLevel="1">
      <c r="B1045" s="327"/>
      <c r="D1045" s="336"/>
      <c r="E1045" s="333" t="s">
        <v>160</v>
      </c>
      <c r="F1045" s="339">
        <v>50.0</v>
      </c>
      <c r="G1045" s="311">
        <v>599.0</v>
      </c>
      <c r="H1045" s="311"/>
      <c r="I1045" s="312"/>
      <c r="J1045" s="313">
        <v>110.0</v>
      </c>
      <c r="K1045" s="314">
        <f t="shared" si="110"/>
        <v>0.183639399</v>
      </c>
      <c r="L1045" s="315">
        <f t="shared" si="111"/>
        <v>-110</v>
      </c>
      <c r="M1045" s="316">
        <f t="shared" si="112"/>
        <v>-1</v>
      </c>
      <c r="N1045" s="331"/>
      <c r="O1045" s="332"/>
      <c r="P1045" s="332"/>
      <c r="Q1045" s="319"/>
      <c r="R1045" s="311"/>
    </row>
    <row r="1046" ht="14.25" customHeight="1" outlineLevel="1">
      <c r="B1046" s="327"/>
      <c r="D1046" s="336"/>
      <c r="E1046" s="333" t="s">
        <v>509</v>
      </c>
      <c r="F1046" s="339">
        <v>50.0</v>
      </c>
      <c r="G1046" s="311">
        <v>649.0</v>
      </c>
      <c r="H1046" s="311"/>
      <c r="I1046" s="312"/>
      <c r="J1046" s="313">
        <v>110.0</v>
      </c>
      <c r="K1046" s="314">
        <f t="shared" si="110"/>
        <v>0.1694915254</v>
      </c>
      <c r="L1046" s="315">
        <f t="shared" si="111"/>
        <v>-110</v>
      </c>
      <c r="M1046" s="316">
        <f t="shared" si="112"/>
        <v>-1</v>
      </c>
      <c r="N1046" s="331"/>
      <c r="O1046" s="332"/>
      <c r="P1046" s="332"/>
      <c r="Q1046" s="319"/>
      <c r="R1046" s="311"/>
    </row>
    <row r="1047" ht="14.25" customHeight="1" outlineLevel="1">
      <c r="B1047" s="327"/>
      <c r="D1047" s="336"/>
      <c r="E1047" s="333" t="s">
        <v>510</v>
      </c>
      <c r="F1047" s="339">
        <v>50.0</v>
      </c>
      <c r="G1047" s="311">
        <v>649.0</v>
      </c>
      <c r="H1047" s="311"/>
      <c r="I1047" s="312"/>
      <c r="J1047" s="313">
        <v>110.0</v>
      </c>
      <c r="K1047" s="314">
        <f t="shared" si="110"/>
        <v>0.1694915254</v>
      </c>
      <c r="L1047" s="315">
        <f t="shared" si="111"/>
        <v>-110</v>
      </c>
      <c r="M1047" s="316">
        <f t="shared" si="112"/>
        <v>-1</v>
      </c>
      <c r="N1047" s="331"/>
      <c r="O1047" s="332"/>
      <c r="P1047" s="332"/>
      <c r="Q1047" s="319"/>
      <c r="R1047" s="311"/>
    </row>
    <row r="1048" ht="14.25" customHeight="1" outlineLevel="1">
      <c r="B1048" s="327"/>
      <c r="C1048" s="380"/>
      <c r="D1048" s="336"/>
      <c r="E1048" s="333" t="s">
        <v>114</v>
      </c>
      <c r="F1048" s="339">
        <v>50.0</v>
      </c>
      <c r="G1048" s="311"/>
      <c r="H1048" s="311"/>
      <c r="I1048" s="312"/>
      <c r="J1048" s="313">
        <v>110.0</v>
      </c>
      <c r="K1048" s="314" t="str">
        <f t="shared" si="110"/>
        <v>#DIV/0!</v>
      </c>
      <c r="L1048" s="315">
        <f t="shared" si="111"/>
        <v>-110</v>
      </c>
      <c r="M1048" s="316">
        <f t="shared" si="112"/>
        <v>-1</v>
      </c>
      <c r="N1048" s="331"/>
      <c r="O1048" s="332"/>
      <c r="P1048" s="332"/>
      <c r="Q1048" s="319"/>
      <c r="R1048" s="311"/>
    </row>
    <row r="1049" ht="14.25" customHeight="1" outlineLevel="1">
      <c r="A1049" s="380" t="s">
        <v>891</v>
      </c>
      <c r="B1049" s="327"/>
      <c r="C1049" s="380" t="s">
        <v>891</v>
      </c>
      <c r="D1049" s="336"/>
      <c r="E1049" s="333" t="s">
        <v>159</v>
      </c>
      <c r="F1049" s="339">
        <v>50.0</v>
      </c>
      <c r="G1049" s="301">
        <v>499.0</v>
      </c>
      <c r="H1049" s="301">
        <v>399.0</v>
      </c>
      <c r="I1049" s="312" t="str">
        <f>G1049/R1049</f>
        <v>#DIV/0!</v>
      </c>
      <c r="J1049" s="313">
        <v>94.0</v>
      </c>
      <c r="K1049" s="314">
        <f t="shared" si="110"/>
        <v>0.1883767535</v>
      </c>
      <c r="L1049" s="315">
        <f t="shared" si="111"/>
        <v>-94</v>
      </c>
      <c r="M1049" s="316">
        <f t="shared" si="112"/>
        <v>-1</v>
      </c>
      <c r="N1049" s="331"/>
      <c r="O1049" s="332" t="s">
        <v>112</v>
      </c>
      <c r="P1049" s="332" t="s">
        <v>112</v>
      </c>
      <c r="Q1049" s="300"/>
      <c r="R1049" s="301"/>
    </row>
    <row r="1050" ht="14.25" customHeight="1" outlineLevel="1">
      <c r="B1050" s="327"/>
      <c r="D1050" s="336"/>
      <c r="E1050" s="333" t="s">
        <v>160</v>
      </c>
      <c r="F1050" s="339">
        <v>50.0</v>
      </c>
      <c r="G1050" s="301">
        <v>499.0</v>
      </c>
      <c r="H1050" s="301"/>
      <c r="I1050" s="312"/>
      <c r="J1050" s="313">
        <v>94.0</v>
      </c>
      <c r="K1050" s="314">
        <f t="shared" si="110"/>
        <v>0.1883767535</v>
      </c>
      <c r="L1050" s="315">
        <f t="shared" si="111"/>
        <v>-94</v>
      </c>
      <c r="M1050" s="316">
        <f t="shared" si="112"/>
        <v>-1</v>
      </c>
      <c r="N1050" s="331"/>
      <c r="O1050" s="332"/>
      <c r="P1050" s="332"/>
      <c r="Q1050" s="300"/>
      <c r="R1050" s="301"/>
    </row>
    <row r="1051" ht="14.25" customHeight="1" outlineLevel="1">
      <c r="B1051" s="327"/>
      <c r="D1051" s="336"/>
      <c r="E1051" s="333" t="s">
        <v>509</v>
      </c>
      <c r="F1051" s="339">
        <v>50.0</v>
      </c>
      <c r="G1051" s="301">
        <v>529.0</v>
      </c>
      <c r="H1051" s="301"/>
      <c r="I1051" s="312"/>
      <c r="J1051" s="313">
        <v>94.0</v>
      </c>
      <c r="K1051" s="314">
        <f t="shared" si="110"/>
        <v>0.1776937618</v>
      </c>
      <c r="L1051" s="315">
        <f t="shared" si="111"/>
        <v>-94</v>
      </c>
      <c r="M1051" s="316">
        <f t="shared" si="112"/>
        <v>-1</v>
      </c>
      <c r="N1051" s="331"/>
      <c r="O1051" s="332"/>
      <c r="P1051" s="332"/>
      <c r="Q1051" s="300"/>
      <c r="R1051" s="301"/>
    </row>
    <row r="1052" ht="14.25" customHeight="1" outlineLevel="1">
      <c r="B1052" s="327"/>
      <c r="D1052" s="336"/>
      <c r="E1052" s="333" t="s">
        <v>510</v>
      </c>
      <c r="F1052" s="339">
        <v>50.0</v>
      </c>
      <c r="G1052" s="301">
        <v>529.0</v>
      </c>
      <c r="H1052" s="301"/>
      <c r="I1052" s="312"/>
      <c r="J1052" s="313">
        <v>94.0</v>
      </c>
      <c r="K1052" s="314">
        <f t="shared" si="110"/>
        <v>0.1776937618</v>
      </c>
      <c r="L1052" s="315">
        <f t="shared" si="111"/>
        <v>-94</v>
      </c>
      <c r="M1052" s="316">
        <f t="shared" si="112"/>
        <v>-1</v>
      </c>
      <c r="N1052" s="331"/>
      <c r="O1052" s="332"/>
      <c r="P1052" s="332"/>
      <c r="Q1052" s="300"/>
      <c r="R1052" s="301"/>
    </row>
    <row r="1053" ht="14.25" customHeight="1" outlineLevel="1">
      <c r="B1053" s="327"/>
      <c r="C1053" s="380"/>
      <c r="D1053" s="336"/>
      <c r="E1053" s="333" t="s">
        <v>114</v>
      </c>
      <c r="F1053" s="339">
        <v>50.0</v>
      </c>
      <c r="G1053" s="301"/>
      <c r="H1053" s="301"/>
      <c r="I1053" s="312"/>
      <c r="J1053" s="313">
        <v>94.0</v>
      </c>
      <c r="K1053" s="314" t="str">
        <f t="shared" si="110"/>
        <v>#DIV/0!</v>
      </c>
      <c r="L1053" s="315">
        <f t="shared" si="111"/>
        <v>-94</v>
      </c>
      <c r="M1053" s="316">
        <f t="shared" si="112"/>
        <v>-1</v>
      </c>
      <c r="N1053" s="331"/>
      <c r="O1053" s="332"/>
      <c r="P1053" s="332"/>
      <c r="Q1053" s="300"/>
      <c r="R1053" s="301"/>
    </row>
    <row r="1054" ht="14.25" customHeight="1" outlineLevel="1">
      <c r="A1054" s="380" t="s">
        <v>892</v>
      </c>
      <c r="B1054" s="327"/>
      <c r="C1054" s="380" t="s">
        <v>892</v>
      </c>
      <c r="D1054" s="336"/>
      <c r="E1054" s="333" t="s">
        <v>159</v>
      </c>
      <c r="F1054" s="339">
        <v>50.0</v>
      </c>
      <c r="G1054" s="301">
        <v>399.0</v>
      </c>
      <c r="H1054" s="301">
        <v>399.0</v>
      </c>
      <c r="I1054" s="312" t="str">
        <f>G1054/R1054</f>
        <v>#DIV/0!</v>
      </c>
      <c r="J1054" s="313">
        <v>59.0</v>
      </c>
      <c r="K1054" s="314">
        <f t="shared" si="110"/>
        <v>0.1478696742</v>
      </c>
      <c r="L1054" s="315">
        <f t="shared" si="111"/>
        <v>-59</v>
      </c>
      <c r="M1054" s="316">
        <f t="shared" si="112"/>
        <v>-1</v>
      </c>
      <c r="N1054" s="331"/>
      <c r="O1054" s="332" t="s">
        <v>112</v>
      </c>
      <c r="P1054" s="332" t="s">
        <v>112</v>
      </c>
      <c r="Q1054" s="300"/>
      <c r="R1054" s="301"/>
    </row>
    <row r="1055" ht="14.25" customHeight="1" outlineLevel="1">
      <c r="B1055" s="327"/>
      <c r="D1055" s="336"/>
      <c r="E1055" s="333" t="s">
        <v>160</v>
      </c>
      <c r="F1055" s="339">
        <v>50.0</v>
      </c>
      <c r="G1055" s="301">
        <v>399.0</v>
      </c>
      <c r="H1055" s="301"/>
      <c r="I1055" s="312"/>
      <c r="J1055" s="313">
        <v>59.0</v>
      </c>
      <c r="K1055" s="314">
        <f t="shared" si="110"/>
        <v>0.1478696742</v>
      </c>
      <c r="L1055" s="315">
        <f t="shared" si="111"/>
        <v>-59</v>
      </c>
      <c r="M1055" s="316">
        <f t="shared" si="112"/>
        <v>-1</v>
      </c>
      <c r="N1055" s="331"/>
      <c r="O1055" s="332"/>
      <c r="P1055" s="332"/>
      <c r="Q1055" s="300"/>
      <c r="R1055" s="301"/>
    </row>
    <row r="1056" ht="14.25" customHeight="1" outlineLevel="1">
      <c r="B1056" s="327"/>
      <c r="D1056" s="336"/>
      <c r="E1056" s="333" t="s">
        <v>509</v>
      </c>
      <c r="F1056" s="339">
        <v>50.0</v>
      </c>
      <c r="G1056" s="301">
        <v>399.0</v>
      </c>
      <c r="H1056" s="301"/>
      <c r="I1056" s="312"/>
      <c r="J1056" s="313">
        <v>59.0</v>
      </c>
      <c r="K1056" s="314">
        <f t="shared" si="110"/>
        <v>0.1478696742</v>
      </c>
      <c r="L1056" s="315">
        <f t="shared" si="111"/>
        <v>-59</v>
      </c>
      <c r="M1056" s="316">
        <f t="shared" si="112"/>
        <v>-1</v>
      </c>
      <c r="N1056" s="331"/>
      <c r="O1056" s="332"/>
      <c r="P1056" s="332"/>
      <c r="Q1056" s="300"/>
      <c r="R1056" s="301"/>
    </row>
    <row r="1057" ht="14.25" customHeight="1" outlineLevel="1">
      <c r="B1057" s="327"/>
      <c r="D1057" s="336"/>
      <c r="E1057" s="333" t="s">
        <v>510</v>
      </c>
      <c r="F1057" s="339">
        <v>50.0</v>
      </c>
      <c r="G1057" s="301">
        <v>399.0</v>
      </c>
      <c r="H1057" s="301"/>
      <c r="I1057" s="312"/>
      <c r="J1057" s="313">
        <v>59.0</v>
      </c>
      <c r="K1057" s="314">
        <f t="shared" si="110"/>
        <v>0.1478696742</v>
      </c>
      <c r="L1057" s="315">
        <f t="shared" si="111"/>
        <v>-59</v>
      </c>
      <c r="M1057" s="316">
        <f t="shared" si="112"/>
        <v>-1</v>
      </c>
      <c r="N1057" s="331"/>
      <c r="O1057" s="332"/>
      <c r="P1057" s="332"/>
      <c r="Q1057" s="300"/>
      <c r="R1057" s="301"/>
    </row>
    <row r="1058" ht="14.25" customHeight="1" outlineLevel="1">
      <c r="B1058" s="327"/>
      <c r="C1058" s="380"/>
      <c r="D1058" s="336"/>
      <c r="E1058" s="333" t="s">
        <v>114</v>
      </c>
      <c r="F1058" s="339">
        <v>50.0</v>
      </c>
      <c r="G1058" s="301"/>
      <c r="H1058" s="301"/>
      <c r="I1058" s="312"/>
      <c r="J1058" s="313">
        <v>59.0</v>
      </c>
      <c r="K1058" s="314" t="str">
        <f t="shared" si="110"/>
        <v>#DIV/0!</v>
      </c>
      <c r="L1058" s="315">
        <f t="shared" si="111"/>
        <v>-59</v>
      </c>
      <c r="M1058" s="316">
        <f t="shared" si="112"/>
        <v>-1</v>
      </c>
      <c r="N1058" s="331"/>
      <c r="O1058" s="332"/>
      <c r="P1058" s="332"/>
      <c r="Q1058" s="300"/>
      <c r="R1058" s="301"/>
    </row>
    <row r="1059" ht="14.25" customHeight="1" outlineLevel="1">
      <c r="A1059" s="380" t="s">
        <v>893</v>
      </c>
      <c r="B1059" s="327"/>
      <c r="C1059" s="380" t="s">
        <v>894</v>
      </c>
      <c r="D1059" s="336"/>
      <c r="E1059" s="333" t="s">
        <v>159</v>
      </c>
      <c r="F1059" s="339">
        <v>50.0</v>
      </c>
      <c r="G1059" s="341">
        <v>379.0</v>
      </c>
      <c r="H1059" s="341"/>
      <c r="I1059" s="286"/>
      <c r="J1059" s="335">
        <v>60.0</v>
      </c>
      <c r="K1059" s="332">
        <f t="shared" si="110"/>
        <v>0.1583113456</v>
      </c>
      <c r="L1059" s="319">
        <f t="shared" si="111"/>
        <v>-60</v>
      </c>
      <c r="M1059" s="332">
        <f t="shared" si="112"/>
        <v>-1</v>
      </c>
      <c r="N1059" s="331"/>
      <c r="O1059" s="332"/>
      <c r="P1059" s="332"/>
      <c r="Q1059" s="300"/>
      <c r="R1059" s="341"/>
    </row>
    <row r="1060" ht="14.25" customHeight="1" outlineLevel="1">
      <c r="B1060" s="327"/>
      <c r="D1060" s="336"/>
      <c r="E1060" s="333" t="s">
        <v>160</v>
      </c>
      <c r="F1060" s="339">
        <v>50.0</v>
      </c>
      <c r="G1060" s="341">
        <v>379.0</v>
      </c>
      <c r="H1060" s="341"/>
      <c r="I1060" s="286"/>
      <c r="J1060" s="335">
        <v>60.0</v>
      </c>
      <c r="K1060" s="332">
        <f t="shared" si="110"/>
        <v>0.1583113456</v>
      </c>
      <c r="L1060" s="319">
        <f t="shared" si="111"/>
        <v>-60</v>
      </c>
      <c r="M1060" s="332">
        <f t="shared" si="112"/>
        <v>-1</v>
      </c>
      <c r="N1060" s="331"/>
      <c r="O1060" s="332"/>
      <c r="P1060" s="332"/>
      <c r="Q1060" s="300"/>
      <c r="R1060" s="341"/>
    </row>
    <row r="1061" ht="14.25" customHeight="1" outlineLevel="1">
      <c r="B1061" s="327"/>
      <c r="D1061" s="336"/>
      <c r="E1061" s="333" t="s">
        <v>509</v>
      </c>
      <c r="F1061" s="339">
        <v>50.0</v>
      </c>
      <c r="G1061" s="341">
        <v>399.0</v>
      </c>
      <c r="H1061" s="341"/>
      <c r="I1061" s="286"/>
      <c r="J1061" s="335">
        <v>60.0</v>
      </c>
      <c r="K1061" s="332">
        <f t="shared" si="110"/>
        <v>0.1503759398</v>
      </c>
      <c r="L1061" s="319">
        <f t="shared" si="111"/>
        <v>-60</v>
      </c>
      <c r="M1061" s="332">
        <f t="shared" si="112"/>
        <v>-1</v>
      </c>
      <c r="N1061" s="331"/>
      <c r="O1061" s="332"/>
      <c r="P1061" s="332"/>
      <c r="Q1061" s="300"/>
      <c r="R1061" s="341"/>
    </row>
    <row r="1062" ht="14.25" customHeight="1" outlineLevel="1">
      <c r="B1062" s="327"/>
      <c r="D1062" s="336"/>
      <c r="E1062" s="333" t="s">
        <v>510</v>
      </c>
      <c r="F1062" s="339">
        <v>50.0</v>
      </c>
      <c r="G1062" s="341">
        <v>399.0</v>
      </c>
      <c r="H1062" s="341"/>
      <c r="I1062" s="286"/>
      <c r="J1062" s="335">
        <v>60.0</v>
      </c>
      <c r="K1062" s="332">
        <f t="shared" si="110"/>
        <v>0.1503759398</v>
      </c>
      <c r="L1062" s="319">
        <f t="shared" si="111"/>
        <v>-60</v>
      </c>
      <c r="M1062" s="332">
        <f t="shared" si="112"/>
        <v>-1</v>
      </c>
      <c r="N1062" s="331"/>
      <c r="O1062" s="332"/>
      <c r="P1062" s="332"/>
      <c r="Q1062" s="300"/>
      <c r="R1062" s="341"/>
    </row>
    <row r="1063" ht="14.25" customHeight="1" outlineLevel="1">
      <c r="B1063" s="327"/>
      <c r="C1063" s="380"/>
      <c r="D1063" s="336"/>
      <c r="E1063" s="333" t="s">
        <v>114</v>
      </c>
      <c r="F1063" s="339">
        <v>50.0</v>
      </c>
      <c r="G1063" s="341"/>
      <c r="H1063" s="341"/>
      <c r="I1063" s="286"/>
      <c r="J1063" s="335">
        <v>60.0</v>
      </c>
      <c r="K1063" s="332" t="str">
        <f t="shared" si="110"/>
        <v>#DIV/0!</v>
      </c>
      <c r="L1063" s="319">
        <f t="shared" si="111"/>
        <v>-60</v>
      </c>
      <c r="M1063" s="332">
        <f t="shared" si="112"/>
        <v>-1</v>
      </c>
      <c r="N1063" s="331"/>
      <c r="O1063" s="332"/>
      <c r="P1063" s="332"/>
      <c r="Q1063" s="300"/>
      <c r="R1063" s="341"/>
    </row>
    <row r="1064" ht="14.25" customHeight="1" outlineLevel="1">
      <c r="A1064" s="380" t="s">
        <v>895</v>
      </c>
      <c r="B1064" s="327"/>
      <c r="C1064" s="380" t="s">
        <v>895</v>
      </c>
      <c r="D1064" s="336"/>
      <c r="E1064" s="333" t="s">
        <v>159</v>
      </c>
      <c r="F1064" s="339">
        <v>50.0</v>
      </c>
      <c r="G1064" s="341">
        <v>399.0</v>
      </c>
      <c r="H1064" s="341"/>
      <c r="I1064" s="286"/>
      <c r="J1064" s="335">
        <v>69.0</v>
      </c>
      <c r="K1064" s="332">
        <f t="shared" si="110"/>
        <v>0.1729323308</v>
      </c>
      <c r="L1064" s="319">
        <f t="shared" si="111"/>
        <v>-69</v>
      </c>
      <c r="M1064" s="332">
        <f t="shared" si="112"/>
        <v>-1</v>
      </c>
      <c r="N1064" s="331"/>
      <c r="O1064" s="332"/>
      <c r="P1064" s="332"/>
      <c r="Q1064" s="300"/>
      <c r="R1064" s="341"/>
    </row>
    <row r="1065" ht="14.25" customHeight="1" outlineLevel="1">
      <c r="B1065" s="327"/>
      <c r="D1065" s="336"/>
      <c r="E1065" s="333" t="s">
        <v>160</v>
      </c>
      <c r="F1065" s="339">
        <v>50.0</v>
      </c>
      <c r="G1065" s="341">
        <v>399.0</v>
      </c>
      <c r="H1065" s="341"/>
      <c r="I1065" s="286"/>
      <c r="J1065" s="335">
        <v>69.0</v>
      </c>
      <c r="K1065" s="332">
        <f t="shared" si="110"/>
        <v>0.1729323308</v>
      </c>
      <c r="L1065" s="319">
        <f t="shared" si="111"/>
        <v>-69</v>
      </c>
      <c r="M1065" s="332">
        <f t="shared" si="112"/>
        <v>-1</v>
      </c>
      <c r="N1065" s="331"/>
      <c r="O1065" s="332"/>
      <c r="P1065" s="332"/>
      <c r="Q1065" s="300"/>
      <c r="R1065" s="341"/>
    </row>
    <row r="1066" ht="14.25" customHeight="1" outlineLevel="1">
      <c r="B1066" s="327"/>
      <c r="D1066" s="336"/>
      <c r="E1066" s="333" t="s">
        <v>509</v>
      </c>
      <c r="F1066" s="339">
        <v>50.0</v>
      </c>
      <c r="G1066" s="341">
        <v>429.0</v>
      </c>
      <c r="H1066" s="341"/>
      <c r="I1066" s="286"/>
      <c r="J1066" s="335">
        <v>69.0</v>
      </c>
      <c r="K1066" s="332">
        <f t="shared" si="110"/>
        <v>0.1608391608</v>
      </c>
      <c r="L1066" s="319">
        <f t="shared" si="111"/>
        <v>-69</v>
      </c>
      <c r="M1066" s="332">
        <f t="shared" si="112"/>
        <v>-1</v>
      </c>
      <c r="N1066" s="331"/>
      <c r="O1066" s="332"/>
      <c r="P1066" s="332"/>
      <c r="Q1066" s="300"/>
      <c r="R1066" s="341"/>
    </row>
    <row r="1067" ht="14.25" customHeight="1" outlineLevel="1">
      <c r="B1067" s="327"/>
      <c r="D1067" s="336"/>
      <c r="E1067" s="333" t="s">
        <v>510</v>
      </c>
      <c r="F1067" s="339">
        <v>50.0</v>
      </c>
      <c r="G1067" s="341">
        <v>429.0</v>
      </c>
      <c r="H1067" s="341"/>
      <c r="I1067" s="286"/>
      <c r="J1067" s="335">
        <v>69.0</v>
      </c>
      <c r="K1067" s="332">
        <f t="shared" si="110"/>
        <v>0.1608391608</v>
      </c>
      <c r="L1067" s="319">
        <f t="shared" si="111"/>
        <v>-69</v>
      </c>
      <c r="M1067" s="332">
        <f t="shared" si="112"/>
        <v>-1</v>
      </c>
      <c r="N1067" s="331"/>
      <c r="O1067" s="332"/>
      <c r="P1067" s="332"/>
      <c r="Q1067" s="300"/>
      <c r="R1067" s="341"/>
    </row>
    <row r="1068" ht="14.25" customHeight="1" outlineLevel="1">
      <c r="B1068" s="327"/>
      <c r="C1068" s="380"/>
      <c r="D1068" s="336"/>
      <c r="E1068" s="333" t="s">
        <v>114</v>
      </c>
      <c r="F1068" s="339">
        <v>50.0</v>
      </c>
      <c r="G1068" s="341"/>
      <c r="H1068" s="341"/>
      <c r="I1068" s="286"/>
      <c r="J1068" s="335">
        <v>69.0</v>
      </c>
      <c r="K1068" s="332" t="str">
        <f t="shared" si="110"/>
        <v>#DIV/0!</v>
      </c>
      <c r="L1068" s="319">
        <f t="shared" si="111"/>
        <v>-69</v>
      </c>
      <c r="M1068" s="332">
        <f t="shared" si="112"/>
        <v>-1</v>
      </c>
      <c r="N1068" s="331"/>
      <c r="O1068" s="332"/>
      <c r="P1068" s="332"/>
      <c r="Q1068" s="300"/>
      <c r="R1068" s="341"/>
    </row>
    <row r="1069" ht="14.25" customHeight="1" outlineLevel="1">
      <c r="A1069" s="381" t="s">
        <v>896</v>
      </c>
      <c r="B1069" s="289"/>
      <c r="C1069" s="381" t="s">
        <v>897</v>
      </c>
      <c r="D1069" s="340"/>
      <c r="E1069" s="322" t="s">
        <v>159</v>
      </c>
      <c r="F1069" s="356"/>
      <c r="G1069" s="294"/>
      <c r="H1069" s="294"/>
      <c r="I1069" s="324"/>
      <c r="J1069" s="325"/>
      <c r="K1069" s="297"/>
      <c r="L1069" s="326"/>
      <c r="M1069" s="297"/>
      <c r="N1069" s="299"/>
      <c r="O1069" s="297"/>
      <c r="P1069" s="297"/>
      <c r="Q1069" s="298"/>
      <c r="R1069" s="294"/>
    </row>
    <row r="1070" ht="14.25" customHeight="1" outlineLevel="1">
      <c r="B1070" s="289"/>
      <c r="D1070" s="340"/>
      <c r="E1070" s="322" t="s">
        <v>160</v>
      </c>
      <c r="F1070" s="356"/>
      <c r="G1070" s="294"/>
      <c r="H1070" s="294"/>
      <c r="I1070" s="324"/>
      <c r="J1070" s="325"/>
      <c r="K1070" s="297"/>
      <c r="L1070" s="326"/>
      <c r="M1070" s="297"/>
      <c r="N1070" s="299"/>
      <c r="O1070" s="297"/>
      <c r="P1070" s="297"/>
      <c r="Q1070" s="298"/>
      <c r="R1070" s="294"/>
    </row>
    <row r="1071" ht="14.25" customHeight="1" outlineLevel="1">
      <c r="B1071" s="289"/>
      <c r="D1071" s="340"/>
      <c r="E1071" s="322" t="s">
        <v>509</v>
      </c>
      <c r="F1071" s="356"/>
      <c r="G1071" s="294"/>
      <c r="H1071" s="294"/>
      <c r="I1071" s="324"/>
      <c r="J1071" s="325"/>
      <c r="K1071" s="297"/>
      <c r="L1071" s="326"/>
      <c r="M1071" s="297"/>
      <c r="N1071" s="299"/>
      <c r="O1071" s="297"/>
      <c r="P1071" s="297"/>
      <c r="Q1071" s="298"/>
      <c r="R1071" s="294"/>
    </row>
    <row r="1072" ht="14.25" customHeight="1" outlineLevel="1">
      <c r="B1072" s="289"/>
      <c r="D1072" s="340"/>
      <c r="E1072" s="322" t="s">
        <v>622</v>
      </c>
      <c r="F1072" s="356"/>
      <c r="G1072" s="294"/>
      <c r="H1072" s="294"/>
      <c r="I1072" s="324"/>
      <c r="J1072" s="325"/>
      <c r="K1072" s="297"/>
      <c r="L1072" s="326"/>
      <c r="M1072" s="297"/>
      <c r="N1072" s="299"/>
      <c r="O1072" s="297"/>
      <c r="P1072" s="297"/>
      <c r="Q1072" s="298"/>
      <c r="R1072" s="294"/>
    </row>
    <row r="1073" ht="14.25" customHeight="1" outlineLevel="1">
      <c r="A1073" s="380" t="s">
        <v>898</v>
      </c>
      <c r="B1073" s="327" t="s">
        <v>899</v>
      </c>
      <c r="C1073" s="330" t="s">
        <v>898</v>
      </c>
      <c r="D1073" s="330" t="s">
        <v>900</v>
      </c>
      <c r="E1073" s="333" t="s">
        <v>159</v>
      </c>
      <c r="F1073" s="339" t="s">
        <v>901</v>
      </c>
      <c r="G1073" s="341">
        <v>249.0</v>
      </c>
      <c r="H1073" s="341"/>
      <c r="I1073" s="286"/>
      <c r="J1073" s="335">
        <v>39.0</v>
      </c>
      <c r="K1073" s="332">
        <f t="shared" ref="K1073:K1093" si="113">J1073/G1073</f>
        <v>0.156626506</v>
      </c>
      <c r="L1073" s="319">
        <f t="shared" ref="L1073:L1093" si="114">Q1073-J1073</f>
        <v>-39</v>
      </c>
      <c r="M1073" s="332">
        <f t="shared" ref="M1073:M1093" si="115">Q1073/J1073-1</f>
        <v>-1</v>
      </c>
      <c r="N1073" s="331">
        <v>299.0</v>
      </c>
      <c r="O1073" s="332"/>
      <c r="P1073" s="285" t="s">
        <v>111</v>
      </c>
      <c r="Q1073" s="300"/>
      <c r="R1073" s="341"/>
    </row>
    <row r="1074" ht="14.25" customHeight="1" outlineLevel="1">
      <c r="E1074" s="333" t="s">
        <v>160</v>
      </c>
      <c r="F1074" s="339" t="s">
        <v>901</v>
      </c>
      <c r="G1074" s="341">
        <v>249.0</v>
      </c>
      <c r="H1074" s="341"/>
      <c r="I1074" s="286"/>
      <c r="J1074" s="335">
        <v>39.0</v>
      </c>
      <c r="K1074" s="332">
        <f t="shared" si="113"/>
        <v>0.156626506</v>
      </c>
      <c r="L1074" s="319">
        <f t="shared" si="114"/>
        <v>-39</v>
      </c>
      <c r="M1074" s="332">
        <f t="shared" si="115"/>
        <v>-1</v>
      </c>
      <c r="N1074" s="331"/>
      <c r="O1074" s="332"/>
      <c r="P1074" s="332"/>
      <c r="Q1074" s="300"/>
      <c r="R1074" s="341"/>
    </row>
    <row r="1075" ht="14.25" customHeight="1" outlineLevel="1">
      <c r="E1075" s="333" t="s">
        <v>509</v>
      </c>
      <c r="F1075" s="339" t="s">
        <v>901</v>
      </c>
      <c r="G1075" s="341">
        <v>249.0</v>
      </c>
      <c r="H1075" s="341"/>
      <c r="I1075" s="286"/>
      <c r="J1075" s="335">
        <v>39.0</v>
      </c>
      <c r="K1075" s="332">
        <f t="shared" si="113"/>
        <v>0.156626506</v>
      </c>
      <c r="L1075" s="319">
        <f t="shared" si="114"/>
        <v>-39</v>
      </c>
      <c r="M1075" s="332">
        <f t="shared" si="115"/>
        <v>-1</v>
      </c>
      <c r="N1075" s="331"/>
      <c r="O1075" s="332"/>
      <c r="P1075" s="332"/>
      <c r="Q1075" s="300"/>
      <c r="R1075" s="341"/>
    </row>
    <row r="1076" ht="14.25" customHeight="1" outlineLevel="1">
      <c r="E1076" s="333" t="s">
        <v>622</v>
      </c>
      <c r="F1076" s="339" t="s">
        <v>901</v>
      </c>
      <c r="G1076" s="341">
        <v>249.0</v>
      </c>
      <c r="H1076" s="341"/>
      <c r="I1076" s="286"/>
      <c r="J1076" s="335">
        <v>39.0</v>
      </c>
      <c r="K1076" s="332">
        <f t="shared" si="113"/>
        <v>0.156626506</v>
      </c>
      <c r="L1076" s="319">
        <f t="shared" si="114"/>
        <v>-39</v>
      </c>
      <c r="M1076" s="332">
        <f t="shared" si="115"/>
        <v>-1</v>
      </c>
      <c r="N1076" s="331"/>
      <c r="O1076" s="332"/>
      <c r="P1076" s="332"/>
      <c r="Q1076" s="300"/>
      <c r="R1076" s="341"/>
    </row>
    <row r="1077" ht="13.5" customHeight="1" outlineLevel="1">
      <c r="A1077" s="380" t="s">
        <v>902</v>
      </c>
      <c r="B1077" s="327" t="s">
        <v>903</v>
      </c>
      <c r="C1077" s="330" t="s">
        <v>904</v>
      </c>
      <c r="D1077" s="330" t="s">
        <v>905</v>
      </c>
      <c r="E1077" s="333" t="s">
        <v>159</v>
      </c>
      <c r="F1077" s="339" t="s">
        <v>901</v>
      </c>
      <c r="G1077" s="341">
        <v>599.0</v>
      </c>
      <c r="H1077" s="341" t="s">
        <v>220</v>
      </c>
      <c r="I1077" s="286"/>
      <c r="J1077" s="335">
        <v>112.0</v>
      </c>
      <c r="K1077" s="332">
        <f t="shared" si="113"/>
        <v>0.1869782972</v>
      </c>
      <c r="L1077" s="319">
        <f t="shared" si="114"/>
        <v>-112</v>
      </c>
      <c r="M1077" s="332">
        <f t="shared" si="115"/>
        <v>-1</v>
      </c>
      <c r="N1077" s="331"/>
      <c r="O1077" s="332"/>
      <c r="P1077" s="332"/>
      <c r="Q1077" s="300"/>
      <c r="R1077" s="341"/>
    </row>
    <row r="1078" ht="14.25" customHeight="1" outlineLevel="1">
      <c r="E1078" s="333" t="s">
        <v>160</v>
      </c>
      <c r="F1078" s="339" t="s">
        <v>901</v>
      </c>
      <c r="G1078" s="341">
        <v>599.0</v>
      </c>
      <c r="H1078" s="341"/>
      <c r="I1078" s="286"/>
      <c r="J1078" s="335">
        <v>112.0</v>
      </c>
      <c r="K1078" s="332">
        <f t="shared" si="113"/>
        <v>0.1869782972</v>
      </c>
      <c r="L1078" s="319">
        <f t="shared" si="114"/>
        <v>-112</v>
      </c>
      <c r="M1078" s="332">
        <f t="shared" si="115"/>
        <v>-1</v>
      </c>
      <c r="N1078" s="331"/>
      <c r="O1078" s="332"/>
      <c r="P1078" s="332"/>
      <c r="Q1078" s="300"/>
      <c r="R1078" s="341"/>
    </row>
    <row r="1079" ht="14.25" customHeight="1" outlineLevel="1">
      <c r="E1079" s="333" t="s">
        <v>509</v>
      </c>
      <c r="F1079" s="339" t="s">
        <v>901</v>
      </c>
      <c r="G1079" s="341">
        <v>599.0</v>
      </c>
      <c r="H1079" s="341"/>
      <c r="I1079" s="286"/>
      <c r="J1079" s="335">
        <v>112.0</v>
      </c>
      <c r="K1079" s="332">
        <f t="shared" si="113"/>
        <v>0.1869782972</v>
      </c>
      <c r="L1079" s="319">
        <f t="shared" si="114"/>
        <v>-112</v>
      </c>
      <c r="M1079" s="332">
        <f t="shared" si="115"/>
        <v>-1</v>
      </c>
      <c r="N1079" s="331"/>
      <c r="O1079" s="332"/>
      <c r="P1079" s="332"/>
      <c r="Q1079" s="300"/>
      <c r="R1079" s="341"/>
    </row>
    <row r="1080" ht="14.25" customHeight="1" outlineLevel="1">
      <c r="E1080" s="333" t="s">
        <v>622</v>
      </c>
      <c r="F1080" s="339" t="s">
        <v>901</v>
      </c>
      <c r="G1080" s="341">
        <v>599.0</v>
      </c>
      <c r="H1080" s="341"/>
      <c r="I1080" s="286"/>
      <c r="J1080" s="335">
        <v>112.0</v>
      </c>
      <c r="K1080" s="332">
        <f t="shared" si="113"/>
        <v>0.1869782972</v>
      </c>
      <c r="L1080" s="319">
        <f t="shared" si="114"/>
        <v>-112</v>
      </c>
      <c r="M1080" s="332">
        <f t="shared" si="115"/>
        <v>-1</v>
      </c>
      <c r="N1080" s="331"/>
      <c r="O1080" s="332"/>
      <c r="P1080" s="332"/>
      <c r="Q1080" s="300"/>
      <c r="R1080" s="341"/>
    </row>
    <row r="1081" ht="14.25" customHeight="1" outlineLevel="1">
      <c r="A1081" s="380" t="s">
        <v>906</v>
      </c>
      <c r="B1081" s="327" t="s">
        <v>907</v>
      </c>
      <c r="C1081" s="330" t="s">
        <v>908</v>
      </c>
      <c r="D1081" s="330" t="s">
        <v>909</v>
      </c>
      <c r="E1081" s="333" t="s">
        <v>159</v>
      </c>
      <c r="F1081" s="339">
        <v>450.0</v>
      </c>
      <c r="G1081" s="341">
        <v>559.0</v>
      </c>
      <c r="H1081" s="341"/>
      <c r="I1081" s="286"/>
      <c r="J1081" s="283">
        <v>95.0</v>
      </c>
      <c r="K1081" s="332">
        <f t="shared" si="113"/>
        <v>0.1699463327</v>
      </c>
      <c r="L1081" s="319">
        <f t="shared" si="114"/>
        <v>-95</v>
      </c>
      <c r="M1081" s="332">
        <f t="shared" si="115"/>
        <v>-1</v>
      </c>
      <c r="N1081" s="331"/>
      <c r="O1081" s="332"/>
      <c r="P1081" s="332"/>
      <c r="Q1081" s="300"/>
      <c r="R1081" s="341"/>
    </row>
    <row r="1082" ht="14.25" customHeight="1" outlineLevel="1">
      <c r="E1082" s="333" t="s">
        <v>160</v>
      </c>
      <c r="F1082" s="339">
        <v>450.0</v>
      </c>
      <c r="G1082" s="341">
        <v>559.0</v>
      </c>
      <c r="H1082" s="341"/>
      <c r="I1082" s="286"/>
      <c r="J1082" s="283">
        <v>95.0</v>
      </c>
      <c r="K1082" s="332">
        <f t="shared" si="113"/>
        <v>0.1699463327</v>
      </c>
      <c r="L1082" s="319">
        <f t="shared" si="114"/>
        <v>-95</v>
      </c>
      <c r="M1082" s="332">
        <f t="shared" si="115"/>
        <v>-1</v>
      </c>
      <c r="N1082" s="331"/>
      <c r="O1082" s="332"/>
      <c r="P1082" s="332"/>
      <c r="Q1082" s="300"/>
      <c r="R1082" s="341"/>
    </row>
    <row r="1083" ht="14.25" customHeight="1" outlineLevel="1">
      <c r="E1083" s="333" t="s">
        <v>509</v>
      </c>
      <c r="F1083" s="339">
        <v>450.0</v>
      </c>
      <c r="G1083" s="341">
        <v>559.0</v>
      </c>
      <c r="H1083" s="341"/>
      <c r="I1083" s="286"/>
      <c r="J1083" s="283">
        <v>95.0</v>
      </c>
      <c r="K1083" s="332">
        <f t="shared" si="113"/>
        <v>0.1699463327</v>
      </c>
      <c r="L1083" s="319">
        <f t="shared" si="114"/>
        <v>-95</v>
      </c>
      <c r="M1083" s="332">
        <f t="shared" si="115"/>
        <v>-1</v>
      </c>
      <c r="N1083" s="331"/>
      <c r="O1083" s="332"/>
      <c r="P1083" s="332"/>
      <c r="Q1083" s="300"/>
      <c r="R1083" s="341"/>
    </row>
    <row r="1084" ht="14.25" customHeight="1" outlineLevel="1">
      <c r="E1084" s="333" t="s">
        <v>622</v>
      </c>
      <c r="F1084" s="339">
        <v>450.0</v>
      </c>
      <c r="G1084" s="341">
        <v>559.0</v>
      </c>
      <c r="H1084" s="341"/>
      <c r="I1084" s="286"/>
      <c r="J1084" s="283">
        <v>95.0</v>
      </c>
      <c r="K1084" s="332">
        <f t="shared" si="113"/>
        <v>0.1699463327</v>
      </c>
      <c r="L1084" s="319">
        <f t="shared" si="114"/>
        <v>-95</v>
      </c>
      <c r="M1084" s="332">
        <f t="shared" si="115"/>
        <v>-1</v>
      </c>
      <c r="N1084" s="331"/>
      <c r="O1084" s="332"/>
      <c r="P1084" s="332"/>
      <c r="Q1084" s="300"/>
      <c r="R1084" s="341"/>
    </row>
    <row r="1085" ht="14.25" customHeight="1" outlineLevel="1">
      <c r="A1085" s="380" t="s">
        <v>910</v>
      </c>
      <c r="B1085" s="327" t="s">
        <v>911</v>
      </c>
      <c r="C1085" s="330" t="s">
        <v>910</v>
      </c>
      <c r="D1085" s="330" t="s">
        <v>911</v>
      </c>
      <c r="E1085" s="333" t="s">
        <v>159</v>
      </c>
      <c r="F1085" s="339" t="s">
        <v>901</v>
      </c>
      <c r="G1085" s="341">
        <v>379.0</v>
      </c>
      <c r="H1085" s="341"/>
      <c r="I1085" s="286"/>
      <c r="J1085" s="335">
        <v>77.0</v>
      </c>
      <c r="K1085" s="332">
        <f t="shared" si="113"/>
        <v>0.2031662269</v>
      </c>
      <c r="L1085" s="319">
        <f t="shared" si="114"/>
        <v>-77</v>
      </c>
      <c r="M1085" s="332">
        <f t="shared" si="115"/>
        <v>-1</v>
      </c>
      <c r="N1085" s="331">
        <v>429.0</v>
      </c>
      <c r="O1085" s="332"/>
      <c r="P1085" s="285" t="s">
        <v>111</v>
      </c>
      <c r="Q1085" s="300"/>
      <c r="R1085" s="341"/>
    </row>
    <row r="1086" ht="14.25" customHeight="1" outlineLevel="1">
      <c r="E1086" s="333" t="s">
        <v>160</v>
      </c>
      <c r="F1086" s="339" t="s">
        <v>901</v>
      </c>
      <c r="G1086" s="341">
        <v>379.0</v>
      </c>
      <c r="H1086" s="341"/>
      <c r="I1086" s="286"/>
      <c r="J1086" s="335">
        <v>77.0</v>
      </c>
      <c r="K1086" s="332">
        <f t="shared" si="113"/>
        <v>0.2031662269</v>
      </c>
      <c r="L1086" s="319">
        <f t="shared" si="114"/>
        <v>-77</v>
      </c>
      <c r="M1086" s="332">
        <f t="shared" si="115"/>
        <v>-1</v>
      </c>
      <c r="N1086" s="331"/>
      <c r="O1086" s="332"/>
      <c r="P1086" s="332"/>
      <c r="Q1086" s="300"/>
      <c r="R1086" s="341"/>
    </row>
    <row r="1087" ht="14.25" customHeight="1" outlineLevel="1">
      <c r="E1087" s="333" t="s">
        <v>509</v>
      </c>
      <c r="F1087" s="339" t="s">
        <v>901</v>
      </c>
      <c r="G1087" s="341">
        <v>379.0</v>
      </c>
      <c r="H1087" s="341"/>
      <c r="I1087" s="286"/>
      <c r="J1087" s="335">
        <v>77.0</v>
      </c>
      <c r="K1087" s="332">
        <f t="shared" si="113"/>
        <v>0.2031662269</v>
      </c>
      <c r="L1087" s="319">
        <f t="shared" si="114"/>
        <v>-77</v>
      </c>
      <c r="M1087" s="332">
        <f t="shared" si="115"/>
        <v>-1</v>
      </c>
      <c r="N1087" s="331"/>
      <c r="O1087" s="332"/>
      <c r="P1087" s="332"/>
      <c r="Q1087" s="300"/>
      <c r="R1087" s="341"/>
    </row>
    <row r="1088" ht="14.25" customHeight="1" outlineLevel="1">
      <c r="E1088" s="333" t="s">
        <v>622</v>
      </c>
      <c r="F1088" s="339" t="s">
        <v>901</v>
      </c>
      <c r="G1088" s="341">
        <v>379.0</v>
      </c>
      <c r="H1088" s="341"/>
      <c r="I1088" s="286"/>
      <c r="J1088" s="335">
        <v>77.0</v>
      </c>
      <c r="K1088" s="332">
        <f t="shared" si="113"/>
        <v>0.2031662269</v>
      </c>
      <c r="L1088" s="319">
        <f t="shared" si="114"/>
        <v>-77</v>
      </c>
      <c r="M1088" s="332">
        <f t="shared" si="115"/>
        <v>-1</v>
      </c>
      <c r="N1088" s="331"/>
      <c r="O1088" s="332"/>
      <c r="P1088" s="332"/>
      <c r="Q1088" s="300"/>
      <c r="R1088" s="341"/>
    </row>
    <row r="1089" ht="14.25" customHeight="1" outlineLevel="1">
      <c r="A1089" s="380" t="s">
        <v>912</v>
      </c>
      <c r="B1089" s="327" t="s">
        <v>913</v>
      </c>
      <c r="C1089" s="330" t="s">
        <v>914</v>
      </c>
      <c r="D1089" s="330" t="s">
        <v>913</v>
      </c>
      <c r="E1089" s="333" t="s">
        <v>159</v>
      </c>
      <c r="F1089" s="339" t="s">
        <v>901</v>
      </c>
      <c r="G1089" s="341">
        <v>379.0</v>
      </c>
      <c r="H1089" s="341"/>
      <c r="I1089" s="286"/>
      <c r="J1089" s="335">
        <v>58.0</v>
      </c>
      <c r="K1089" s="332">
        <f t="shared" si="113"/>
        <v>0.1530343008</v>
      </c>
      <c r="L1089" s="319">
        <f t="shared" si="114"/>
        <v>-58</v>
      </c>
      <c r="M1089" s="332">
        <f t="shared" si="115"/>
        <v>-1</v>
      </c>
      <c r="N1089" s="331">
        <v>429.0</v>
      </c>
      <c r="O1089" s="332"/>
      <c r="P1089" s="285" t="s">
        <v>111</v>
      </c>
      <c r="Q1089" s="300"/>
      <c r="R1089" s="341"/>
    </row>
    <row r="1090" ht="14.25" customHeight="1" outlineLevel="1">
      <c r="E1090" s="333" t="s">
        <v>160</v>
      </c>
      <c r="F1090" s="339" t="s">
        <v>901</v>
      </c>
      <c r="G1090" s="341">
        <v>379.0</v>
      </c>
      <c r="H1090" s="341"/>
      <c r="I1090" s="286"/>
      <c r="J1090" s="335">
        <v>58.0</v>
      </c>
      <c r="K1090" s="332">
        <f t="shared" si="113"/>
        <v>0.1530343008</v>
      </c>
      <c r="L1090" s="319">
        <f t="shared" si="114"/>
        <v>-58</v>
      </c>
      <c r="M1090" s="332">
        <f t="shared" si="115"/>
        <v>-1</v>
      </c>
      <c r="N1090" s="331"/>
      <c r="O1090" s="332"/>
      <c r="P1090" s="332"/>
      <c r="Q1090" s="300"/>
      <c r="R1090" s="341"/>
    </row>
    <row r="1091" ht="14.25" customHeight="1" outlineLevel="1">
      <c r="E1091" s="333" t="s">
        <v>509</v>
      </c>
      <c r="F1091" s="339" t="s">
        <v>901</v>
      </c>
      <c r="G1091" s="341">
        <v>379.0</v>
      </c>
      <c r="H1091" s="341"/>
      <c r="I1091" s="286"/>
      <c r="J1091" s="335">
        <v>58.0</v>
      </c>
      <c r="K1091" s="332">
        <f t="shared" si="113"/>
        <v>0.1530343008</v>
      </c>
      <c r="L1091" s="319">
        <f t="shared" si="114"/>
        <v>-58</v>
      </c>
      <c r="M1091" s="332">
        <f t="shared" si="115"/>
        <v>-1</v>
      </c>
      <c r="N1091" s="331"/>
      <c r="O1091" s="332"/>
      <c r="P1091" s="332"/>
      <c r="Q1091" s="300"/>
      <c r="R1091" s="341"/>
    </row>
    <row r="1092" ht="14.25" customHeight="1" outlineLevel="1">
      <c r="E1092" s="333" t="s">
        <v>622</v>
      </c>
      <c r="F1092" s="339" t="s">
        <v>901</v>
      </c>
      <c r="G1092" s="341">
        <v>379.0</v>
      </c>
      <c r="H1092" s="341"/>
      <c r="I1092" s="286"/>
      <c r="J1092" s="335">
        <v>58.0</v>
      </c>
      <c r="K1092" s="332">
        <f t="shared" si="113"/>
        <v>0.1530343008</v>
      </c>
      <c r="L1092" s="319">
        <f t="shared" si="114"/>
        <v>-58</v>
      </c>
      <c r="M1092" s="332">
        <f t="shared" si="115"/>
        <v>-1</v>
      </c>
      <c r="N1092" s="331"/>
      <c r="O1092" s="332"/>
      <c r="P1092" s="332"/>
      <c r="Q1092" s="300"/>
      <c r="R1092" s="341"/>
    </row>
    <row r="1093" ht="15.75" customHeight="1" collapsed="1">
      <c r="A1093" s="376" t="s">
        <v>915</v>
      </c>
      <c r="B1093" s="289"/>
      <c r="C1093" s="290"/>
      <c r="D1093" s="291"/>
      <c r="E1093" s="292"/>
      <c r="F1093" s="323"/>
      <c r="G1093" s="357" t="s">
        <v>916</v>
      </c>
      <c r="H1093" s="357" t="s">
        <v>916</v>
      </c>
      <c r="I1093" s="312" t="str">
        <f>G1093/R1093</f>
        <v>#VALUE!</v>
      </c>
      <c r="J1093" s="313">
        <v>15.0</v>
      </c>
      <c r="K1093" s="314" t="str">
        <f t="shared" si="113"/>
        <v>#VALUE!</v>
      </c>
      <c r="L1093" s="315">
        <f t="shared" si="114"/>
        <v>-15</v>
      </c>
      <c r="M1093" s="316">
        <f t="shared" si="115"/>
        <v>-1</v>
      </c>
      <c r="N1093" s="299"/>
      <c r="O1093" s="377"/>
      <c r="P1093" s="377"/>
      <c r="Q1093" s="300"/>
      <c r="R1093" s="357"/>
    </row>
    <row r="1094" ht="15.75" hidden="1" customHeight="1" outlineLevel="1">
      <c r="A1094" s="382" t="s">
        <v>917</v>
      </c>
      <c r="B1094" s="383"/>
      <c r="C1094" s="384"/>
      <c r="D1094" s="385"/>
      <c r="E1094" s="386"/>
      <c r="F1094" s="337"/>
      <c r="G1094" s="301"/>
      <c r="H1094" s="301"/>
      <c r="I1094" s="387"/>
      <c r="J1094" s="335"/>
      <c r="K1094" s="297">
        <f>AVERAGE(K1095:K1100)</f>
        <v>0.123547871</v>
      </c>
      <c r="L1094" s="319"/>
      <c r="M1094" s="332"/>
      <c r="N1094" s="372"/>
      <c r="O1094" s="388"/>
      <c r="P1094" s="388"/>
      <c r="Q1094" s="300"/>
      <c r="R1094" s="301"/>
    </row>
    <row r="1095" ht="15.75" hidden="1" customHeight="1" outlineLevel="1">
      <c r="A1095" s="389" t="s">
        <v>918</v>
      </c>
      <c r="B1095" s="389"/>
      <c r="C1095" s="390"/>
      <c r="D1095" s="391"/>
      <c r="E1095" s="392"/>
      <c r="F1095" s="337">
        <v>400.0</v>
      </c>
      <c r="G1095" s="301">
        <v>159.0</v>
      </c>
      <c r="H1095" s="301">
        <v>159.0</v>
      </c>
      <c r="I1095" s="387"/>
      <c r="J1095" s="364">
        <v>24.16</v>
      </c>
      <c r="K1095" s="393">
        <f t="shared" ref="K1095:K1100" si="116">J1095/G1095</f>
        <v>0.1519496855</v>
      </c>
      <c r="L1095" s="315">
        <f t="shared" ref="L1095:L1100" si="117">Q1095-J1095</f>
        <v>-24.16</v>
      </c>
      <c r="M1095" s="316">
        <f t="shared" ref="M1095:M1100" si="118">Q1095/J1095-1</f>
        <v>-1</v>
      </c>
      <c r="N1095" s="331"/>
      <c r="O1095" s="373" t="s">
        <v>112</v>
      </c>
      <c r="P1095" s="394"/>
      <c r="Q1095" s="300"/>
      <c r="R1095" s="301"/>
    </row>
    <row r="1096" ht="15.75" hidden="1" customHeight="1" outlineLevel="1">
      <c r="A1096" s="389" t="s">
        <v>919</v>
      </c>
      <c r="B1096" s="395"/>
      <c r="C1096" s="390"/>
      <c r="D1096" s="391"/>
      <c r="E1096" s="396"/>
      <c r="F1096" s="337">
        <v>1000.0</v>
      </c>
      <c r="G1096" s="301">
        <v>299.0</v>
      </c>
      <c r="H1096" s="301">
        <v>299.0</v>
      </c>
      <c r="I1096" s="387"/>
      <c r="J1096" s="364">
        <v>48.33</v>
      </c>
      <c r="K1096" s="397">
        <f t="shared" si="116"/>
        <v>0.161638796</v>
      </c>
      <c r="L1096" s="315">
        <f t="shared" si="117"/>
        <v>-48.33</v>
      </c>
      <c r="M1096" s="316">
        <f t="shared" si="118"/>
        <v>-1</v>
      </c>
      <c r="N1096" s="372"/>
      <c r="O1096" s="373" t="s">
        <v>112</v>
      </c>
      <c r="P1096" s="394"/>
      <c r="Q1096" s="300"/>
      <c r="R1096" s="301"/>
    </row>
    <row r="1097" ht="15.75" hidden="1" customHeight="1" outlineLevel="1">
      <c r="A1097" s="389" t="s">
        <v>920</v>
      </c>
      <c r="B1097" s="395"/>
      <c r="C1097" s="390"/>
      <c r="D1097" s="391"/>
      <c r="E1097" s="396"/>
      <c r="F1097" s="339">
        <v>300.0</v>
      </c>
      <c r="G1097" s="301">
        <v>239.0</v>
      </c>
      <c r="H1097" s="301">
        <v>239.0</v>
      </c>
      <c r="I1097" s="387"/>
      <c r="J1097" s="335">
        <v>20.16</v>
      </c>
      <c r="K1097" s="398">
        <f t="shared" si="116"/>
        <v>0.08435146444</v>
      </c>
      <c r="L1097" s="315">
        <f t="shared" si="117"/>
        <v>-20.16</v>
      </c>
      <c r="M1097" s="316">
        <f t="shared" si="118"/>
        <v>-1</v>
      </c>
      <c r="N1097" s="317"/>
      <c r="O1097" s="373" t="s">
        <v>112</v>
      </c>
      <c r="P1097" s="394"/>
      <c r="Q1097" s="300"/>
      <c r="R1097" s="301"/>
    </row>
    <row r="1098" ht="15.75" hidden="1" customHeight="1" outlineLevel="1">
      <c r="A1098" s="389" t="s">
        <v>921</v>
      </c>
      <c r="B1098" s="395" t="s">
        <v>922</v>
      </c>
      <c r="C1098" s="390"/>
      <c r="D1098" s="391"/>
      <c r="E1098" s="399"/>
      <c r="F1098" s="339">
        <v>350.0</v>
      </c>
      <c r="G1098" s="301">
        <v>239.0</v>
      </c>
      <c r="H1098" s="301">
        <v>239.0</v>
      </c>
      <c r="I1098" s="387"/>
      <c r="J1098" s="335">
        <v>16.66</v>
      </c>
      <c r="K1098" s="400">
        <f t="shared" si="116"/>
        <v>0.06970711297</v>
      </c>
      <c r="L1098" s="319">
        <f t="shared" si="117"/>
        <v>-16.66</v>
      </c>
      <c r="M1098" s="332">
        <f t="shared" si="118"/>
        <v>-1</v>
      </c>
      <c r="N1098" s="372"/>
      <c r="O1098" s="394"/>
      <c r="P1098" s="394"/>
      <c r="Q1098" s="319"/>
      <c r="R1098" s="301"/>
    </row>
    <row r="1099" ht="15.75" hidden="1" customHeight="1" outlineLevel="1">
      <c r="A1099" s="389" t="s">
        <v>923</v>
      </c>
      <c r="B1099" s="395"/>
      <c r="C1099" s="390"/>
      <c r="D1099" s="391"/>
      <c r="E1099" s="396"/>
      <c r="F1099" s="339">
        <v>350.0</v>
      </c>
      <c r="G1099" s="301">
        <v>239.0</v>
      </c>
      <c r="H1099" s="301">
        <v>239.0</v>
      </c>
      <c r="I1099" s="387"/>
      <c r="J1099" s="335">
        <v>38.21</v>
      </c>
      <c r="K1099" s="401">
        <f t="shared" si="116"/>
        <v>0.159874477</v>
      </c>
      <c r="L1099" s="319">
        <f t="shared" si="117"/>
        <v>-38.21</v>
      </c>
      <c r="M1099" s="332">
        <f t="shared" si="118"/>
        <v>-1</v>
      </c>
      <c r="N1099" s="372"/>
      <c r="O1099" s="394"/>
      <c r="P1099" s="394"/>
      <c r="Q1099" s="372"/>
      <c r="R1099" s="301"/>
    </row>
    <row r="1100" ht="16.5" hidden="1" customHeight="1" outlineLevel="2">
      <c r="A1100" s="389" t="s">
        <v>924</v>
      </c>
      <c r="B1100" s="389"/>
      <c r="C1100" s="390"/>
      <c r="D1100" s="391"/>
      <c r="E1100" s="402"/>
      <c r="F1100" s="339">
        <v>350.0</v>
      </c>
      <c r="G1100" s="301">
        <v>239.0</v>
      </c>
      <c r="H1100" s="301">
        <v>239.0</v>
      </c>
      <c r="I1100" s="387"/>
      <c r="J1100" s="335">
        <v>27.19</v>
      </c>
      <c r="K1100" s="403">
        <f t="shared" si="116"/>
        <v>0.1137656904</v>
      </c>
      <c r="L1100" s="319">
        <f t="shared" si="117"/>
        <v>-27.19</v>
      </c>
      <c r="M1100" s="332">
        <f t="shared" si="118"/>
        <v>-1</v>
      </c>
      <c r="N1100" s="331"/>
      <c r="O1100" s="318"/>
      <c r="P1100" s="318"/>
      <c r="Q1100" s="319"/>
      <c r="R1100" s="301"/>
    </row>
    <row r="1101" ht="15.75" hidden="1" customHeight="1" outlineLevel="1">
      <c r="A1101" s="404" t="s">
        <v>925</v>
      </c>
      <c r="B1101" s="405"/>
      <c r="C1101" s="406"/>
      <c r="D1101" s="407"/>
      <c r="E1101" s="405"/>
      <c r="F1101" s="356"/>
      <c r="G1101" s="294"/>
      <c r="H1101" s="294"/>
      <c r="I1101" s="295"/>
      <c r="J1101" s="325"/>
      <c r="K1101" s="297">
        <f>AVERAGE(K1102:K1111)</f>
        <v>0.1716438258</v>
      </c>
      <c r="L1101" s="326"/>
      <c r="M1101" s="297"/>
      <c r="N1101" s="408"/>
      <c r="O1101" s="297"/>
      <c r="P1101" s="297"/>
      <c r="Q1101" s="300"/>
      <c r="R1101" s="294"/>
    </row>
    <row r="1102" ht="15.75" hidden="1" customHeight="1" outlineLevel="1">
      <c r="A1102" s="389" t="s">
        <v>926</v>
      </c>
      <c r="B1102" s="395" t="s">
        <v>927</v>
      </c>
      <c r="C1102" s="390"/>
      <c r="D1102" s="391"/>
      <c r="E1102" s="399"/>
      <c r="F1102" s="339">
        <v>250.0</v>
      </c>
      <c r="G1102" s="301">
        <v>319.0</v>
      </c>
      <c r="H1102" s="301">
        <v>319.0</v>
      </c>
      <c r="I1102" s="387"/>
      <c r="J1102" s="335">
        <v>50.63</v>
      </c>
      <c r="K1102" s="409">
        <f t="shared" ref="K1102:K1111" si="119">J1102/G1102</f>
        <v>0.1587147335</v>
      </c>
      <c r="L1102" s="315">
        <f t="shared" ref="L1102:L1111" si="120">Q1102-J1102</f>
        <v>-50.63</v>
      </c>
      <c r="M1102" s="316">
        <f t="shared" ref="M1102:M1111" si="121">Q1102/J1102-1</f>
        <v>-1</v>
      </c>
      <c r="N1102" s="320"/>
      <c r="O1102" s="373" t="s">
        <v>112</v>
      </c>
      <c r="P1102" s="373" t="s">
        <v>112</v>
      </c>
      <c r="Q1102" s="300"/>
      <c r="R1102" s="301"/>
    </row>
    <row r="1103" ht="15.75" hidden="1" customHeight="1" outlineLevel="1">
      <c r="A1103" s="389" t="s">
        <v>928</v>
      </c>
      <c r="B1103" s="395" t="s">
        <v>929</v>
      </c>
      <c r="C1103" s="390"/>
      <c r="D1103" s="391"/>
      <c r="E1103" s="399"/>
      <c r="F1103" s="339">
        <v>250.0</v>
      </c>
      <c r="G1103" s="301">
        <v>319.0</v>
      </c>
      <c r="H1103" s="301">
        <v>319.0</v>
      </c>
      <c r="I1103" s="387"/>
      <c r="J1103" s="335">
        <v>60.25</v>
      </c>
      <c r="K1103" s="410">
        <f t="shared" si="119"/>
        <v>0.1888714734</v>
      </c>
      <c r="L1103" s="315">
        <f t="shared" si="120"/>
        <v>-60.25</v>
      </c>
      <c r="M1103" s="316">
        <f t="shared" si="121"/>
        <v>-1</v>
      </c>
      <c r="N1103" s="320"/>
      <c r="O1103" s="373" t="s">
        <v>112</v>
      </c>
      <c r="P1103" s="373" t="s">
        <v>112</v>
      </c>
      <c r="Q1103" s="300"/>
      <c r="R1103" s="301"/>
    </row>
    <row r="1104" ht="15.75" hidden="1" customHeight="1" outlineLevel="1">
      <c r="A1104" s="389" t="s">
        <v>930</v>
      </c>
      <c r="B1104" s="395" t="s">
        <v>931</v>
      </c>
      <c r="C1104" s="390"/>
      <c r="D1104" s="391"/>
      <c r="E1104" s="399"/>
      <c r="F1104" s="339">
        <v>250.0</v>
      </c>
      <c r="G1104" s="301">
        <v>319.0</v>
      </c>
      <c r="H1104" s="301">
        <v>319.0</v>
      </c>
      <c r="I1104" s="387"/>
      <c r="J1104" s="335">
        <v>60.25</v>
      </c>
      <c r="K1104" s="410">
        <f t="shared" si="119"/>
        <v>0.1888714734</v>
      </c>
      <c r="L1104" s="315">
        <f t="shared" si="120"/>
        <v>-60.25</v>
      </c>
      <c r="M1104" s="316">
        <f t="shared" si="121"/>
        <v>-1</v>
      </c>
      <c r="N1104" s="320"/>
      <c r="O1104" s="373" t="s">
        <v>112</v>
      </c>
      <c r="P1104" s="373" t="s">
        <v>112</v>
      </c>
      <c r="Q1104" s="300"/>
      <c r="R1104" s="301"/>
    </row>
    <row r="1105" ht="15.75" hidden="1" customHeight="1" outlineLevel="1">
      <c r="A1105" s="389" t="s">
        <v>769</v>
      </c>
      <c r="B1105" s="395" t="s">
        <v>932</v>
      </c>
      <c r="C1105" s="390"/>
      <c r="D1105" s="391"/>
      <c r="E1105" s="399"/>
      <c r="F1105" s="310">
        <v>300.0</v>
      </c>
      <c r="G1105" s="301">
        <v>329.0</v>
      </c>
      <c r="H1105" s="301">
        <v>329.0</v>
      </c>
      <c r="I1105" s="387"/>
      <c r="J1105" s="313">
        <v>67.47</v>
      </c>
      <c r="K1105" s="332">
        <f t="shared" si="119"/>
        <v>0.2050759878</v>
      </c>
      <c r="L1105" s="411">
        <f t="shared" si="120"/>
        <v>-67.47</v>
      </c>
      <c r="M1105" s="316">
        <f t="shared" si="121"/>
        <v>-1</v>
      </c>
      <c r="N1105" s="320"/>
      <c r="O1105" s="373" t="s">
        <v>112</v>
      </c>
      <c r="P1105" s="373" t="s">
        <v>112</v>
      </c>
      <c r="Q1105" s="300"/>
      <c r="R1105" s="301"/>
    </row>
    <row r="1106" ht="15.75" hidden="1" customHeight="1" outlineLevel="1">
      <c r="A1106" s="389" t="s">
        <v>771</v>
      </c>
      <c r="B1106" s="395" t="s">
        <v>933</v>
      </c>
      <c r="C1106" s="390"/>
      <c r="D1106" s="391"/>
      <c r="E1106" s="399"/>
      <c r="F1106" s="339">
        <v>300.0</v>
      </c>
      <c r="G1106" s="301">
        <v>329.0</v>
      </c>
      <c r="H1106" s="301">
        <v>329.0</v>
      </c>
      <c r="I1106" s="387"/>
      <c r="J1106" s="335">
        <v>69.86</v>
      </c>
      <c r="K1106" s="332">
        <f t="shared" si="119"/>
        <v>0.2123404255</v>
      </c>
      <c r="L1106" s="411">
        <f t="shared" si="120"/>
        <v>-69.86</v>
      </c>
      <c r="M1106" s="316">
        <f t="shared" si="121"/>
        <v>-1</v>
      </c>
      <c r="N1106" s="320"/>
      <c r="O1106" s="373" t="s">
        <v>112</v>
      </c>
      <c r="P1106" s="373" t="s">
        <v>112</v>
      </c>
      <c r="Q1106" s="300"/>
      <c r="R1106" s="301"/>
    </row>
    <row r="1107" ht="15.75" hidden="1" customHeight="1" outlineLevel="1">
      <c r="A1107" s="389" t="s">
        <v>934</v>
      </c>
      <c r="B1107" s="395" t="s">
        <v>935</v>
      </c>
      <c r="C1107" s="390"/>
      <c r="D1107" s="391"/>
      <c r="E1107" s="399"/>
      <c r="F1107" s="337">
        <v>300.0</v>
      </c>
      <c r="G1107" s="311">
        <v>319.0</v>
      </c>
      <c r="H1107" s="311">
        <v>319.0</v>
      </c>
      <c r="I1107" s="282"/>
      <c r="J1107" s="364">
        <v>51.46</v>
      </c>
      <c r="K1107" s="412">
        <f t="shared" si="119"/>
        <v>0.1613166144</v>
      </c>
      <c r="L1107" s="300">
        <f t="shared" si="120"/>
        <v>-51.46</v>
      </c>
      <c r="M1107" s="413">
        <f t="shared" si="121"/>
        <v>-1</v>
      </c>
      <c r="N1107" s="372"/>
      <c r="O1107" s="373" t="s">
        <v>112</v>
      </c>
      <c r="P1107" s="373" t="s">
        <v>112</v>
      </c>
      <c r="Q1107" s="319"/>
      <c r="R1107" s="311"/>
    </row>
    <row r="1108" ht="15.75" hidden="1" customHeight="1" outlineLevel="1">
      <c r="A1108" s="389" t="s">
        <v>936</v>
      </c>
      <c r="B1108" s="395" t="s">
        <v>937</v>
      </c>
      <c r="C1108" s="390"/>
      <c r="D1108" s="391"/>
      <c r="E1108" s="399"/>
      <c r="F1108" s="339">
        <v>300.0</v>
      </c>
      <c r="G1108" s="311">
        <v>319.0</v>
      </c>
      <c r="H1108" s="311">
        <v>319.0</v>
      </c>
      <c r="I1108" s="282"/>
      <c r="J1108" s="335">
        <v>51.46</v>
      </c>
      <c r="K1108" s="412">
        <f t="shared" si="119"/>
        <v>0.1613166144</v>
      </c>
      <c r="L1108" s="411">
        <f t="shared" si="120"/>
        <v>-51.46</v>
      </c>
      <c r="M1108" s="316">
        <f t="shared" si="121"/>
        <v>-1</v>
      </c>
      <c r="N1108" s="372"/>
      <c r="O1108" s="373" t="s">
        <v>112</v>
      </c>
      <c r="P1108" s="373" t="s">
        <v>112</v>
      </c>
      <c r="Q1108" s="319"/>
      <c r="R1108" s="311"/>
    </row>
    <row r="1109" ht="15.0" hidden="1" customHeight="1" outlineLevel="1">
      <c r="A1109" s="389" t="s">
        <v>598</v>
      </c>
      <c r="B1109" s="395" t="s">
        <v>938</v>
      </c>
      <c r="C1109" s="390"/>
      <c r="D1109" s="391"/>
      <c r="E1109" s="399"/>
      <c r="F1109" s="339">
        <v>300.0</v>
      </c>
      <c r="G1109" s="301">
        <v>319.0</v>
      </c>
      <c r="H1109" s="301">
        <v>319.0</v>
      </c>
      <c r="I1109" s="387"/>
      <c r="J1109" s="335">
        <v>62.92</v>
      </c>
      <c r="K1109" s="332">
        <f t="shared" si="119"/>
        <v>0.1972413793</v>
      </c>
      <c r="L1109" s="411">
        <f t="shared" si="120"/>
        <v>-62.92</v>
      </c>
      <c r="M1109" s="316">
        <f t="shared" si="121"/>
        <v>-1</v>
      </c>
      <c r="N1109" s="320"/>
      <c r="O1109" s="373" t="s">
        <v>112</v>
      </c>
      <c r="P1109" s="373" t="s">
        <v>112</v>
      </c>
      <c r="Q1109" s="300"/>
      <c r="R1109" s="301"/>
    </row>
    <row r="1110" ht="15.0" hidden="1" customHeight="1" outlineLevel="1">
      <c r="A1110" s="389" t="s">
        <v>939</v>
      </c>
      <c r="B1110" s="395" t="s">
        <v>940</v>
      </c>
      <c r="C1110" s="390"/>
      <c r="D1110" s="391"/>
      <c r="E1110" s="399"/>
      <c r="F1110" s="337">
        <v>300.0</v>
      </c>
      <c r="G1110" s="301">
        <v>699.0</v>
      </c>
      <c r="H1110" s="301">
        <v>699.0</v>
      </c>
      <c r="I1110" s="387"/>
      <c r="J1110" s="364">
        <v>89.02</v>
      </c>
      <c r="K1110" s="414">
        <f t="shared" si="119"/>
        <v>0.1273533619</v>
      </c>
      <c r="L1110" s="300">
        <f t="shared" si="120"/>
        <v>-89.02</v>
      </c>
      <c r="M1110" s="413">
        <f t="shared" si="121"/>
        <v>-1</v>
      </c>
      <c r="N1110" s="372"/>
      <c r="O1110" s="373" t="s">
        <v>112</v>
      </c>
      <c r="P1110" s="373" t="s">
        <v>112</v>
      </c>
      <c r="Q1110" s="300"/>
      <c r="R1110" s="301"/>
    </row>
    <row r="1111" ht="15.0" hidden="1" customHeight="1" outlineLevel="1">
      <c r="A1111" s="389" t="s">
        <v>941</v>
      </c>
      <c r="B1111" s="389" t="s">
        <v>942</v>
      </c>
      <c r="C1111" s="390"/>
      <c r="D1111" s="391"/>
      <c r="E1111" s="402"/>
      <c r="F1111" s="337">
        <v>300.0</v>
      </c>
      <c r="G1111" s="301">
        <v>699.0</v>
      </c>
      <c r="H1111" s="301">
        <v>699.0</v>
      </c>
      <c r="I1111" s="387"/>
      <c r="J1111" s="364">
        <v>80.62</v>
      </c>
      <c r="K1111" s="415">
        <f t="shared" si="119"/>
        <v>0.1153361946</v>
      </c>
      <c r="L1111" s="300">
        <f t="shared" si="120"/>
        <v>-80.62</v>
      </c>
      <c r="M1111" s="413">
        <f t="shared" si="121"/>
        <v>-1</v>
      </c>
      <c r="N1111" s="372"/>
      <c r="O1111" s="373" t="s">
        <v>112</v>
      </c>
      <c r="P1111" s="373" t="s">
        <v>112</v>
      </c>
      <c r="Q1111" s="300"/>
      <c r="R1111" s="301"/>
    </row>
    <row r="1112" ht="15.0" hidden="1" customHeight="1" outlineLevel="1">
      <c r="A1112" s="329"/>
      <c r="B1112" s="327"/>
      <c r="C1112" s="416"/>
      <c r="D1112" s="342"/>
      <c r="E1112" s="362"/>
      <c r="F1112" s="337"/>
      <c r="G1112" s="341"/>
      <c r="H1112" s="341"/>
      <c r="I1112" s="417"/>
      <c r="J1112" s="364"/>
      <c r="K1112" s="332"/>
      <c r="L1112" s="300"/>
      <c r="M1112" s="413"/>
      <c r="N1112" s="372"/>
      <c r="O1112" s="332"/>
      <c r="P1112" s="332"/>
      <c r="Q1112" s="300"/>
      <c r="R1112" s="341"/>
    </row>
    <row r="1113" ht="15.0" hidden="1" customHeight="1" outlineLevel="1">
      <c r="A1113" s="376" t="s">
        <v>943</v>
      </c>
      <c r="B1113" s="288"/>
      <c r="C1113" s="418"/>
      <c r="D1113" s="419"/>
      <c r="E1113" s="420"/>
      <c r="F1113" s="323"/>
      <c r="G1113" s="294"/>
      <c r="H1113" s="294"/>
      <c r="I1113" s="295"/>
      <c r="J1113" s="296"/>
      <c r="K1113" s="297"/>
      <c r="L1113" s="298"/>
      <c r="M1113" s="303"/>
      <c r="N1113" s="408"/>
      <c r="O1113" s="297"/>
      <c r="P1113" s="297"/>
      <c r="Q1113" s="300"/>
      <c r="R1113" s="294"/>
    </row>
    <row r="1114" ht="15.0" hidden="1" customHeight="1" outlineLevel="1">
      <c r="A1114" s="376" t="s">
        <v>944</v>
      </c>
      <c r="B1114" s="327"/>
      <c r="C1114" s="416"/>
      <c r="D1114" s="342"/>
      <c r="E1114" s="362"/>
      <c r="F1114" s="337"/>
      <c r="G1114" s="301"/>
      <c r="H1114" s="301"/>
      <c r="I1114" s="387"/>
      <c r="J1114" s="364"/>
      <c r="K1114" s="297">
        <f>AVERAGE(K258:K268)</f>
        <v>0.09939923453</v>
      </c>
      <c r="L1114" s="300">
        <f t="shared" ref="L1114:L1117" si="122">Q1114-J1114</f>
        <v>0</v>
      </c>
      <c r="M1114" s="413"/>
      <c r="N1114" s="372"/>
      <c r="O1114" s="373" t="s">
        <v>112</v>
      </c>
      <c r="P1114" s="373" t="s">
        <v>112</v>
      </c>
      <c r="Q1114" s="300"/>
      <c r="R1114" s="301"/>
    </row>
    <row r="1115" ht="15.0" hidden="1" customHeight="1" outlineLevel="1">
      <c r="A1115" s="376" t="s">
        <v>925</v>
      </c>
      <c r="B1115" s="289"/>
      <c r="C1115" s="421"/>
      <c r="D1115" s="340"/>
      <c r="E1115" s="292"/>
      <c r="F1115" s="323"/>
      <c r="G1115" s="294"/>
      <c r="H1115" s="294"/>
      <c r="I1115" s="295"/>
      <c r="J1115" s="296"/>
      <c r="K1115" s="297" t="str">
        <f>AVERAGE(K704:K714)</f>
        <v>#DIV/0!</v>
      </c>
      <c r="L1115" s="298">
        <f t="shared" si="122"/>
        <v>0</v>
      </c>
      <c r="M1115" s="303"/>
      <c r="N1115" s="408"/>
      <c r="O1115" s="297" t="s">
        <v>112</v>
      </c>
      <c r="P1115" s="297" t="s">
        <v>112</v>
      </c>
      <c r="Q1115" s="300"/>
      <c r="R1115" s="294"/>
    </row>
    <row r="1116" ht="15.0" hidden="1" customHeight="1" outlineLevel="1">
      <c r="A1116" s="376" t="s">
        <v>945</v>
      </c>
      <c r="B1116" s="289"/>
      <c r="C1116" s="421"/>
      <c r="D1116" s="340"/>
      <c r="E1116" s="292"/>
      <c r="F1116" s="323"/>
      <c r="G1116" s="294"/>
      <c r="H1116" s="294"/>
      <c r="I1116" s="295"/>
      <c r="J1116" s="296"/>
      <c r="K1116" s="297">
        <f>AVERAGE(K1117)</f>
        <v>0.1396648045</v>
      </c>
      <c r="L1116" s="298">
        <f t="shared" si="122"/>
        <v>0</v>
      </c>
      <c r="M1116" s="303"/>
      <c r="N1116" s="408"/>
      <c r="O1116" s="297" t="s">
        <v>112</v>
      </c>
      <c r="P1116" s="297" t="s">
        <v>112</v>
      </c>
      <c r="Q1116" s="300"/>
      <c r="R1116" s="294"/>
    </row>
    <row r="1117" ht="15.0" hidden="1" customHeight="1" outlineLevel="1">
      <c r="A1117" s="361" t="s">
        <v>946</v>
      </c>
      <c r="B1117" s="330"/>
      <c r="C1117" s="422"/>
      <c r="D1117" s="423"/>
      <c r="E1117" s="424"/>
      <c r="F1117" s="337">
        <v>50.0</v>
      </c>
      <c r="G1117" s="301">
        <v>179.0</v>
      </c>
      <c r="H1117" s="301">
        <v>179.0</v>
      </c>
      <c r="I1117" s="387"/>
      <c r="J1117" s="364">
        <v>25.0</v>
      </c>
      <c r="K1117" s="415">
        <f>J1117/G1117</f>
        <v>0.1396648045</v>
      </c>
      <c r="L1117" s="300">
        <f t="shared" si="122"/>
        <v>-25</v>
      </c>
      <c r="M1117" s="413">
        <f>Q1117/J1117-1</f>
        <v>-1</v>
      </c>
      <c r="N1117" s="372"/>
      <c r="O1117" s="373" t="s">
        <v>112</v>
      </c>
      <c r="P1117" s="373" t="s">
        <v>112</v>
      </c>
      <c r="Q1117" s="300"/>
      <c r="R1117" s="301"/>
    </row>
    <row r="1118" ht="15.75" customHeight="1">
      <c r="A1118" s="361"/>
      <c r="B1118" s="330"/>
      <c r="C1118" s="321"/>
      <c r="D1118" s="425"/>
      <c r="E1118" s="424"/>
      <c r="F1118" s="337"/>
      <c r="G1118" s="341"/>
      <c r="H1118" s="341"/>
      <c r="I1118" s="417"/>
      <c r="J1118" s="364"/>
      <c r="K1118" s="332"/>
      <c r="L1118" s="300"/>
      <c r="M1118" s="413"/>
      <c r="N1118" s="372"/>
      <c r="O1118" s="332"/>
      <c r="P1118" s="332"/>
      <c r="Q1118" s="300"/>
      <c r="R1118" s="341"/>
    </row>
    <row r="1119" ht="15.75" customHeight="1">
      <c r="A1119" s="361"/>
      <c r="B1119" s="330"/>
      <c r="C1119" s="321"/>
      <c r="D1119" s="425"/>
      <c r="E1119" s="424"/>
      <c r="F1119" s="337"/>
      <c r="G1119" s="341"/>
      <c r="H1119" s="341"/>
      <c r="I1119" s="417"/>
      <c r="J1119" s="364"/>
      <c r="K1119" s="332"/>
      <c r="L1119" s="300"/>
      <c r="M1119" s="413"/>
      <c r="N1119" s="372"/>
      <c r="O1119" s="332"/>
      <c r="P1119" s="332"/>
      <c r="Q1119" s="300"/>
      <c r="R1119" s="341"/>
    </row>
    <row r="1120" ht="15.75" customHeight="1">
      <c r="A1120" s="361"/>
      <c r="B1120" s="330"/>
      <c r="C1120" s="321"/>
      <c r="D1120" s="425"/>
      <c r="E1120" s="424"/>
      <c r="F1120" s="426"/>
      <c r="G1120" s="341"/>
      <c r="H1120" s="341"/>
      <c r="I1120" s="417"/>
      <c r="J1120" s="427"/>
      <c r="K1120" s="428"/>
      <c r="L1120" s="429"/>
      <c r="M1120" s="428"/>
      <c r="N1120" s="430"/>
      <c r="O1120" s="431"/>
      <c r="P1120" s="431"/>
      <c r="Q1120" s="300"/>
      <c r="R1120" s="341"/>
    </row>
    <row r="1121" ht="15.75" customHeight="1">
      <c r="A1121" s="361"/>
      <c r="B1121" s="330"/>
      <c r="C1121" s="321"/>
      <c r="D1121" s="425"/>
      <c r="E1121" s="424"/>
      <c r="F1121" s="426"/>
      <c r="G1121" s="341"/>
      <c r="H1121" s="341"/>
      <c r="I1121" s="417"/>
      <c r="J1121" s="427"/>
      <c r="K1121" s="428"/>
      <c r="L1121" s="429"/>
      <c r="M1121" s="428"/>
      <c r="N1121" s="430"/>
      <c r="O1121" s="431"/>
      <c r="P1121" s="431"/>
      <c r="Q1121" s="300"/>
      <c r="R1121" s="341"/>
    </row>
    <row r="1122" ht="15.75" customHeight="1">
      <c r="A1122" s="361"/>
      <c r="B1122" s="330"/>
      <c r="C1122" s="321"/>
      <c r="D1122" s="425"/>
      <c r="E1122" s="424"/>
      <c r="F1122" s="426"/>
      <c r="G1122" s="341"/>
      <c r="H1122" s="341"/>
      <c r="I1122" s="417"/>
      <c r="J1122" s="427"/>
      <c r="K1122" s="428"/>
      <c r="L1122" s="429"/>
      <c r="M1122" s="428"/>
      <c r="N1122" s="430"/>
      <c r="O1122" s="431"/>
      <c r="P1122" s="431"/>
      <c r="Q1122" s="300"/>
      <c r="R1122" s="341"/>
    </row>
    <row r="1123" ht="15.75" customHeight="1">
      <c r="A1123" s="361"/>
      <c r="B1123" s="330"/>
      <c r="C1123" s="321"/>
      <c r="D1123" s="425"/>
      <c r="E1123" s="424"/>
      <c r="F1123" s="426"/>
      <c r="G1123" s="341"/>
      <c r="H1123" s="341"/>
      <c r="I1123" s="417"/>
      <c r="J1123" s="427"/>
      <c r="K1123" s="428"/>
      <c r="L1123" s="429"/>
      <c r="M1123" s="428"/>
      <c r="N1123" s="430"/>
      <c r="O1123" s="431"/>
      <c r="P1123" s="431"/>
      <c r="Q1123" s="300"/>
      <c r="R1123" s="341"/>
    </row>
    <row r="1124" ht="15.75" customHeight="1">
      <c r="A1124" s="361"/>
      <c r="B1124" s="330"/>
      <c r="C1124" s="321"/>
      <c r="D1124" s="425"/>
      <c r="E1124" s="424"/>
      <c r="F1124" s="426"/>
      <c r="G1124" s="341"/>
      <c r="H1124" s="341"/>
      <c r="I1124" s="417"/>
      <c r="J1124" s="427"/>
      <c r="K1124" s="428"/>
      <c r="L1124" s="429"/>
      <c r="M1124" s="428"/>
      <c r="N1124" s="430"/>
      <c r="O1124" s="431"/>
      <c r="P1124" s="431"/>
      <c r="Q1124" s="300"/>
      <c r="R1124" s="341"/>
    </row>
    <row r="1125" ht="15.75" customHeight="1">
      <c r="A1125" s="361"/>
      <c r="B1125" s="330"/>
      <c r="C1125" s="321"/>
      <c r="D1125" s="425"/>
      <c r="E1125" s="424"/>
      <c r="F1125" s="426"/>
      <c r="G1125" s="341"/>
      <c r="H1125" s="341"/>
      <c r="I1125" s="417"/>
      <c r="J1125" s="427"/>
      <c r="K1125" s="428"/>
      <c r="L1125" s="429"/>
      <c r="M1125" s="428"/>
      <c r="N1125" s="430"/>
      <c r="O1125" s="431"/>
      <c r="P1125" s="431"/>
      <c r="Q1125" s="300"/>
      <c r="R1125" s="341"/>
    </row>
    <row r="1126" ht="15.75" customHeight="1">
      <c r="A1126" s="361"/>
      <c r="B1126" s="330"/>
      <c r="C1126" s="321"/>
      <c r="D1126" s="425"/>
      <c r="E1126" s="424"/>
      <c r="F1126" s="426"/>
      <c r="G1126" s="341"/>
      <c r="H1126" s="341"/>
      <c r="I1126" s="417"/>
      <c r="J1126" s="427"/>
      <c r="K1126" s="428"/>
      <c r="L1126" s="429"/>
      <c r="M1126" s="428"/>
      <c r="N1126" s="430"/>
      <c r="O1126" s="431"/>
      <c r="P1126" s="431"/>
      <c r="Q1126" s="300"/>
      <c r="R1126" s="341"/>
    </row>
    <row r="1127" ht="15.75" customHeight="1">
      <c r="A1127" s="361"/>
      <c r="B1127" s="330"/>
      <c r="C1127" s="321"/>
      <c r="D1127" s="425"/>
      <c r="E1127" s="424"/>
      <c r="F1127" s="426"/>
      <c r="G1127" s="341"/>
      <c r="H1127" s="341"/>
      <c r="I1127" s="417"/>
      <c r="J1127" s="427"/>
      <c r="K1127" s="428"/>
      <c r="L1127" s="429"/>
      <c r="M1127" s="428"/>
      <c r="N1127" s="430"/>
      <c r="O1127" s="431"/>
      <c r="P1127" s="431"/>
      <c r="Q1127" s="300"/>
      <c r="R1127" s="341"/>
    </row>
    <row r="1128" ht="15.75" customHeight="1">
      <c r="A1128" s="361"/>
      <c r="B1128" s="330"/>
      <c r="C1128" s="321"/>
      <c r="D1128" s="425"/>
      <c r="E1128" s="424"/>
      <c r="F1128" s="426"/>
      <c r="G1128" s="341"/>
      <c r="H1128" s="341"/>
      <c r="I1128" s="417"/>
      <c r="J1128" s="427"/>
      <c r="K1128" s="428"/>
      <c r="L1128" s="429"/>
      <c r="M1128" s="428"/>
      <c r="N1128" s="430"/>
      <c r="O1128" s="431"/>
      <c r="P1128" s="431"/>
      <c r="Q1128" s="300"/>
      <c r="R1128" s="341"/>
    </row>
    <row r="1129" ht="15.75" customHeight="1">
      <c r="A1129" s="361"/>
      <c r="B1129" s="330"/>
      <c r="C1129" s="321"/>
      <c r="D1129" s="425"/>
      <c r="E1129" s="424"/>
      <c r="F1129" s="426"/>
      <c r="G1129" s="341"/>
      <c r="H1129" s="341"/>
      <c r="I1129" s="417"/>
      <c r="J1129" s="427"/>
      <c r="K1129" s="428"/>
      <c r="L1129" s="429"/>
      <c r="M1129" s="428"/>
      <c r="N1129" s="430"/>
      <c r="O1129" s="431"/>
      <c r="P1129" s="431"/>
      <c r="Q1129" s="300"/>
      <c r="R1129" s="341"/>
    </row>
    <row r="1130" ht="15.75" customHeight="1">
      <c r="A1130" s="361"/>
      <c r="B1130" s="330"/>
      <c r="C1130" s="321"/>
      <c r="D1130" s="425"/>
      <c r="E1130" s="424"/>
      <c r="F1130" s="426"/>
      <c r="G1130" s="341"/>
      <c r="H1130" s="341"/>
      <c r="I1130" s="417"/>
      <c r="J1130" s="427"/>
      <c r="K1130" s="428"/>
      <c r="L1130" s="429"/>
      <c r="M1130" s="428"/>
      <c r="N1130" s="430"/>
      <c r="O1130" s="431"/>
      <c r="P1130" s="431"/>
      <c r="Q1130" s="300"/>
      <c r="R1130" s="341"/>
    </row>
    <row r="1131" ht="15.75" customHeight="1">
      <c r="A1131" s="361"/>
      <c r="B1131" s="330"/>
      <c r="C1131" s="321"/>
      <c r="D1131" s="425"/>
      <c r="E1131" s="424"/>
      <c r="F1131" s="426"/>
      <c r="G1131" s="341"/>
      <c r="H1131" s="341"/>
      <c r="I1131" s="417"/>
      <c r="J1131" s="427"/>
      <c r="K1131" s="428"/>
      <c r="L1131" s="429"/>
      <c r="M1131" s="428"/>
      <c r="N1131" s="430"/>
      <c r="O1131" s="431"/>
      <c r="P1131" s="431"/>
      <c r="Q1131" s="300"/>
      <c r="R1131" s="341"/>
    </row>
    <row r="1132" ht="15.75" customHeight="1">
      <c r="A1132" s="361"/>
      <c r="B1132" s="330"/>
      <c r="C1132" s="321"/>
      <c r="D1132" s="425"/>
      <c r="E1132" s="424"/>
      <c r="F1132" s="426"/>
      <c r="G1132" s="341"/>
      <c r="H1132" s="341"/>
      <c r="I1132" s="417"/>
      <c r="J1132" s="427"/>
      <c r="K1132" s="428"/>
      <c r="L1132" s="429"/>
      <c r="M1132" s="428"/>
      <c r="N1132" s="430"/>
      <c r="O1132" s="431"/>
      <c r="P1132" s="431"/>
      <c r="Q1132" s="300"/>
      <c r="R1132" s="341"/>
    </row>
    <row r="1133" ht="15.75" customHeight="1">
      <c r="A1133" s="361"/>
      <c r="B1133" s="330"/>
      <c r="C1133" s="321"/>
      <c r="D1133" s="425"/>
      <c r="E1133" s="424"/>
      <c r="F1133" s="426"/>
      <c r="G1133" s="341"/>
      <c r="H1133" s="341"/>
      <c r="I1133" s="417"/>
      <c r="J1133" s="427"/>
      <c r="K1133" s="428"/>
      <c r="L1133" s="429"/>
      <c r="M1133" s="428"/>
      <c r="N1133" s="430"/>
      <c r="O1133" s="431"/>
      <c r="P1133" s="431"/>
      <c r="Q1133" s="300"/>
      <c r="R1133" s="341"/>
    </row>
    <row r="1134" ht="15.75" customHeight="1">
      <c r="A1134" s="361"/>
      <c r="B1134" s="330"/>
      <c r="C1134" s="321"/>
      <c r="D1134" s="425"/>
      <c r="E1134" s="424"/>
      <c r="F1134" s="426"/>
      <c r="G1134" s="341"/>
      <c r="H1134" s="341"/>
      <c r="I1134" s="417"/>
      <c r="J1134" s="427"/>
      <c r="K1134" s="428"/>
      <c r="L1134" s="429"/>
      <c r="M1134" s="428"/>
      <c r="N1134" s="430"/>
      <c r="O1134" s="431"/>
      <c r="P1134" s="431"/>
      <c r="Q1134" s="300"/>
      <c r="R1134" s="341"/>
    </row>
    <row r="1135" ht="15.75" customHeight="1">
      <c r="A1135" s="361"/>
      <c r="B1135" s="330"/>
      <c r="C1135" s="321"/>
      <c r="D1135" s="425"/>
      <c r="E1135" s="424"/>
      <c r="F1135" s="426"/>
      <c r="G1135" s="341"/>
      <c r="H1135" s="341"/>
      <c r="I1135" s="417"/>
      <c r="J1135" s="427"/>
      <c r="K1135" s="428"/>
      <c r="L1135" s="429"/>
      <c r="M1135" s="428"/>
      <c r="N1135" s="430"/>
      <c r="O1135" s="431"/>
      <c r="P1135" s="431"/>
      <c r="Q1135" s="300"/>
      <c r="R1135" s="341"/>
    </row>
    <row r="1136" ht="15.75" customHeight="1">
      <c r="A1136" s="361"/>
      <c r="B1136" s="330"/>
      <c r="C1136" s="321"/>
      <c r="D1136" s="425"/>
      <c r="E1136" s="424"/>
      <c r="F1136" s="426"/>
      <c r="G1136" s="341"/>
      <c r="H1136" s="341"/>
      <c r="I1136" s="417"/>
      <c r="J1136" s="427"/>
      <c r="K1136" s="428"/>
      <c r="L1136" s="429"/>
      <c r="M1136" s="428"/>
      <c r="N1136" s="430"/>
      <c r="O1136" s="431"/>
      <c r="P1136" s="431"/>
      <c r="Q1136" s="300"/>
      <c r="R1136" s="341"/>
    </row>
    <row r="1137" ht="15.75" customHeight="1">
      <c r="A1137" s="361"/>
      <c r="B1137" s="330"/>
      <c r="C1137" s="321"/>
      <c r="D1137" s="425"/>
      <c r="E1137" s="424"/>
      <c r="F1137" s="426"/>
      <c r="G1137" s="341"/>
      <c r="H1137" s="341"/>
      <c r="I1137" s="417"/>
      <c r="J1137" s="427"/>
      <c r="K1137" s="428"/>
      <c r="L1137" s="429"/>
      <c r="M1137" s="428"/>
      <c r="N1137" s="430"/>
      <c r="O1137" s="431"/>
      <c r="P1137" s="431"/>
      <c r="Q1137" s="300"/>
      <c r="R1137" s="341"/>
    </row>
    <row r="1138" ht="15.75" customHeight="1">
      <c r="A1138" s="361"/>
      <c r="B1138" s="330"/>
      <c r="C1138" s="321"/>
      <c r="D1138" s="425"/>
      <c r="E1138" s="424"/>
      <c r="F1138" s="426"/>
      <c r="G1138" s="341"/>
      <c r="H1138" s="341"/>
      <c r="I1138" s="417"/>
      <c r="J1138" s="427"/>
      <c r="K1138" s="428"/>
      <c r="L1138" s="429"/>
      <c r="M1138" s="428"/>
      <c r="N1138" s="430"/>
      <c r="O1138" s="431"/>
      <c r="P1138" s="431"/>
      <c r="Q1138" s="300"/>
      <c r="R1138" s="341"/>
    </row>
    <row r="1139" ht="15.75" customHeight="1">
      <c r="A1139" s="361"/>
      <c r="B1139" s="330"/>
      <c r="C1139" s="321"/>
      <c r="D1139" s="425"/>
      <c r="E1139" s="424"/>
      <c r="F1139" s="426"/>
      <c r="G1139" s="341"/>
      <c r="H1139" s="341"/>
      <c r="I1139" s="417"/>
      <c r="J1139" s="427"/>
      <c r="K1139" s="428"/>
      <c r="L1139" s="429"/>
      <c r="M1139" s="428"/>
      <c r="N1139" s="430"/>
      <c r="O1139" s="431"/>
      <c r="P1139" s="431"/>
      <c r="Q1139" s="300"/>
      <c r="R1139" s="341"/>
    </row>
    <row r="1140" ht="15.75" customHeight="1">
      <c r="A1140" s="361"/>
      <c r="B1140" s="330"/>
      <c r="C1140" s="321"/>
      <c r="D1140" s="425"/>
      <c r="E1140" s="424"/>
      <c r="F1140" s="426"/>
      <c r="G1140" s="341"/>
      <c r="H1140" s="341"/>
      <c r="I1140" s="417"/>
      <c r="J1140" s="427"/>
      <c r="K1140" s="428"/>
      <c r="L1140" s="429"/>
      <c r="M1140" s="428"/>
      <c r="N1140" s="430"/>
      <c r="O1140" s="431"/>
      <c r="P1140" s="431"/>
      <c r="Q1140" s="300"/>
      <c r="R1140" s="341"/>
    </row>
    <row r="1141" ht="15.75" customHeight="1">
      <c r="A1141" s="361"/>
      <c r="B1141" s="330"/>
      <c r="C1141" s="321"/>
      <c r="D1141" s="425"/>
      <c r="E1141" s="424"/>
      <c r="F1141" s="426"/>
      <c r="G1141" s="341"/>
      <c r="H1141" s="341"/>
      <c r="I1141" s="417"/>
      <c r="J1141" s="427"/>
      <c r="K1141" s="428"/>
      <c r="L1141" s="429"/>
      <c r="M1141" s="428"/>
      <c r="N1141" s="430"/>
      <c r="O1141" s="431"/>
      <c r="P1141" s="431"/>
      <c r="Q1141" s="300"/>
      <c r="R1141" s="341"/>
    </row>
    <row r="1142" ht="15.75" customHeight="1">
      <c r="A1142" s="361"/>
      <c r="B1142" s="330"/>
      <c r="C1142" s="321"/>
      <c r="D1142" s="425"/>
      <c r="E1142" s="424"/>
      <c r="F1142" s="426"/>
      <c r="G1142" s="341"/>
      <c r="H1142" s="341"/>
      <c r="I1142" s="417"/>
      <c r="J1142" s="427"/>
      <c r="K1142" s="428"/>
      <c r="L1142" s="429"/>
      <c r="M1142" s="428"/>
      <c r="N1142" s="430"/>
      <c r="O1142" s="431"/>
      <c r="P1142" s="431"/>
      <c r="Q1142" s="300"/>
      <c r="R1142" s="341"/>
    </row>
    <row r="1143" ht="15.75" customHeight="1">
      <c r="A1143" s="361"/>
      <c r="B1143" s="330"/>
      <c r="C1143" s="321"/>
      <c r="D1143" s="425"/>
      <c r="E1143" s="424"/>
      <c r="F1143" s="426"/>
      <c r="G1143" s="341"/>
      <c r="H1143" s="341"/>
      <c r="I1143" s="417"/>
      <c r="J1143" s="427"/>
      <c r="K1143" s="428"/>
      <c r="L1143" s="429"/>
      <c r="M1143" s="428"/>
      <c r="N1143" s="430"/>
      <c r="O1143" s="431"/>
      <c r="P1143" s="431"/>
      <c r="Q1143" s="300"/>
      <c r="R1143" s="341"/>
    </row>
    <row r="1144" ht="15.75" customHeight="1">
      <c r="A1144" s="361"/>
      <c r="B1144" s="330"/>
      <c r="C1144" s="321"/>
      <c r="D1144" s="425"/>
      <c r="E1144" s="424"/>
      <c r="F1144" s="426"/>
      <c r="G1144" s="341"/>
      <c r="H1144" s="341"/>
      <c r="I1144" s="417"/>
      <c r="J1144" s="427"/>
      <c r="K1144" s="428"/>
      <c r="L1144" s="429"/>
      <c r="M1144" s="428"/>
      <c r="N1144" s="430"/>
      <c r="O1144" s="431"/>
      <c r="P1144" s="431"/>
      <c r="Q1144" s="300"/>
      <c r="R1144" s="341"/>
    </row>
    <row r="1145" ht="15.75" customHeight="1">
      <c r="A1145" s="361"/>
      <c r="B1145" s="330"/>
      <c r="C1145" s="321"/>
      <c r="D1145" s="425"/>
      <c r="E1145" s="424"/>
      <c r="F1145" s="426"/>
      <c r="G1145" s="341"/>
      <c r="H1145" s="341"/>
      <c r="I1145" s="417"/>
      <c r="J1145" s="427"/>
      <c r="K1145" s="428"/>
      <c r="L1145" s="429"/>
      <c r="M1145" s="428"/>
      <c r="N1145" s="430"/>
      <c r="O1145" s="431"/>
      <c r="P1145" s="431"/>
      <c r="Q1145" s="300"/>
      <c r="R1145" s="341"/>
    </row>
    <row r="1146" ht="15.75" customHeight="1">
      <c r="A1146" s="361"/>
      <c r="B1146" s="330"/>
      <c r="C1146" s="321"/>
      <c r="D1146" s="425"/>
      <c r="E1146" s="424"/>
      <c r="F1146" s="426"/>
      <c r="G1146" s="341"/>
      <c r="H1146" s="341"/>
      <c r="I1146" s="417"/>
      <c r="J1146" s="427"/>
      <c r="K1146" s="428"/>
      <c r="L1146" s="429"/>
      <c r="M1146" s="428"/>
      <c r="N1146" s="430"/>
      <c r="O1146" s="431"/>
      <c r="P1146" s="431"/>
      <c r="Q1146" s="300"/>
      <c r="R1146" s="341"/>
    </row>
    <row r="1147" ht="15.75" customHeight="1">
      <c r="A1147" s="361"/>
      <c r="B1147" s="330"/>
      <c r="C1147" s="321"/>
      <c r="D1147" s="425"/>
      <c r="E1147" s="424"/>
      <c r="F1147" s="426"/>
      <c r="G1147" s="341"/>
      <c r="H1147" s="341"/>
      <c r="I1147" s="417"/>
      <c r="J1147" s="427"/>
      <c r="K1147" s="428"/>
      <c r="L1147" s="429"/>
      <c r="M1147" s="428"/>
      <c r="N1147" s="430"/>
      <c r="O1147" s="431"/>
      <c r="P1147" s="431"/>
      <c r="Q1147" s="300"/>
      <c r="R1147" s="341"/>
    </row>
    <row r="1148" ht="15.75" customHeight="1">
      <c r="A1148" s="361"/>
      <c r="B1148" s="330"/>
      <c r="C1148" s="321"/>
      <c r="D1148" s="425"/>
      <c r="E1148" s="424"/>
      <c r="F1148" s="426"/>
      <c r="G1148" s="341"/>
      <c r="H1148" s="341"/>
      <c r="I1148" s="417"/>
      <c r="J1148" s="427"/>
      <c r="K1148" s="428"/>
      <c r="L1148" s="429"/>
      <c r="M1148" s="428"/>
      <c r="N1148" s="430"/>
      <c r="O1148" s="431"/>
      <c r="P1148" s="431"/>
      <c r="Q1148" s="300"/>
      <c r="R1148" s="341"/>
    </row>
    <row r="1149" ht="15.75" customHeight="1">
      <c r="A1149" s="361"/>
      <c r="B1149" s="330"/>
      <c r="C1149" s="321"/>
      <c r="D1149" s="425"/>
      <c r="E1149" s="424"/>
      <c r="F1149" s="426"/>
      <c r="G1149" s="341"/>
      <c r="H1149" s="341"/>
      <c r="I1149" s="417"/>
      <c r="J1149" s="427"/>
      <c r="K1149" s="428"/>
      <c r="L1149" s="429"/>
      <c r="M1149" s="428"/>
      <c r="N1149" s="430"/>
      <c r="O1149" s="431"/>
      <c r="P1149" s="431"/>
      <c r="Q1149" s="300"/>
      <c r="R1149" s="341"/>
    </row>
    <row r="1150" ht="15.75" customHeight="1">
      <c r="A1150" s="361"/>
      <c r="B1150" s="330"/>
      <c r="C1150" s="321"/>
      <c r="D1150" s="425"/>
      <c r="E1150" s="424"/>
      <c r="F1150" s="426"/>
      <c r="G1150" s="341"/>
      <c r="H1150" s="341"/>
      <c r="I1150" s="417"/>
      <c r="J1150" s="427"/>
      <c r="K1150" s="428"/>
      <c r="L1150" s="429"/>
      <c r="M1150" s="428"/>
      <c r="N1150" s="430"/>
      <c r="O1150" s="431"/>
      <c r="P1150" s="431"/>
      <c r="Q1150" s="300"/>
      <c r="R1150" s="341"/>
    </row>
    <row r="1151" ht="15.75" customHeight="1">
      <c r="A1151" s="361"/>
      <c r="B1151" s="330"/>
      <c r="C1151" s="321"/>
      <c r="D1151" s="425"/>
      <c r="E1151" s="424"/>
      <c r="F1151" s="426"/>
      <c r="G1151" s="341"/>
      <c r="H1151" s="341"/>
      <c r="I1151" s="417"/>
      <c r="J1151" s="427"/>
      <c r="K1151" s="428"/>
      <c r="L1151" s="429"/>
      <c r="M1151" s="428"/>
      <c r="N1151" s="430"/>
      <c r="O1151" s="431"/>
      <c r="P1151" s="431"/>
      <c r="Q1151" s="300"/>
      <c r="R1151" s="341"/>
    </row>
    <row r="1152" ht="15.75" customHeight="1">
      <c r="A1152" s="361"/>
      <c r="B1152" s="330"/>
      <c r="C1152" s="321"/>
      <c r="D1152" s="425"/>
      <c r="E1152" s="424"/>
      <c r="F1152" s="426"/>
      <c r="G1152" s="341"/>
      <c r="H1152" s="341"/>
      <c r="I1152" s="417"/>
      <c r="J1152" s="427"/>
      <c r="K1152" s="428"/>
      <c r="L1152" s="429"/>
      <c r="M1152" s="428"/>
      <c r="N1152" s="430"/>
      <c r="O1152" s="431"/>
      <c r="P1152" s="431"/>
      <c r="Q1152" s="300"/>
      <c r="R1152" s="341"/>
    </row>
    <row r="1153" ht="15.75" customHeight="1">
      <c r="A1153" s="361"/>
      <c r="B1153" s="330"/>
      <c r="C1153" s="321"/>
      <c r="D1153" s="425"/>
      <c r="E1153" s="424"/>
      <c r="F1153" s="426"/>
      <c r="G1153" s="341"/>
      <c r="H1153" s="341"/>
      <c r="I1153" s="417"/>
      <c r="J1153" s="427"/>
      <c r="K1153" s="428"/>
      <c r="L1153" s="429"/>
      <c r="M1153" s="428"/>
      <c r="N1153" s="430"/>
      <c r="O1153" s="431"/>
      <c r="P1153" s="431"/>
      <c r="Q1153" s="300"/>
      <c r="R1153" s="341"/>
    </row>
    <row r="1154" ht="15.75" customHeight="1">
      <c r="A1154" s="361"/>
      <c r="B1154" s="330"/>
      <c r="C1154" s="321"/>
      <c r="D1154" s="425"/>
      <c r="E1154" s="424"/>
      <c r="F1154" s="426"/>
      <c r="G1154" s="341"/>
      <c r="H1154" s="341"/>
      <c r="I1154" s="417"/>
      <c r="J1154" s="427"/>
      <c r="K1154" s="428"/>
      <c r="L1154" s="429"/>
      <c r="M1154" s="428"/>
      <c r="N1154" s="430"/>
      <c r="O1154" s="431"/>
      <c r="P1154" s="431"/>
      <c r="Q1154" s="300"/>
      <c r="R1154" s="341"/>
    </row>
    <row r="1155" ht="15.75" customHeight="1">
      <c r="A1155" s="361"/>
      <c r="B1155" s="330"/>
      <c r="C1155" s="321"/>
      <c r="D1155" s="425"/>
      <c r="E1155" s="424"/>
      <c r="F1155" s="426"/>
      <c r="G1155" s="341"/>
      <c r="H1155" s="341"/>
      <c r="I1155" s="417"/>
      <c r="J1155" s="427"/>
      <c r="K1155" s="428"/>
      <c r="L1155" s="429"/>
      <c r="M1155" s="428"/>
      <c r="N1155" s="430"/>
      <c r="O1155" s="431"/>
      <c r="P1155" s="431"/>
      <c r="Q1155" s="300"/>
      <c r="R1155" s="341"/>
    </row>
    <row r="1156" ht="15.75" customHeight="1">
      <c r="A1156" s="361"/>
      <c r="B1156" s="330"/>
      <c r="C1156" s="321"/>
      <c r="D1156" s="425"/>
      <c r="E1156" s="424"/>
      <c r="F1156" s="426"/>
      <c r="G1156" s="341"/>
      <c r="H1156" s="341"/>
      <c r="I1156" s="417"/>
      <c r="J1156" s="427"/>
      <c r="K1156" s="428"/>
      <c r="L1156" s="429"/>
      <c r="M1156" s="428"/>
      <c r="N1156" s="430"/>
      <c r="O1156" s="431"/>
      <c r="P1156" s="431"/>
      <c r="Q1156" s="300"/>
      <c r="R1156" s="341"/>
    </row>
    <row r="1157" ht="15.75" customHeight="1">
      <c r="A1157" s="361"/>
      <c r="B1157" s="330"/>
      <c r="C1157" s="321"/>
      <c r="D1157" s="425"/>
      <c r="E1157" s="424"/>
      <c r="F1157" s="426"/>
      <c r="G1157" s="341"/>
      <c r="H1157" s="341"/>
      <c r="I1157" s="417"/>
      <c r="J1157" s="427"/>
      <c r="K1157" s="428"/>
      <c r="L1157" s="429"/>
      <c r="M1157" s="428"/>
      <c r="N1157" s="430"/>
      <c r="O1157" s="431"/>
      <c r="P1157" s="431"/>
      <c r="Q1157" s="300"/>
      <c r="R1157" s="341"/>
    </row>
    <row r="1158" ht="15.75" customHeight="1">
      <c r="A1158" s="361"/>
      <c r="B1158" s="330"/>
      <c r="C1158" s="321"/>
      <c r="D1158" s="425"/>
      <c r="E1158" s="424"/>
      <c r="F1158" s="426"/>
      <c r="G1158" s="341"/>
      <c r="H1158" s="341"/>
      <c r="I1158" s="417"/>
      <c r="J1158" s="427"/>
      <c r="K1158" s="428"/>
      <c r="L1158" s="429"/>
      <c r="M1158" s="428"/>
      <c r="N1158" s="430"/>
      <c r="O1158" s="431"/>
      <c r="P1158" s="431"/>
      <c r="Q1158" s="300"/>
      <c r="R1158" s="341"/>
    </row>
    <row r="1159" ht="15.75" customHeight="1">
      <c r="A1159" s="361"/>
      <c r="B1159" s="330"/>
      <c r="C1159" s="321"/>
      <c r="D1159" s="425"/>
      <c r="E1159" s="424"/>
      <c r="F1159" s="426"/>
      <c r="G1159" s="341"/>
      <c r="H1159" s="341"/>
      <c r="I1159" s="417"/>
      <c r="J1159" s="427"/>
      <c r="K1159" s="428"/>
      <c r="L1159" s="429"/>
      <c r="M1159" s="428"/>
      <c r="N1159" s="430"/>
      <c r="O1159" s="431"/>
      <c r="P1159" s="431"/>
      <c r="Q1159" s="300"/>
      <c r="R1159" s="341"/>
    </row>
    <row r="1160" ht="15.75" customHeight="1">
      <c r="A1160" s="361"/>
      <c r="B1160" s="330"/>
      <c r="C1160" s="321"/>
      <c r="D1160" s="425"/>
      <c r="E1160" s="424"/>
      <c r="F1160" s="426"/>
      <c r="G1160" s="341"/>
      <c r="H1160" s="341"/>
      <c r="I1160" s="417"/>
      <c r="J1160" s="427"/>
      <c r="K1160" s="428"/>
      <c r="L1160" s="429"/>
      <c r="M1160" s="428"/>
      <c r="N1160" s="430"/>
      <c r="O1160" s="431"/>
      <c r="P1160" s="431"/>
      <c r="Q1160" s="300"/>
      <c r="R1160" s="341"/>
    </row>
    <row r="1161" ht="15.75" customHeight="1">
      <c r="A1161" s="361"/>
      <c r="B1161" s="330"/>
      <c r="C1161" s="321"/>
      <c r="D1161" s="425"/>
      <c r="E1161" s="424"/>
      <c r="F1161" s="426"/>
      <c r="G1161" s="341"/>
      <c r="H1161" s="341"/>
      <c r="I1161" s="417"/>
      <c r="J1161" s="427"/>
      <c r="K1161" s="428"/>
      <c r="L1161" s="429"/>
      <c r="M1161" s="428"/>
      <c r="N1161" s="430"/>
      <c r="O1161" s="431"/>
      <c r="P1161" s="431"/>
      <c r="Q1161" s="300"/>
      <c r="R1161" s="341"/>
    </row>
    <row r="1162" ht="15.75" customHeight="1">
      <c r="A1162" s="361"/>
      <c r="B1162" s="330"/>
      <c r="C1162" s="321"/>
      <c r="D1162" s="425"/>
      <c r="E1162" s="424"/>
      <c r="F1162" s="426"/>
      <c r="G1162" s="341"/>
      <c r="H1162" s="341"/>
      <c r="I1162" s="417"/>
      <c r="J1162" s="427"/>
      <c r="K1162" s="428"/>
      <c r="L1162" s="429"/>
      <c r="M1162" s="428"/>
      <c r="N1162" s="430"/>
      <c r="O1162" s="431"/>
      <c r="P1162" s="431"/>
      <c r="Q1162" s="300"/>
      <c r="R1162" s="341"/>
    </row>
    <row r="1163" ht="15.75" customHeight="1">
      <c r="A1163" s="361"/>
      <c r="B1163" s="330"/>
      <c r="C1163" s="321"/>
      <c r="D1163" s="425"/>
      <c r="E1163" s="424"/>
      <c r="F1163" s="426"/>
      <c r="G1163" s="341"/>
      <c r="H1163" s="341"/>
      <c r="I1163" s="417"/>
      <c r="J1163" s="427"/>
      <c r="K1163" s="428"/>
      <c r="L1163" s="429"/>
      <c r="M1163" s="428"/>
      <c r="N1163" s="430"/>
      <c r="O1163" s="431"/>
      <c r="P1163" s="431"/>
      <c r="Q1163" s="300"/>
      <c r="R1163" s="341"/>
    </row>
    <row r="1164" ht="15.75" customHeight="1">
      <c r="A1164" s="361"/>
      <c r="B1164" s="330"/>
      <c r="C1164" s="321"/>
      <c r="D1164" s="425"/>
      <c r="E1164" s="424"/>
      <c r="F1164" s="426"/>
      <c r="G1164" s="341"/>
      <c r="H1164" s="341"/>
      <c r="I1164" s="417"/>
      <c r="J1164" s="427"/>
      <c r="K1164" s="428"/>
      <c r="L1164" s="429"/>
      <c r="M1164" s="428"/>
      <c r="N1164" s="430"/>
      <c r="O1164" s="431"/>
      <c r="P1164" s="431"/>
      <c r="Q1164" s="300"/>
      <c r="R1164" s="341"/>
    </row>
    <row r="1165" ht="15.75" customHeight="1">
      <c r="A1165" s="361"/>
      <c r="B1165" s="330"/>
      <c r="C1165" s="321"/>
      <c r="D1165" s="425"/>
      <c r="E1165" s="424"/>
      <c r="F1165" s="426"/>
      <c r="G1165" s="341"/>
      <c r="H1165" s="341"/>
      <c r="I1165" s="417"/>
      <c r="J1165" s="427"/>
      <c r="K1165" s="428"/>
      <c r="L1165" s="429"/>
      <c r="M1165" s="428"/>
      <c r="N1165" s="430"/>
      <c r="O1165" s="431"/>
      <c r="P1165" s="431"/>
      <c r="Q1165" s="300"/>
      <c r="R1165" s="341"/>
    </row>
    <row r="1166" ht="15.75" customHeight="1">
      <c r="A1166" s="361"/>
      <c r="B1166" s="330"/>
      <c r="C1166" s="321"/>
      <c r="D1166" s="425"/>
      <c r="E1166" s="424"/>
      <c r="F1166" s="426"/>
      <c r="G1166" s="341"/>
      <c r="H1166" s="341"/>
      <c r="I1166" s="417"/>
      <c r="J1166" s="427"/>
      <c r="K1166" s="428"/>
      <c r="L1166" s="429"/>
      <c r="M1166" s="428"/>
      <c r="N1166" s="430"/>
      <c r="O1166" s="431"/>
      <c r="P1166" s="431"/>
      <c r="Q1166" s="300"/>
      <c r="R1166" s="341"/>
    </row>
    <row r="1167" ht="15.75" customHeight="1">
      <c r="A1167" s="361"/>
      <c r="B1167" s="330"/>
      <c r="C1167" s="321"/>
      <c r="D1167" s="425"/>
      <c r="E1167" s="424"/>
      <c r="F1167" s="426"/>
      <c r="G1167" s="341"/>
      <c r="H1167" s="341"/>
      <c r="I1167" s="417"/>
      <c r="J1167" s="427"/>
      <c r="K1167" s="428"/>
      <c r="L1167" s="429"/>
      <c r="M1167" s="428"/>
      <c r="N1167" s="430"/>
      <c r="O1167" s="431"/>
      <c r="P1167" s="431"/>
      <c r="Q1167" s="300"/>
      <c r="R1167" s="341"/>
    </row>
    <row r="1168" ht="15.75" customHeight="1">
      <c r="A1168" s="361"/>
      <c r="B1168" s="330"/>
      <c r="C1168" s="321"/>
      <c r="D1168" s="425"/>
      <c r="E1168" s="424"/>
      <c r="F1168" s="426"/>
      <c r="G1168" s="341"/>
      <c r="H1168" s="341"/>
      <c r="I1168" s="417"/>
      <c r="J1168" s="427"/>
      <c r="K1168" s="428"/>
      <c r="L1168" s="429"/>
      <c r="M1168" s="428"/>
      <c r="N1168" s="430"/>
      <c r="O1168" s="431"/>
      <c r="P1168" s="431"/>
      <c r="Q1168" s="300"/>
      <c r="R1168" s="341"/>
    </row>
    <row r="1169" ht="15.75" customHeight="1">
      <c r="A1169" s="361"/>
      <c r="B1169" s="330"/>
      <c r="C1169" s="321"/>
      <c r="D1169" s="425"/>
      <c r="E1169" s="424"/>
      <c r="F1169" s="426"/>
      <c r="G1169" s="341"/>
      <c r="H1169" s="341"/>
      <c r="I1169" s="417"/>
      <c r="J1169" s="427"/>
      <c r="K1169" s="428"/>
      <c r="L1169" s="429"/>
      <c r="M1169" s="428"/>
      <c r="N1169" s="430"/>
      <c r="O1169" s="431"/>
      <c r="P1169" s="431"/>
      <c r="Q1169" s="300"/>
      <c r="R1169" s="341"/>
    </row>
    <row r="1170" ht="15.75" customHeight="1">
      <c r="A1170" s="361"/>
      <c r="B1170" s="330"/>
      <c r="C1170" s="321"/>
      <c r="D1170" s="425"/>
      <c r="E1170" s="424"/>
      <c r="F1170" s="426"/>
      <c r="G1170" s="341"/>
      <c r="H1170" s="341"/>
      <c r="I1170" s="417"/>
      <c r="J1170" s="427"/>
      <c r="K1170" s="428"/>
      <c r="L1170" s="429"/>
      <c r="M1170" s="428"/>
      <c r="N1170" s="430"/>
      <c r="O1170" s="431"/>
      <c r="P1170" s="431"/>
      <c r="Q1170" s="300"/>
      <c r="R1170" s="341"/>
    </row>
    <row r="1171" ht="15.75" customHeight="1">
      <c r="A1171" s="361"/>
      <c r="B1171" s="330"/>
      <c r="C1171" s="321"/>
      <c r="D1171" s="425"/>
      <c r="E1171" s="424"/>
      <c r="F1171" s="426"/>
      <c r="G1171" s="341"/>
      <c r="H1171" s="341"/>
      <c r="I1171" s="417"/>
      <c r="J1171" s="427"/>
      <c r="K1171" s="428"/>
      <c r="L1171" s="429"/>
      <c r="M1171" s="428"/>
      <c r="N1171" s="430"/>
      <c r="O1171" s="431"/>
      <c r="P1171" s="431"/>
      <c r="Q1171" s="300"/>
      <c r="R1171" s="341"/>
    </row>
    <row r="1172" ht="15.75" customHeight="1">
      <c r="A1172" s="361"/>
      <c r="B1172" s="330"/>
      <c r="C1172" s="321"/>
      <c r="D1172" s="425"/>
      <c r="E1172" s="424"/>
      <c r="F1172" s="426"/>
      <c r="G1172" s="341"/>
      <c r="H1172" s="341"/>
      <c r="I1172" s="417"/>
      <c r="J1172" s="427"/>
      <c r="K1172" s="428"/>
      <c r="L1172" s="429"/>
      <c r="M1172" s="428"/>
      <c r="N1172" s="430"/>
      <c r="O1172" s="431"/>
      <c r="P1172" s="431"/>
      <c r="Q1172" s="300"/>
      <c r="R1172" s="341"/>
    </row>
    <row r="1173" ht="15.75" customHeight="1">
      <c r="A1173" s="361"/>
      <c r="B1173" s="330"/>
      <c r="C1173" s="321"/>
      <c r="D1173" s="425"/>
      <c r="E1173" s="424"/>
      <c r="F1173" s="426"/>
      <c r="G1173" s="341"/>
      <c r="H1173" s="341"/>
      <c r="I1173" s="417"/>
      <c r="J1173" s="427"/>
      <c r="K1173" s="428"/>
      <c r="L1173" s="429"/>
      <c r="M1173" s="428"/>
      <c r="N1173" s="430"/>
      <c r="O1173" s="431"/>
      <c r="P1173" s="431"/>
      <c r="Q1173" s="300"/>
      <c r="R1173" s="341"/>
    </row>
    <row r="1174" ht="15.75" customHeight="1">
      <c r="A1174" s="361"/>
      <c r="B1174" s="330"/>
      <c r="C1174" s="321"/>
      <c r="D1174" s="425"/>
      <c r="E1174" s="424"/>
      <c r="F1174" s="426"/>
      <c r="G1174" s="341"/>
      <c r="H1174" s="341"/>
      <c r="I1174" s="417"/>
      <c r="J1174" s="427"/>
      <c r="K1174" s="428"/>
      <c r="L1174" s="429"/>
      <c r="M1174" s="428"/>
      <c r="N1174" s="430"/>
      <c r="O1174" s="431"/>
      <c r="P1174" s="431"/>
      <c r="Q1174" s="300"/>
      <c r="R1174" s="341"/>
    </row>
    <row r="1175" ht="15.75" customHeight="1">
      <c r="A1175" s="361"/>
      <c r="B1175" s="330"/>
      <c r="C1175" s="321"/>
      <c r="D1175" s="425"/>
      <c r="E1175" s="424"/>
      <c r="F1175" s="426"/>
      <c r="G1175" s="341"/>
      <c r="H1175" s="341"/>
      <c r="I1175" s="417"/>
      <c r="J1175" s="427"/>
      <c r="K1175" s="428"/>
      <c r="L1175" s="429"/>
      <c r="M1175" s="428"/>
      <c r="N1175" s="430"/>
      <c r="O1175" s="431"/>
      <c r="P1175" s="431"/>
      <c r="Q1175" s="300"/>
      <c r="R1175" s="341"/>
    </row>
    <row r="1176" ht="15.75" customHeight="1">
      <c r="A1176" s="361"/>
      <c r="B1176" s="330"/>
      <c r="C1176" s="321"/>
      <c r="D1176" s="425"/>
      <c r="E1176" s="424"/>
      <c r="F1176" s="426"/>
      <c r="G1176" s="341"/>
      <c r="H1176" s="341"/>
      <c r="I1176" s="417"/>
      <c r="J1176" s="427"/>
      <c r="K1176" s="428"/>
      <c r="L1176" s="429"/>
      <c r="M1176" s="428"/>
      <c r="N1176" s="430"/>
      <c r="O1176" s="431"/>
      <c r="P1176" s="431"/>
      <c r="Q1176" s="300"/>
      <c r="R1176" s="341"/>
    </row>
    <row r="1177" ht="15.75" customHeight="1">
      <c r="A1177" s="361"/>
      <c r="B1177" s="330"/>
      <c r="C1177" s="321"/>
      <c r="D1177" s="425"/>
      <c r="E1177" s="424"/>
      <c r="F1177" s="426"/>
      <c r="G1177" s="341"/>
      <c r="H1177" s="341"/>
      <c r="I1177" s="417"/>
      <c r="J1177" s="427"/>
      <c r="K1177" s="428"/>
      <c r="L1177" s="429"/>
      <c r="M1177" s="428"/>
      <c r="N1177" s="430"/>
      <c r="O1177" s="431"/>
      <c r="P1177" s="431"/>
      <c r="Q1177" s="300"/>
      <c r="R1177" s="341"/>
    </row>
    <row r="1178" ht="15.75" customHeight="1">
      <c r="A1178" s="361"/>
      <c r="B1178" s="330"/>
      <c r="C1178" s="321"/>
      <c r="D1178" s="425"/>
      <c r="E1178" s="424"/>
      <c r="F1178" s="426"/>
      <c r="G1178" s="341"/>
      <c r="H1178" s="341"/>
      <c r="I1178" s="417"/>
      <c r="J1178" s="427"/>
      <c r="K1178" s="428"/>
      <c r="L1178" s="429"/>
      <c r="M1178" s="428"/>
      <c r="N1178" s="430"/>
      <c r="O1178" s="431"/>
      <c r="P1178" s="431"/>
      <c r="Q1178" s="300"/>
      <c r="R1178" s="341"/>
    </row>
    <row r="1179" ht="15.75" customHeight="1">
      <c r="A1179" s="361"/>
      <c r="B1179" s="330"/>
      <c r="C1179" s="321"/>
      <c r="D1179" s="425"/>
      <c r="E1179" s="424"/>
      <c r="F1179" s="426"/>
      <c r="G1179" s="341"/>
      <c r="H1179" s="341"/>
      <c r="I1179" s="417"/>
      <c r="J1179" s="427"/>
      <c r="K1179" s="428"/>
      <c r="L1179" s="429"/>
      <c r="M1179" s="428"/>
      <c r="N1179" s="430"/>
      <c r="O1179" s="431"/>
      <c r="P1179" s="431"/>
      <c r="Q1179" s="300"/>
      <c r="R1179" s="341"/>
    </row>
    <row r="1180" ht="15.75" customHeight="1">
      <c r="A1180" s="361"/>
      <c r="B1180" s="330"/>
      <c r="C1180" s="321"/>
      <c r="D1180" s="425"/>
      <c r="E1180" s="424"/>
      <c r="F1180" s="426"/>
      <c r="G1180" s="341"/>
      <c r="H1180" s="341"/>
      <c r="I1180" s="417"/>
      <c r="J1180" s="427"/>
      <c r="K1180" s="428"/>
      <c r="L1180" s="429"/>
      <c r="M1180" s="428"/>
      <c r="N1180" s="430"/>
      <c r="O1180" s="431"/>
      <c r="P1180" s="431"/>
      <c r="Q1180" s="300"/>
      <c r="R1180" s="341"/>
    </row>
    <row r="1181" ht="15.75" customHeight="1">
      <c r="A1181" s="361"/>
      <c r="B1181" s="330"/>
      <c r="C1181" s="321"/>
      <c r="D1181" s="425"/>
      <c r="E1181" s="424"/>
      <c r="F1181" s="426"/>
      <c r="G1181" s="341"/>
      <c r="H1181" s="341"/>
      <c r="I1181" s="417"/>
      <c r="J1181" s="427"/>
      <c r="K1181" s="428"/>
      <c r="L1181" s="429"/>
      <c r="M1181" s="428"/>
      <c r="N1181" s="430"/>
      <c r="O1181" s="431"/>
      <c r="P1181" s="431"/>
      <c r="Q1181" s="300"/>
      <c r="R1181" s="341"/>
    </row>
    <row r="1182" ht="15.75" customHeight="1">
      <c r="A1182" s="361"/>
      <c r="B1182" s="330"/>
      <c r="C1182" s="321"/>
      <c r="D1182" s="425"/>
      <c r="E1182" s="424"/>
      <c r="F1182" s="426"/>
      <c r="G1182" s="341"/>
      <c r="H1182" s="341"/>
      <c r="I1182" s="417"/>
      <c r="J1182" s="427"/>
      <c r="K1182" s="428"/>
      <c r="L1182" s="429"/>
      <c r="M1182" s="428"/>
      <c r="N1182" s="430"/>
      <c r="O1182" s="431"/>
      <c r="P1182" s="431"/>
      <c r="Q1182" s="300"/>
      <c r="R1182" s="341"/>
    </row>
    <row r="1183" ht="15.75" customHeight="1">
      <c r="A1183" s="361"/>
      <c r="B1183" s="330"/>
      <c r="C1183" s="321"/>
      <c r="D1183" s="425"/>
      <c r="E1183" s="424"/>
      <c r="F1183" s="426"/>
      <c r="G1183" s="341"/>
      <c r="H1183" s="341"/>
      <c r="I1183" s="417"/>
      <c r="J1183" s="427"/>
      <c r="K1183" s="428"/>
      <c r="L1183" s="429"/>
      <c r="M1183" s="428"/>
      <c r="N1183" s="430"/>
      <c r="O1183" s="431"/>
      <c r="P1183" s="431"/>
      <c r="Q1183" s="300"/>
      <c r="R1183" s="341"/>
    </row>
    <row r="1184" ht="15.75" customHeight="1">
      <c r="A1184" s="361"/>
      <c r="B1184" s="330"/>
      <c r="C1184" s="321"/>
      <c r="D1184" s="425"/>
      <c r="E1184" s="424"/>
      <c r="F1184" s="426"/>
      <c r="G1184" s="341"/>
      <c r="H1184" s="341"/>
      <c r="I1184" s="417"/>
      <c r="J1184" s="427"/>
      <c r="K1184" s="428"/>
      <c r="L1184" s="429"/>
      <c r="M1184" s="428"/>
      <c r="N1184" s="430"/>
      <c r="O1184" s="431"/>
      <c r="P1184" s="431"/>
      <c r="Q1184" s="300"/>
      <c r="R1184" s="341"/>
    </row>
    <row r="1185" ht="15.75" customHeight="1">
      <c r="A1185" s="361"/>
      <c r="B1185" s="330"/>
      <c r="C1185" s="321"/>
      <c r="D1185" s="425"/>
      <c r="E1185" s="424"/>
      <c r="F1185" s="426"/>
      <c r="G1185" s="341"/>
      <c r="H1185" s="341"/>
      <c r="I1185" s="417"/>
      <c r="J1185" s="427"/>
      <c r="K1185" s="428"/>
      <c r="L1185" s="429"/>
      <c r="M1185" s="428"/>
      <c r="N1185" s="430"/>
      <c r="O1185" s="431"/>
      <c r="P1185" s="431"/>
      <c r="Q1185" s="300"/>
      <c r="R1185" s="341"/>
    </row>
    <row r="1186" ht="15.75" customHeight="1">
      <c r="A1186" s="361"/>
      <c r="B1186" s="330"/>
      <c r="C1186" s="321"/>
      <c r="D1186" s="425"/>
      <c r="E1186" s="424"/>
      <c r="F1186" s="426"/>
      <c r="G1186" s="341"/>
      <c r="H1186" s="341"/>
      <c r="I1186" s="417"/>
      <c r="J1186" s="427"/>
      <c r="K1186" s="428"/>
      <c r="L1186" s="429"/>
      <c r="M1186" s="428"/>
      <c r="N1186" s="430"/>
      <c r="O1186" s="431"/>
      <c r="P1186" s="431"/>
      <c r="Q1186" s="300"/>
      <c r="R1186" s="341"/>
    </row>
    <row r="1187" ht="15.75" customHeight="1">
      <c r="A1187" s="361"/>
      <c r="B1187" s="330"/>
      <c r="C1187" s="321"/>
      <c r="D1187" s="425"/>
      <c r="E1187" s="424"/>
      <c r="F1187" s="426"/>
      <c r="G1187" s="341"/>
      <c r="H1187" s="341"/>
      <c r="I1187" s="417"/>
      <c r="J1187" s="427"/>
      <c r="K1187" s="428"/>
      <c r="L1187" s="429"/>
      <c r="M1187" s="428"/>
      <c r="N1187" s="430"/>
      <c r="O1187" s="431"/>
      <c r="P1187" s="431"/>
      <c r="Q1187" s="300"/>
      <c r="R1187" s="341"/>
    </row>
    <row r="1188" ht="15.75" customHeight="1">
      <c r="A1188" s="361"/>
      <c r="B1188" s="330"/>
      <c r="C1188" s="321"/>
      <c r="D1188" s="425"/>
      <c r="E1188" s="424"/>
      <c r="F1188" s="426"/>
      <c r="G1188" s="341"/>
      <c r="H1188" s="341"/>
      <c r="I1188" s="417"/>
      <c r="J1188" s="427"/>
      <c r="K1188" s="428"/>
      <c r="L1188" s="429"/>
      <c r="M1188" s="428"/>
      <c r="N1188" s="430"/>
      <c r="O1188" s="431"/>
      <c r="P1188" s="431"/>
      <c r="Q1188" s="300"/>
      <c r="R1188" s="341"/>
    </row>
    <row r="1189" ht="15.75" customHeight="1">
      <c r="A1189" s="361"/>
      <c r="B1189" s="330"/>
      <c r="C1189" s="321"/>
      <c r="D1189" s="425"/>
      <c r="E1189" s="424"/>
      <c r="F1189" s="426"/>
      <c r="G1189" s="341"/>
      <c r="H1189" s="341"/>
      <c r="I1189" s="417"/>
      <c r="J1189" s="427"/>
      <c r="K1189" s="428"/>
      <c r="L1189" s="429"/>
      <c r="M1189" s="428"/>
      <c r="N1189" s="430"/>
      <c r="O1189" s="431"/>
      <c r="P1189" s="431"/>
      <c r="Q1189" s="300"/>
      <c r="R1189" s="341"/>
    </row>
    <row r="1190" ht="15.75" customHeight="1">
      <c r="A1190" s="361"/>
      <c r="B1190" s="330"/>
      <c r="C1190" s="321"/>
      <c r="D1190" s="425"/>
      <c r="E1190" s="424"/>
      <c r="F1190" s="426"/>
      <c r="G1190" s="341"/>
      <c r="H1190" s="341"/>
      <c r="I1190" s="417"/>
      <c r="J1190" s="427"/>
      <c r="K1190" s="428"/>
      <c r="L1190" s="429"/>
      <c r="M1190" s="428"/>
      <c r="N1190" s="430"/>
      <c r="O1190" s="431"/>
      <c r="P1190" s="431"/>
      <c r="Q1190" s="300"/>
      <c r="R1190" s="341"/>
    </row>
    <row r="1191" ht="15.75" customHeight="1">
      <c r="A1191" s="361"/>
      <c r="B1191" s="330"/>
      <c r="C1191" s="321"/>
      <c r="D1191" s="425"/>
      <c r="E1191" s="424"/>
      <c r="F1191" s="426"/>
      <c r="G1191" s="341"/>
      <c r="H1191" s="341"/>
      <c r="I1191" s="417"/>
      <c r="J1191" s="427"/>
      <c r="K1191" s="428"/>
      <c r="L1191" s="429"/>
      <c r="M1191" s="428"/>
      <c r="N1191" s="430"/>
      <c r="O1191" s="431"/>
      <c r="P1191" s="431"/>
      <c r="Q1191" s="300"/>
      <c r="R1191" s="341"/>
    </row>
    <row r="1192" ht="15.75" customHeight="1">
      <c r="A1192" s="361"/>
      <c r="B1192" s="330"/>
      <c r="C1192" s="321"/>
      <c r="D1192" s="425"/>
      <c r="E1192" s="424"/>
      <c r="F1192" s="426"/>
      <c r="G1192" s="341"/>
      <c r="H1192" s="341"/>
      <c r="I1192" s="417"/>
      <c r="J1192" s="427"/>
      <c r="K1192" s="428"/>
      <c r="L1192" s="429"/>
      <c r="M1192" s="428"/>
      <c r="N1192" s="430"/>
      <c r="O1192" s="431"/>
      <c r="P1192" s="431"/>
      <c r="Q1192" s="300"/>
      <c r="R1192" s="341"/>
    </row>
    <row r="1193" ht="15.75" customHeight="1">
      <c r="A1193" s="361"/>
      <c r="B1193" s="330"/>
      <c r="C1193" s="321"/>
      <c r="D1193" s="425"/>
      <c r="E1193" s="424"/>
      <c r="F1193" s="426"/>
      <c r="G1193" s="341"/>
      <c r="H1193" s="341"/>
      <c r="I1193" s="417"/>
      <c r="J1193" s="427"/>
      <c r="K1193" s="428"/>
      <c r="L1193" s="429"/>
      <c r="M1193" s="428"/>
      <c r="N1193" s="430"/>
      <c r="O1193" s="431"/>
      <c r="P1193" s="431"/>
      <c r="Q1193" s="300"/>
      <c r="R1193" s="341"/>
    </row>
    <row r="1194" ht="15.75" customHeight="1">
      <c r="A1194" s="361"/>
      <c r="B1194" s="330"/>
      <c r="C1194" s="321"/>
      <c r="D1194" s="425"/>
      <c r="E1194" s="424"/>
      <c r="F1194" s="426"/>
      <c r="G1194" s="341"/>
      <c r="H1194" s="341"/>
      <c r="I1194" s="417"/>
      <c r="J1194" s="427"/>
      <c r="K1194" s="428"/>
      <c r="L1194" s="429"/>
      <c r="M1194" s="428"/>
      <c r="N1194" s="430"/>
      <c r="O1194" s="431"/>
      <c r="P1194" s="431"/>
      <c r="Q1194" s="300"/>
      <c r="R1194" s="341"/>
    </row>
    <row r="1195" ht="15.75" customHeight="1">
      <c r="A1195" s="361"/>
      <c r="B1195" s="330"/>
      <c r="C1195" s="321"/>
      <c r="D1195" s="425"/>
      <c r="E1195" s="424"/>
      <c r="F1195" s="426"/>
      <c r="G1195" s="341"/>
      <c r="H1195" s="341"/>
      <c r="I1195" s="417"/>
      <c r="J1195" s="427"/>
      <c r="K1195" s="428"/>
      <c r="L1195" s="429"/>
      <c r="M1195" s="428"/>
      <c r="N1195" s="430"/>
      <c r="O1195" s="431"/>
      <c r="P1195" s="431"/>
      <c r="Q1195" s="300"/>
      <c r="R1195" s="341"/>
    </row>
    <row r="1196" ht="15.75" customHeight="1">
      <c r="A1196" s="361"/>
      <c r="B1196" s="330"/>
      <c r="C1196" s="321"/>
      <c r="D1196" s="425"/>
      <c r="E1196" s="424"/>
      <c r="F1196" s="426"/>
      <c r="G1196" s="341"/>
      <c r="H1196" s="341"/>
      <c r="I1196" s="417"/>
      <c r="J1196" s="427"/>
      <c r="K1196" s="428"/>
      <c r="L1196" s="429"/>
      <c r="M1196" s="428"/>
      <c r="N1196" s="430"/>
      <c r="O1196" s="431"/>
      <c r="P1196" s="431"/>
      <c r="Q1196" s="300"/>
      <c r="R1196" s="341"/>
    </row>
    <row r="1197" ht="15.75" customHeight="1">
      <c r="A1197" s="361"/>
      <c r="B1197" s="330"/>
      <c r="C1197" s="321"/>
      <c r="D1197" s="425"/>
      <c r="E1197" s="424"/>
      <c r="F1197" s="426"/>
      <c r="G1197" s="341"/>
      <c r="H1197" s="341"/>
      <c r="I1197" s="417"/>
      <c r="J1197" s="427"/>
      <c r="K1197" s="428"/>
      <c r="L1197" s="429"/>
      <c r="M1197" s="428"/>
      <c r="N1197" s="430"/>
      <c r="O1197" s="431"/>
      <c r="P1197" s="431"/>
      <c r="Q1197" s="300"/>
      <c r="R1197" s="341"/>
    </row>
    <row r="1198" ht="15.75" customHeight="1">
      <c r="A1198" s="361"/>
      <c r="B1198" s="330"/>
      <c r="C1198" s="321"/>
      <c r="D1198" s="425"/>
      <c r="E1198" s="424"/>
      <c r="F1198" s="426"/>
      <c r="G1198" s="341"/>
      <c r="H1198" s="341"/>
      <c r="I1198" s="417"/>
      <c r="J1198" s="427"/>
      <c r="K1198" s="428"/>
      <c r="L1198" s="429"/>
      <c r="M1198" s="428"/>
      <c r="N1198" s="430"/>
      <c r="O1198" s="431"/>
      <c r="P1198" s="431"/>
      <c r="Q1198" s="300"/>
      <c r="R1198" s="341"/>
    </row>
    <row r="1199" ht="15.75" customHeight="1">
      <c r="A1199" s="361"/>
      <c r="B1199" s="330"/>
      <c r="C1199" s="321"/>
      <c r="D1199" s="425"/>
      <c r="E1199" s="424"/>
      <c r="F1199" s="426"/>
      <c r="G1199" s="341"/>
      <c r="H1199" s="341"/>
      <c r="I1199" s="417"/>
      <c r="J1199" s="427"/>
      <c r="K1199" s="428"/>
      <c r="L1199" s="429"/>
      <c r="M1199" s="428"/>
      <c r="N1199" s="430"/>
      <c r="O1199" s="431"/>
      <c r="P1199" s="431"/>
      <c r="Q1199" s="300"/>
      <c r="R1199" s="341"/>
    </row>
    <row r="1200" ht="15.75" customHeight="1">
      <c r="A1200" s="361"/>
      <c r="B1200" s="330"/>
      <c r="C1200" s="321"/>
      <c r="D1200" s="425"/>
      <c r="E1200" s="424"/>
      <c r="F1200" s="426"/>
      <c r="G1200" s="341"/>
      <c r="H1200" s="341"/>
      <c r="I1200" s="417"/>
      <c r="J1200" s="427"/>
      <c r="K1200" s="428"/>
      <c r="L1200" s="429"/>
      <c r="M1200" s="428"/>
      <c r="N1200" s="430"/>
      <c r="O1200" s="431"/>
      <c r="P1200" s="431"/>
      <c r="Q1200" s="300"/>
      <c r="R1200" s="341"/>
    </row>
    <row r="1201" ht="15.75" customHeight="1">
      <c r="A1201" s="361"/>
      <c r="B1201" s="330"/>
      <c r="C1201" s="321"/>
      <c r="D1201" s="425"/>
      <c r="E1201" s="424"/>
      <c r="F1201" s="426"/>
      <c r="G1201" s="341"/>
      <c r="H1201" s="341"/>
      <c r="I1201" s="417"/>
      <c r="J1201" s="427"/>
      <c r="K1201" s="428"/>
      <c r="L1201" s="429"/>
      <c r="M1201" s="428"/>
      <c r="N1201" s="430"/>
      <c r="O1201" s="431"/>
      <c r="P1201" s="431"/>
      <c r="Q1201" s="300"/>
      <c r="R1201" s="341"/>
    </row>
    <row r="1202" ht="15.75" customHeight="1">
      <c r="A1202" s="361"/>
      <c r="B1202" s="330"/>
      <c r="C1202" s="321"/>
      <c r="D1202" s="425"/>
      <c r="E1202" s="424"/>
      <c r="F1202" s="426"/>
      <c r="G1202" s="341"/>
      <c r="H1202" s="341"/>
      <c r="I1202" s="417"/>
      <c r="J1202" s="427"/>
      <c r="K1202" s="428"/>
      <c r="L1202" s="429"/>
      <c r="M1202" s="428"/>
      <c r="N1202" s="430"/>
      <c r="O1202" s="431"/>
      <c r="P1202" s="431"/>
      <c r="Q1202" s="300"/>
      <c r="R1202" s="341"/>
    </row>
    <row r="1203" ht="15.75" customHeight="1">
      <c r="A1203" s="361"/>
      <c r="B1203" s="330"/>
      <c r="C1203" s="321"/>
      <c r="D1203" s="425"/>
      <c r="E1203" s="424"/>
      <c r="F1203" s="426"/>
      <c r="G1203" s="341"/>
      <c r="H1203" s="341"/>
      <c r="I1203" s="417"/>
      <c r="J1203" s="427"/>
      <c r="K1203" s="428"/>
      <c r="L1203" s="429"/>
      <c r="M1203" s="428"/>
      <c r="N1203" s="430"/>
      <c r="O1203" s="431"/>
      <c r="P1203" s="431"/>
      <c r="Q1203" s="300"/>
      <c r="R1203" s="341"/>
    </row>
    <row r="1204" ht="15.75" customHeight="1">
      <c r="A1204" s="361"/>
      <c r="B1204" s="330"/>
      <c r="C1204" s="321"/>
      <c r="D1204" s="425"/>
      <c r="E1204" s="424"/>
      <c r="F1204" s="426"/>
      <c r="G1204" s="341"/>
      <c r="H1204" s="341"/>
      <c r="I1204" s="417"/>
      <c r="J1204" s="427"/>
      <c r="K1204" s="428"/>
      <c r="L1204" s="429"/>
      <c r="M1204" s="428"/>
      <c r="N1204" s="430"/>
      <c r="O1204" s="431"/>
      <c r="P1204" s="431"/>
      <c r="Q1204" s="300"/>
      <c r="R1204" s="341"/>
    </row>
    <row r="1205" ht="15.75" customHeight="1">
      <c r="A1205" s="361"/>
      <c r="B1205" s="330"/>
      <c r="C1205" s="321"/>
      <c r="D1205" s="425"/>
      <c r="E1205" s="424"/>
      <c r="F1205" s="426"/>
      <c r="G1205" s="341"/>
      <c r="H1205" s="341"/>
      <c r="I1205" s="417"/>
      <c r="J1205" s="427"/>
      <c r="K1205" s="428"/>
      <c r="L1205" s="429"/>
      <c r="M1205" s="428"/>
      <c r="N1205" s="430"/>
      <c r="O1205" s="431"/>
      <c r="P1205" s="431"/>
      <c r="Q1205" s="300"/>
      <c r="R1205" s="341"/>
    </row>
    <row r="1206" ht="15.75" customHeight="1">
      <c r="A1206" s="361"/>
      <c r="B1206" s="330"/>
      <c r="C1206" s="321"/>
      <c r="D1206" s="425"/>
      <c r="E1206" s="424"/>
      <c r="F1206" s="426"/>
      <c r="G1206" s="341"/>
      <c r="H1206" s="341"/>
      <c r="I1206" s="417"/>
      <c r="J1206" s="427"/>
      <c r="K1206" s="428"/>
      <c r="L1206" s="429"/>
      <c r="M1206" s="428"/>
      <c r="N1206" s="430"/>
      <c r="O1206" s="431"/>
      <c r="P1206" s="431"/>
      <c r="Q1206" s="300"/>
      <c r="R1206" s="341"/>
    </row>
    <row r="1207" ht="15.75" customHeight="1">
      <c r="A1207" s="361"/>
      <c r="B1207" s="330"/>
      <c r="C1207" s="321"/>
      <c r="D1207" s="425"/>
      <c r="E1207" s="424"/>
      <c r="F1207" s="426"/>
      <c r="G1207" s="341"/>
      <c r="H1207" s="341"/>
      <c r="I1207" s="417"/>
      <c r="J1207" s="427"/>
      <c r="K1207" s="428"/>
      <c r="L1207" s="429"/>
      <c r="M1207" s="428"/>
      <c r="N1207" s="430"/>
      <c r="O1207" s="431"/>
      <c r="P1207" s="431"/>
      <c r="Q1207" s="300"/>
      <c r="R1207" s="341"/>
    </row>
    <row r="1208" ht="15.75" customHeight="1">
      <c r="A1208" s="361"/>
      <c r="B1208" s="330"/>
      <c r="C1208" s="321"/>
      <c r="D1208" s="425"/>
      <c r="E1208" s="424"/>
      <c r="F1208" s="426"/>
      <c r="G1208" s="341"/>
      <c r="H1208" s="341"/>
      <c r="I1208" s="417"/>
      <c r="J1208" s="427"/>
      <c r="K1208" s="428"/>
      <c r="L1208" s="429"/>
      <c r="M1208" s="428"/>
      <c r="N1208" s="430"/>
      <c r="O1208" s="431"/>
      <c r="P1208" s="431"/>
      <c r="Q1208" s="300"/>
      <c r="R1208" s="341"/>
    </row>
    <row r="1209" ht="15.75" customHeight="1">
      <c r="A1209" s="361"/>
      <c r="B1209" s="330"/>
      <c r="C1209" s="321"/>
      <c r="D1209" s="425"/>
      <c r="E1209" s="424"/>
      <c r="F1209" s="426"/>
      <c r="G1209" s="341"/>
      <c r="H1209" s="341"/>
      <c r="I1209" s="417"/>
      <c r="J1209" s="427"/>
      <c r="K1209" s="428"/>
      <c r="L1209" s="429"/>
      <c r="M1209" s="428"/>
      <c r="N1209" s="430"/>
      <c r="O1209" s="431"/>
      <c r="P1209" s="431"/>
      <c r="Q1209" s="300"/>
      <c r="R1209" s="341"/>
    </row>
    <row r="1210" ht="15.75" customHeight="1">
      <c r="A1210" s="361"/>
      <c r="B1210" s="330"/>
      <c r="C1210" s="321"/>
      <c r="D1210" s="425"/>
      <c r="E1210" s="424"/>
      <c r="F1210" s="426"/>
      <c r="G1210" s="341"/>
      <c r="H1210" s="341"/>
      <c r="I1210" s="417"/>
      <c r="J1210" s="427"/>
      <c r="K1210" s="428"/>
      <c r="L1210" s="429"/>
      <c r="M1210" s="428"/>
      <c r="N1210" s="430"/>
      <c r="O1210" s="431"/>
      <c r="P1210" s="431"/>
      <c r="Q1210" s="300"/>
      <c r="R1210" s="341"/>
    </row>
    <row r="1211" ht="15.75" customHeight="1">
      <c r="A1211" s="361"/>
      <c r="B1211" s="330"/>
      <c r="C1211" s="321"/>
      <c r="D1211" s="425"/>
      <c r="E1211" s="424"/>
      <c r="F1211" s="426"/>
      <c r="G1211" s="341"/>
      <c r="H1211" s="341"/>
      <c r="I1211" s="417"/>
      <c r="J1211" s="427"/>
      <c r="K1211" s="428"/>
      <c r="L1211" s="429"/>
      <c r="M1211" s="428"/>
      <c r="N1211" s="430"/>
      <c r="O1211" s="431"/>
      <c r="P1211" s="431"/>
      <c r="Q1211" s="300"/>
      <c r="R1211" s="341"/>
    </row>
    <row r="1212" ht="15.75" customHeight="1">
      <c r="A1212" s="361"/>
      <c r="B1212" s="330"/>
      <c r="C1212" s="321"/>
      <c r="D1212" s="425"/>
      <c r="E1212" s="424"/>
      <c r="F1212" s="426"/>
      <c r="G1212" s="341"/>
      <c r="H1212" s="341"/>
      <c r="I1212" s="417"/>
      <c r="J1212" s="427"/>
      <c r="K1212" s="428"/>
      <c r="L1212" s="429"/>
      <c r="M1212" s="428"/>
      <c r="N1212" s="430"/>
      <c r="O1212" s="431"/>
      <c r="P1212" s="431"/>
      <c r="Q1212" s="300"/>
      <c r="R1212" s="341"/>
    </row>
    <row r="1213" ht="15.75" customHeight="1">
      <c r="A1213" s="361"/>
      <c r="B1213" s="330"/>
      <c r="C1213" s="321"/>
      <c r="D1213" s="425"/>
      <c r="E1213" s="424"/>
      <c r="F1213" s="426"/>
      <c r="G1213" s="341"/>
      <c r="H1213" s="341"/>
      <c r="I1213" s="417"/>
      <c r="J1213" s="427"/>
      <c r="K1213" s="428"/>
      <c r="L1213" s="429"/>
      <c r="M1213" s="428"/>
      <c r="N1213" s="430"/>
      <c r="O1213" s="431"/>
      <c r="P1213" s="431"/>
      <c r="Q1213" s="300"/>
      <c r="R1213" s="341"/>
    </row>
    <row r="1214" ht="15.75" customHeight="1">
      <c r="A1214" s="361"/>
      <c r="B1214" s="330"/>
      <c r="C1214" s="321"/>
      <c r="D1214" s="425"/>
      <c r="E1214" s="424"/>
      <c r="F1214" s="426"/>
      <c r="G1214" s="341"/>
      <c r="H1214" s="341"/>
      <c r="I1214" s="417"/>
      <c r="J1214" s="427"/>
      <c r="K1214" s="428"/>
      <c r="L1214" s="429"/>
      <c r="M1214" s="428"/>
      <c r="N1214" s="430"/>
      <c r="O1214" s="431"/>
      <c r="P1214" s="431"/>
      <c r="Q1214" s="300"/>
      <c r="R1214" s="341"/>
    </row>
    <row r="1215" ht="15.75" customHeight="1">
      <c r="A1215" s="361"/>
      <c r="B1215" s="330"/>
      <c r="C1215" s="321"/>
      <c r="D1215" s="425"/>
      <c r="E1215" s="424"/>
      <c r="F1215" s="426"/>
      <c r="G1215" s="341"/>
      <c r="H1215" s="341"/>
      <c r="I1215" s="417"/>
      <c r="J1215" s="427"/>
      <c r="K1215" s="428"/>
      <c r="L1215" s="429"/>
      <c r="M1215" s="428"/>
      <c r="N1215" s="430"/>
      <c r="O1215" s="431"/>
      <c r="P1215" s="431"/>
      <c r="Q1215" s="300"/>
      <c r="R1215" s="341"/>
    </row>
    <row r="1216" ht="15.75" customHeight="1">
      <c r="A1216" s="361"/>
      <c r="B1216" s="330"/>
      <c r="C1216" s="321"/>
      <c r="D1216" s="425"/>
      <c r="E1216" s="424"/>
      <c r="F1216" s="426"/>
      <c r="G1216" s="341"/>
      <c r="H1216" s="341"/>
      <c r="I1216" s="417"/>
      <c r="J1216" s="427"/>
      <c r="K1216" s="428"/>
      <c r="L1216" s="429"/>
      <c r="M1216" s="428"/>
      <c r="N1216" s="430"/>
      <c r="O1216" s="431"/>
      <c r="P1216" s="431"/>
      <c r="Q1216" s="300"/>
      <c r="R1216" s="341"/>
    </row>
    <row r="1217" ht="15.75" customHeight="1">
      <c r="A1217" s="361"/>
      <c r="B1217" s="330"/>
      <c r="C1217" s="321"/>
      <c r="D1217" s="425"/>
      <c r="E1217" s="424"/>
      <c r="F1217" s="426"/>
      <c r="G1217" s="341"/>
      <c r="H1217" s="341"/>
      <c r="I1217" s="417"/>
      <c r="J1217" s="427"/>
      <c r="K1217" s="428"/>
      <c r="L1217" s="429"/>
      <c r="M1217" s="428"/>
      <c r="N1217" s="430"/>
      <c r="O1217" s="431"/>
      <c r="P1217" s="431"/>
      <c r="Q1217" s="300"/>
      <c r="R1217" s="341"/>
    </row>
    <row r="1218" ht="15.75" customHeight="1">
      <c r="A1218" s="361"/>
      <c r="B1218" s="330"/>
      <c r="C1218" s="321"/>
      <c r="D1218" s="425"/>
      <c r="E1218" s="424"/>
      <c r="F1218" s="426"/>
      <c r="G1218" s="341"/>
      <c r="H1218" s="341"/>
      <c r="I1218" s="417"/>
      <c r="J1218" s="427"/>
      <c r="K1218" s="428"/>
      <c r="L1218" s="429"/>
      <c r="M1218" s="428"/>
      <c r="N1218" s="430"/>
      <c r="O1218" s="431"/>
      <c r="P1218" s="431"/>
      <c r="Q1218" s="300"/>
      <c r="R1218" s="341"/>
    </row>
    <row r="1219" ht="15.75" customHeight="1">
      <c r="A1219" s="361"/>
      <c r="B1219" s="330"/>
      <c r="C1219" s="321"/>
      <c r="D1219" s="425"/>
      <c r="E1219" s="424"/>
      <c r="F1219" s="426"/>
      <c r="G1219" s="341"/>
      <c r="H1219" s="341"/>
      <c r="I1219" s="417"/>
      <c r="J1219" s="427"/>
      <c r="K1219" s="428"/>
      <c r="L1219" s="429"/>
      <c r="M1219" s="428"/>
      <c r="N1219" s="430"/>
      <c r="O1219" s="431"/>
      <c r="P1219" s="431"/>
      <c r="Q1219" s="300"/>
      <c r="R1219" s="341"/>
    </row>
    <row r="1220" ht="15.75" customHeight="1">
      <c r="A1220" s="361"/>
      <c r="B1220" s="330"/>
      <c r="C1220" s="321"/>
      <c r="D1220" s="425"/>
      <c r="E1220" s="424"/>
      <c r="F1220" s="426"/>
      <c r="G1220" s="341"/>
      <c r="H1220" s="341"/>
      <c r="I1220" s="417"/>
      <c r="J1220" s="427"/>
      <c r="K1220" s="428"/>
      <c r="L1220" s="429"/>
      <c r="M1220" s="428"/>
      <c r="N1220" s="430"/>
      <c r="O1220" s="431"/>
      <c r="P1220" s="431"/>
      <c r="Q1220" s="300"/>
      <c r="R1220" s="341"/>
    </row>
    <row r="1221" ht="15.75" customHeight="1">
      <c r="A1221" s="361"/>
      <c r="B1221" s="330"/>
      <c r="C1221" s="321"/>
      <c r="D1221" s="425"/>
      <c r="E1221" s="424"/>
      <c r="F1221" s="426"/>
      <c r="G1221" s="341"/>
      <c r="H1221" s="341"/>
      <c r="I1221" s="417"/>
      <c r="J1221" s="427"/>
      <c r="K1221" s="428"/>
      <c r="L1221" s="429"/>
      <c r="M1221" s="428"/>
      <c r="N1221" s="430"/>
      <c r="O1221" s="431"/>
      <c r="P1221" s="431"/>
      <c r="Q1221" s="300"/>
      <c r="R1221" s="341"/>
    </row>
    <row r="1222" ht="15.75" customHeight="1">
      <c r="A1222" s="361"/>
      <c r="B1222" s="330"/>
      <c r="C1222" s="321"/>
      <c r="D1222" s="425"/>
      <c r="E1222" s="424"/>
      <c r="F1222" s="426"/>
      <c r="G1222" s="341"/>
      <c r="H1222" s="341"/>
      <c r="I1222" s="417"/>
      <c r="J1222" s="427"/>
      <c r="K1222" s="428"/>
      <c r="L1222" s="429"/>
      <c r="M1222" s="428"/>
      <c r="N1222" s="430"/>
      <c r="O1222" s="431"/>
      <c r="P1222" s="431"/>
      <c r="Q1222" s="300"/>
      <c r="R1222" s="341"/>
    </row>
    <row r="1223" ht="15.75" customHeight="1">
      <c r="A1223" s="361"/>
      <c r="B1223" s="330"/>
      <c r="C1223" s="321"/>
      <c r="D1223" s="425"/>
      <c r="E1223" s="424"/>
      <c r="F1223" s="426"/>
      <c r="G1223" s="341"/>
      <c r="H1223" s="341"/>
      <c r="I1223" s="417"/>
      <c r="J1223" s="427"/>
      <c r="K1223" s="428"/>
      <c r="L1223" s="429"/>
      <c r="M1223" s="428"/>
      <c r="N1223" s="430"/>
      <c r="O1223" s="431"/>
      <c r="P1223" s="431"/>
      <c r="Q1223" s="300"/>
      <c r="R1223" s="341"/>
    </row>
    <row r="1224" ht="15.75" customHeight="1">
      <c r="A1224" s="361"/>
      <c r="B1224" s="330"/>
      <c r="C1224" s="321"/>
      <c r="D1224" s="425"/>
      <c r="E1224" s="424"/>
      <c r="F1224" s="426"/>
      <c r="G1224" s="341"/>
      <c r="H1224" s="341"/>
      <c r="I1224" s="417"/>
      <c r="J1224" s="427"/>
      <c r="K1224" s="428"/>
      <c r="L1224" s="429"/>
      <c r="M1224" s="428"/>
      <c r="N1224" s="430"/>
      <c r="O1224" s="431"/>
      <c r="P1224" s="431"/>
      <c r="Q1224" s="300"/>
      <c r="R1224" s="341"/>
    </row>
    <row r="1225" ht="15.75" customHeight="1">
      <c r="A1225" s="361"/>
      <c r="B1225" s="330"/>
      <c r="C1225" s="321"/>
      <c r="D1225" s="425"/>
      <c r="E1225" s="424"/>
      <c r="F1225" s="426"/>
      <c r="G1225" s="341"/>
      <c r="H1225" s="341"/>
      <c r="I1225" s="417"/>
      <c r="J1225" s="427"/>
      <c r="K1225" s="428"/>
      <c r="L1225" s="429"/>
      <c r="M1225" s="428"/>
      <c r="N1225" s="430"/>
      <c r="O1225" s="431"/>
      <c r="P1225" s="431"/>
      <c r="Q1225" s="300"/>
      <c r="R1225" s="341"/>
    </row>
    <row r="1226" ht="15.75" customHeight="1">
      <c r="A1226" s="361"/>
      <c r="B1226" s="330"/>
      <c r="C1226" s="321"/>
      <c r="D1226" s="425"/>
      <c r="E1226" s="424"/>
      <c r="F1226" s="426"/>
      <c r="G1226" s="341"/>
      <c r="H1226" s="341"/>
      <c r="I1226" s="417"/>
      <c r="J1226" s="427"/>
      <c r="K1226" s="428"/>
      <c r="L1226" s="429"/>
      <c r="M1226" s="428"/>
      <c r="N1226" s="430"/>
      <c r="O1226" s="431"/>
      <c r="P1226" s="431"/>
      <c r="Q1226" s="300"/>
      <c r="R1226" s="341"/>
    </row>
    <row r="1227" ht="15.75" customHeight="1">
      <c r="A1227" s="361"/>
      <c r="B1227" s="330"/>
      <c r="C1227" s="321"/>
      <c r="D1227" s="425"/>
      <c r="E1227" s="424"/>
      <c r="F1227" s="426"/>
      <c r="G1227" s="341"/>
      <c r="H1227" s="341"/>
      <c r="I1227" s="417"/>
      <c r="J1227" s="427"/>
      <c r="K1227" s="428"/>
      <c r="L1227" s="429"/>
      <c r="M1227" s="428"/>
      <c r="N1227" s="430"/>
      <c r="O1227" s="431"/>
      <c r="P1227" s="431"/>
      <c r="Q1227" s="300"/>
      <c r="R1227" s="341"/>
    </row>
    <row r="1228" ht="15.75" customHeight="1">
      <c r="A1228" s="361"/>
      <c r="B1228" s="330"/>
      <c r="C1228" s="321"/>
      <c r="D1228" s="425"/>
      <c r="E1228" s="424"/>
      <c r="F1228" s="426"/>
      <c r="G1228" s="341"/>
      <c r="H1228" s="341"/>
      <c r="I1228" s="417"/>
      <c r="J1228" s="427"/>
      <c r="K1228" s="428"/>
      <c r="L1228" s="429"/>
      <c r="M1228" s="428"/>
      <c r="N1228" s="430"/>
      <c r="O1228" s="431"/>
      <c r="P1228" s="431"/>
      <c r="Q1228" s="300"/>
      <c r="R1228" s="341"/>
    </row>
    <row r="1229" ht="15.75" customHeight="1">
      <c r="A1229" s="361"/>
      <c r="B1229" s="330"/>
      <c r="C1229" s="321"/>
      <c r="D1229" s="425"/>
      <c r="E1229" s="424"/>
      <c r="F1229" s="426"/>
      <c r="G1229" s="341"/>
      <c r="H1229" s="341"/>
      <c r="I1229" s="417"/>
      <c r="J1229" s="427"/>
      <c r="K1229" s="428"/>
      <c r="L1229" s="429"/>
      <c r="M1229" s="428"/>
      <c r="N1229" s="430"/>
      <c r="O1229" s="431"/>
      <c r="P1229" s="431"/>
      <c r="Q1229" s="300"/>
      <c r="R1229" s="341"/>
    </row>
    <row r="1230" ht="15.75" customHeight="1">
      <c r="A1230" s="361"/>
      <c r="B1230" s="330"/>
      <c r="C1230" s="321"/>
      <c r="D1230" s="425"/>
      <c r="E1230" s="424"/>
      <c r="F1230" s="426"/>
      <c r="G1230" s="341"/>
      <c r="H1230" s="341"/>
      <c r="I1230" s="417"/>
      <c r="J1230" s="427"/>
      <c r="K1230" s="428"/>
      <c r="L1230" s="429"/>
      <c r="M1230" s="428"/>
      <c r="N1230" s="430"/>
      <c r="O1230" s="431"/>
      <c r="P1230" s="431"/>
      <c r="Q1230" s="300"/>
      <c r="R1230" s="341"/>
    </row>
    <row r="1231" ht="15.75" customHeight="1">
      <c r="A1231" s="361"/>
      <c r="B1231" s="330"/>
      <c r="C1231" s="321"/>
      <c r="D1231" s="425"/>
      <c r="E1231" s="424"/>
      <c r="F1231" s="426"/>
      <c r="G1231" s="341"/>
      <c r="H1231" s="341"/>
      <c r="I1231" s="417"/>
      <c r="J1231" s="427"/>
      <c r="K1231" s="428"/>
      <c r="L1231" s="429"/>
      <c r="M1231" s="428"/>
      <c r="N1231" s="430"/>
      <c r="O1231" s="431"/>
      <c r="P1231" s="431"/>
      <c r="Q1231" s="300"/>
      <c r="R1231" s="341"/>
    </row>
    <row r="1232" ht="15.75" customHeight="1">
      <c r="A1232" s="361"/>
      <c r="B1232" s="330"/>
      <c r="C1232" s="321"/>
      <c r="D1232" s="425"/>
      <c r="E1232" s="424"/>
      <c r="F1232" s="426"/>
      <c r="G1232" s="341"/>
      <c r="H1232" s="341"/>
      <c r="I1232" s="417"/>
      <c r="J1232" s="427"/>
      <c r="K1232" s="428"/>
      <c r="L1232" s="429"/>
      <c r="M1232" s="428"/>
      <c r="N1232" s="430"/>
      <c r="O1232" s="431"/>
      <c r="P1232" s="431"/>
      <c r="Q1232" s="300"/>
      <c r="R1232" s="341"/>
    </row>
    <row r="1233" ht="15.75" customHeight="1">
      <c r="A1233" s="361"/>
      <c r="B1233" s="330"/>
      <c r="C1233" s="321"/>
      <c r="D1233" s="425"/>
      <c r="E1233" s="424"/>
      <c r="F1233" s="426"/>
      <c r="G1233" s="341"/>
      <c r="H1233" s="341"/>
      <c r="I1233" s="417"/>
      <c r="J1233" s="427"/>
      <c r="K1233" s="428"/>
      <c r="L1233" s="429"/>
      <c r="M1233" s="428"/>
      <c r="N1233" s="430"/>
      <c r="O1233" s="431"/>
      <c r="P1233" s="431"/>
      <c r="Q1233" s="300"/>
      <c r="R1233" s="341"/>
    </row>
    <row r="1234" ht="15.75" customHeight="1">
      <c r="A1234" s="361"/>
      <c r="B1234" s="330"/>
      <c r="C1234" s="321"/>
      <c r="D1234" s="425"/>
      <c r="E1234" s="424"/>
      <c r="F1234" s="426"/>
      <c r="G1234" s="341"/>
      <c r="H1234" s="341"/>
      <c r="I1234" s="417"/>
      <c r="J1234" s="427"/>
      <c r="K1234" s="428"/>
      <c r="L1234" s="429"/>
      <c r="M1234" s="428"/>
      <c r="N1234" s="430"/>
      <c r="O1234" s="431"/>
      <c r="P1234" s="431"/>
      <c r="Q1234" s="300"/>
      <c r="R1234" s="341"/>
    </row>
    <row r="1235" ht="15.75" customHeight="1">
      <c r="A1235" s="361"/>
      <c r="B1235" s="330"/>
      <c r="C1235" s="321"/>
      <c r="D1235" s="425"/>
      <c r="E1235" s="424"/>
      <c r="F1235" s="426"/>
      <c r="G1235" s="341"/>
      <c r="H1235" s="341"/>
      <c r="I1235" s="417"/>
      <c r="J1235" s="427"/>
      <c r="K1235" s="428"/>
      <c r="L1235" s="429"/>
      <c r="M1235" s="428"/>
      <c r="N1235" s="430"/>
      <c r="O1235" s="431"/>
      <c r="P1235" s="431"/>
      <c r="Q1235" s="300"/>
      <c r="R1235" s="341"/>
    </row>
    <row r="1236" ht="15.75" customHeight="1">
      <c r="A1236" s="361"/>
      <c r="B1236" s="330"/>
      <c r="C1236" s="321"/>
      <c r="D1236" s="425"/>
      <c r="E1236" s="424"/>
      <c r="F1236" s="426"/>
      <c r="G1236" s="341"/>
      <c r="H1236" s="341"/>
      <c r="I1236" s="417"/>
      <c r="J1236" s="427"/>
      <c r="K1236" s="428"/>
      <c r="L1236" s="429"/>
      <c r="M1236" s="428"/>
      <c r="N1236" s="430"/>
      <c r="O1236" s="431"/>
      <c r="P1236" s="431"/>
      <c r="Q1236" s="300"/>
      <c r="R1236" s="341"/>
    </row>
    <row r="1237" ht="15.75" customHeight="1">
      <c r="A1237" s="361"/>
      <c r="B1237" s="330"/>
      <c r="C1237" s="321"/>
      <c r="D1237" s="425"/>
      <c r="E1237" s="424"/>
      <c r="F1237" s="426"/>
      <c r="G1237" s="341"/>
      <c r="H1237" s="341"/>
      <c r="I1237" s="417"/>
      <c r="J1237" s="427"/>
      <c r="K1237" s="428"/>
      <c r="L1237" s="429"/>
      <c r="M1237" s="428"/>
      <c r="N1237" s="430"/>
      <c r="O1237" s="431"/>
      <c r="P1237" s="431"/>
      <c r="Q1237" s="300"/>
      <c r="R1237" s="341"/>
    </row>
    <row r="1238" ht="15.75" customHeight="1">
      <c r="A1238" s="361"/>
      <c r="B1238" s="330"/>
      <c r="C1238" s="321"/>
      <c r="D1238" s="425"/>
      <c r="E1238" s="424"/>
      <c r="F1238" s="426"/>
      <c r="G1238" s="341"/>
      <c r="H1238" s="341"/>
      <c r="I1238" s="417"/>
      <c r="J1238" s="427"/>
      <c r="K1238" s="428"/>
      <c r="L1238" s="429"/>
      <c r="M1238" s="428"/>
      <c r="N1238" s="430"/>
      <c r="O1238" s="431"/>
      <c r="P1238" s="431"/>
      <c r="Q1238" s="300"/>
      <c r="R1238" s="341"/>
    </row>
    <row r="1239" ht="15.75" customHeight="1">
      <c r="A1239" s="361"/>
      <c r="B1239" s="330"/>
      <c r="C1239" s="321"/>
      <c r="D1239" s="425"/>
      <c r="E1239" s="424"/>
      <c r="F1239" s="426"/>
      <c r="G1239" s="341"/>
      <c r="H1239" s="341"/>
      <c r="I1239" s="417"/>
      <c r="J1239" s="427"/>
      <c r="K1239" s="428"/>
      <c r="L1239" s="429"/>
      <c r="M1239" s="428"/>
      <c r="N1239" s="430"/>
      <c r="O1239" s="431"/>
      <c r="P1239" s="431"/>
      <c r="Q1239" s="300"/>
      <c r="R1239" s="341"/>
    </row>
    <row r="1240" ht="15.75" customHeight="1">
      <c r="A1240" s="361"/>
      <c r="B1240" s="330"/>
      <c r="C1240" s="321"/>
      <c r="D1240" s="425"/>
      <c r="E1240" s="424"/>
      <c r="F1240" s="426"/>
      <c r="G1240" s="341"/>
      <c r="H1240" s="341"/>
      <c r="I1240" s="417"/>
      <c r="J1240" s="427"/>
      <c r="K1240" s="428"/>
      <c r="L1240" s="429"/>
      <c r="M1240" s="428"/>
      <c r="N1240" s="430"/>
      <c r="O1240" s="431"/>
      <c r="P1240" s="431"/>
      <c r="Q1240" s="300"/>
      <c r="R1240" s="341"/>
    </row>
    <row r="1241" ht="15.75" customHeight="1">
      <c r="A1241" s="361"/>
      <c r="B1241" s="330"/>
      <c r="C1241" s="321"/>
      <c r="D1241" s="425"/>
      <c r="E1241" s="424"/>
      <c r="F1241" s="426"/>
      <c r="G1241" s="341"/>
      <c r="H1241" s="341"/>
      <c r="I1241" s="417"/>
      <c r="J1241" s="427"/>
      <c r="K1241" s="428"/>
      <c r="L1241" s="429"/>
      <c r="M1241" s="428"/>
      <c r="N1241" s="430"/>
      <c r="O1241" s="431"/>
      <c r="P1241" s="431"/>
      <c r="Q1241" s="300"/>
      <c r="R1241" s="341"/>
    </row>
    <row r="1242" ht="15.75" customHeight="1">
      <c r="A1242" s="361"/>
      <c r="B1242" s="330"/>
      <c r="C1242" s="321"/>
      <c r="D1242" s="425"/>
      <c r="E1242" s="424"/>
      <c r="F1242" s="426"/>
      <c r="G1242" s="341"/>
      <c r="H1242" s="341"/>
      <c r="I1242" s="417"/>
      <c r="J1242" s="427"/>
      <c r="K1242" s="428"/>
      <c r="L1242" s="429"/>
      <c r="M1242" s="428"/>
      <c r="N1242" s="430"/>
      <c r="O1242" s="431"/>
      <c r="P1242" s="431"/>
      <c r="Q1242" s="300"/>
      <c r="R1242" s="341"/>
    </row>
    <row r="1243" ht="15.75" customHeight="1">
      <c r="A1243" s="361"/>
      <c r="B1243" s="330"/>
      <c r="C1243" s="321"/>
      <c r="D1243" s="425"/>
      <c r="E1243" s="424"/>
      <c r="F1243" s="426"/>
      <c r="G1243" s="341"/>
      <c r="H1243" s="341"/>
      <c r="I1243" s="417"/>
      <c r="J1243" s="427"/>
      <c r="K1243" s="428"/>
      <c r="L1243" s="429"/>
      <c r="M1243" s="428"/>
      <c r="N1243" s="430"/>
      <c r="O1243" s="431"/>
      <c r="P1243" s="431"/>
      <c r="Q1243" s="300"/>
      <c r="R1243" s="341"/>
    </row>
    <row r="1244" ht="15.75" customHeight="1">
      <c r="A1244" s="361"/>
      <c r="B1244" s="330"/>
      <c r="C1244" s="321"/>
      <c r="D1244" s="425"/>
      <c r="E1244" s="424"/>
      <c r="F1244" s="426"/>
      <c r="G1244" s="341"/>
      <c r="H1244" s="341"/>
      <c r="I1244" s="417"/>
      <c r="J1244" s="427"/>
      <c r="K1244" s="428"/>
      <c r="L1244" s="429"/>
      <c r="M1244" s="428"/>
      <c r="N1244" s="430"/>
      <c r="O1244" s="431"/>
      <c r="P1244" s="431"/>
      <c r="Q1244" s="300"/>
      <c r="R1244" s="341"/>
    </row>
    <row r="1245" ht="15.75" customHeight="1">
      <c r="A1245" s="361"/>
      <c r="B1245" s="330"/>
      <c r="C1245" s="321"/>
      <c r="D1245" s="425"/>
      <c r="E1245" s="424"/>
      <c r="F1245" s="426"/>
      <c r="G1245" s="341"/>
      <c r="H1245" s="341"/>
      <c r="I1245" s="417"/>
      <c r="J1245" s="427"/>
      <c r="K1245" s="428"/>
      <c r="L1245" s="429"/>
      <c r="M1245" s="428"/>
      <c r="N1245" s="430"/>
      <c r="O1245" s="431"/>
      <c r="P1245" s="431"/>
      <c r="Q1245" s="300"/>
      <c r="R1245" s="341"/>
    </row>
    <row r="1246" ht="15.75" customHeight="1">
      <c r="A1246" s="361"/>
      <c r="B1246" s="330"/>
      <c r="C1246" s="321"/>
      <c r="D1246" s="425"/>
      <c r="E1246" s="424"/>
      <c r="F1246" s="426"/>
      <c r="G1246" s="341"/>
      <c r="H1246" s="341"/>
      <c r="I1246" s="417"/>
      <c r="J1246" s="427"/>
      <c r="K1246" s="428"/>
      <c r="L1246" s="429"/>
      <c r="M1246" s="428"/>
      <c r="N1246" s="430"/>
      <c r="O1246" s="431"/>
      <c r="P1246" s="431"/>
      <c r="Q1246" s="300"/>
      <c r="R1246" s="341"/>
    </row>
    <row r="1247" ht="15.75" customHeight="1">
      <c r="A1247" s="361"/>
      <c r="B1247" s="330"/>
      <c r="C1247" s="321"/>
      <c r="D1247" s="425"/>
      <c r="E1247" s="424"/>
      <c r="F1247" s="426"/>
      <c r="G1247" s="341"/>
      <c r="H1247" s="341"/>
      <c r="I1247" s="417"/>
      <c r="J1247" s="427"/>
      <c r="K1247" s="428"/>
      <c r="L1247" s="429"/>
      <c r="M1247" s="428"/>
      <c r="N1247" s="430"/>
      <c r="O1247" s="431"/>
      <c r="P1247" s="431"/>
      <c r="Q1247" s="300"/>
      <c r="R1247" s="341"/>
    </row>
    <row r="1248" ht="15.75" customHeight="1">
      <c r="A1248" s="361"/>
      <c r="B1248" s="330"/>
      <c r="C1248" s="321"/>
      <c r="D1248" s="425"/>
      <c r="E1248" s="424"/>
      <c r="F1248" s="426"/>
      <c r="G1248" s="341"/>
      <c r="H1248" s="341"/>
      <c r="I1248" s="417"/>
      <c r="J1248" s="427"/>
      <c r="K1248" s="428"/>
      <c r="L1248" s="429"/>
      <c r="M1248" s="428"/>
      <c r="N1248" s="430"/>
      <c r="O1248" s="431"/>
      <c r="P1248" s="431"/>
      <c r="Q1248" s="300"/>
      <c r="R1248" s="341"/>
    </row>
    <row r="1249" ht="15.75" customHeight="1">
      <c r="A1249" s="361"/>
      <c r="B1249" s="330"/>
      <c r="C1249" s="321"/>
      <c r="D1249" s="425"/>
      <c r="E1249" s="424"/>
      <c r="F1249" s="426"/>
      <c r="G1249" s="341"/>
      <c r="H1249" s="341"/>
      <c r="I1249" s="417"/>
      <c r="J1249" s="427"/>
      <c r="K1249" s="428"/>
      <c r="L1249" s="429"/>
      <c r="M1249" s="428"/>
      <c r="N1249" s="430"/>
      <c r="O1249" s="431"/>
      <c r="P1249" s="431"/>
      <c r="Q1249" s="300"/>
      <c r="R1249" s="341"/>
    </row>
    <row r="1250" ht="15.75" customHeight="1">
      <c r="A1250" s="361"/>
      <c r="B1250" s="330"/>
      <c r="C1250" s="321"/>
      <c r="D1250" s="425"/>
      <c r="E1250" s="424"/>
      <c r="F1250" s="426"/>
      <c r="G1250" s="341"/>
      <c r="H1250" s="341"/>
      <c r="I1250" s="417"/>
      <c r="J1250" s="427"/>
      <c r="K1250" s="428"/>
      <c r="L1250" s="429"/>
      <c r="M1250" s="428"/>
      <c r="N1250" s="430"/>
      <c r="O1250" s="431"/>
      <c r="P1250" s="431"/>
      <c r="Q1250" s="300"/>
      <c r="R1250" s="341"/>
    </row>
    <row r="1251" ht="15.75" customHeight="1">
      <c r="A1251" s="361"/>
      <c r="B1251" s="330"/>
      <c r="C1251" s="321"/>
      <c r="D1251" s="425"/>
      <c r="E1251" s="424"/>
      <c r="F1251" s="426"/>
      <c r="G1251" s="341"/>
      <c r="H1251" s="341"/>
      <c r="I1251" s="417"/>
      <c r="J1251" s="427"/>
      <c r="K1251" s="428"/>
      <c r="L1251" s="429"/>
      <c r="M1251" s="428"/>
      <c r="N1251" s="430"/>
      <c r="O1251" s="431"/>
      <c r="P1251" s="431"/>
      <c r="Q1251" s="300"/>
      <c r="R1251" s="341"/>
    </row>
    <row r="1252" ht="15.75" customHeight="1">
      <c r="A1252" s="361"/>
      <c r="B1252" s="330"/>
      <c r="C1252" s="321"/>
      <c r="D1252" s="425"/>
      <c r="E1252" s="424"/>
      <c r="F1252" s="426"/>
      <c r="G1252" s="341"/>
      <c r="H1252" s="341"/>
      <c r="I1252" s="417"/>
      <c r="J1252" s="427"/>
      <c r="K1252" s="428"/>
      <c r="L1252" s="429"/>
      <c r="M1252" s="428"/>
      <c r="N1252" s="430"/>
      <c r="O1252" s="431"/>
      <c r="P1252" s="431"/>
      <c r="Q1252" s="300"/>
      <c r="R1252" s="341"/>
    </row>
    <row r="1253" ht="15.75" customHeight="1">
      <c r="A1253" s="361"/>
      <c r="B1253" s="330"/>
      <c r="C1253" s="321"/>
      <c r="D1253" s="425"/>
      <c r="E1253" s="424"/>
      <c r="F1253" s="426"/>
      <c r="G1253" s="341"/>
      <c r="H1253" s="341"/>
      <c r="I1253" s="417"/>
      <c r="J1253" s="427"/>
      <c r="K1253" s="428"/>
      <c r="L1253" s="429"/>
      <c r="M1253" s="428"/>
      <c r="N1253" s="430"/>
      <c r="O1253" s="431"/>
      <c r="P1253" s="431"/>
      <c r="Q1253" s="300"/>
      <c r="R1253" s="341"/>
    </row>
    <row r="1254" ht="15.75" customHeight="1">
      <c r="A1254" s="361"/>
      <c r="B1254" s="330"/>
      <c r="C1254" s="321"/>
      <c r="D1254" s="425"/>
      <c r="E1254" s="424"/>
      <c r="F1254" s="426"/>
      <c r="G1254" s="341"/>
      <c r="H1254" s="341"/>
      <c r="I1254" s="417"/>
      <c r="J1254" s="427"/>
      <c r="K1254" s="428"/>
      <c r="L1254" s="429"/>
      <c r="M1254" s="428"/>
      <c r="N1254" s="430"/>
      <c r="O1254" s="431"/>
      <c r="P1254" s="431"/>
      <c r="Q1254" s="300"/>
      <c r="R1254" s="341"/>
    </row>
    <row r="1255" ht="15.75" customHeight="1">
      <c r="A1255" s="361"/>
      <c r="B1255" s="330"/>
      <c r="C1255" s="321"/>
      <c r="D1255" s="425"/>
      <c r="E1255" s="424"/>
      <c r="F1255" s="426"/>
      <c r="G1255" s="341"/>
      <c r="H1255" s="341"/>
      <c r="I1255" s="417"/>
      <c r="J1255" s="427"/>
      <c r="K1255" s="428"/>
      <c r="L1255" s="429"/>
      <c r="M1255" s="428"/>
      <c r="N1255" s="430"/>
      <c r="O1255" s="431"/>
      <c r="P1255" s="431"/>
      <c r="Q1255" s="300"/>
      <c r="R1255" s="341"/>
    </row>
    <row r="1256" ht="15.75" customHeight="1">
      <c r="A1256" s="361"/>
      <c r="B1256" s="330"/>
      <c r="C1256" s="321"/>
      <c r="D1256" s="425"/>
      <c r="E1256" s="424"/>
      <c r="F1256" s="426"/>
      <c r="G1256" s="341"/>
      <c r="H1256" s="341"/>
      <c r="I1256" s="417"/>
      <c r="J1256" s="427"/>
      <c r="K1256" s="428"/>
      <c r="L1256" s="429"/>
      <c r="M1256" s="428"/>
      <c r="N1256" s="430"/>
      <c r="O1256" s="431"/>
      <c r="P1256" s="431"/>
      <c r="Q1256" s="300"/>
      <c r="R1256" s="341"/>
    </row>
    <row r="1257" ht="15.75" customHeight="1">
      <c r="A1257" s="361"/>
      <c r="B1257" s="330"/>
      <c r="C1257" s="321"/>
      <c r="D1257" s="425"/>
      <c r="E1257" s="424"/>
      <c r="F1257" s="426"/>
      <c r="G1257" s="341"/>
      <c r="H1257" s="341"/>
      <c r="I1257" s="417"/>
      <c r="J1257" s="427"/>
      <c r="K1257" s="428"/>
      <c r="L1257" s="429"/>
      <c r="M1257" s="428"/>
      <c r="N1257" s="430"/>
      <c r="O1257" s="431"/>
      <c r="P1257" s="431"/>
      <c r="Q1257" s="300"/>
      <c r="R1257" s="341"/>
    </row>
    <row r="1258" ht="15.75" customHeight="1">
      <c r="A1258" s="361"/>
      <c r="B1258" s="330"/>
      <c r="C1258" s="321"/>
      <c r="D1258" s="425"/>
      <c r="E1258" s="424"/>
      <c r="F1258" s="426"/>
      <c r="G1258" s="341"/>
      <c r="H1258" s="341"/>
      <c r="I1258" s="417"/>
      <c r="J1258" s="427"/>
      <c r="K1258" s="428"/>
      <c r="L1258" s="429"/>
      <c r="M1258" s="428"/>
      <c r="N1258" s="430"/>
      <c r="O1258" s="431"/>
      <c r="P1258" s="431"/>
      <c r="Q1258" s="300"/>
      <c r="R1258" s="341"/>
    </row>
    <row r="1259" ht="15.75" customHeight="1">
      <c r="A1259" s="361"/>
      <c r="B1259" s="330"/>
      <c r="C1259" s="321"/>
      <c r="D1259" s="425"/>
      <c r="E1259" s="424"/>
      <c r="F1259" s="426"/>
      <c r="G1259" s="341"/>
      <c r="H1259" s="341"/>
      <c r="I1259" s="417"/>
      <c r="J1259" s="427"/>
      <c r="K1259" s="428"/>
      <c r="L1259" s="429"/>
      <c r="M1259" s="428"/>
      <c r="N1259" s="430"/>
      <c r="O1259" s="431"/>
      <c r="P1259" s="431"/>
      <c r="Q1259" s="300"/>
      <c r="R1259" s="341"/>
    </row>
    <row r="1260" ht="15.75" customHeight="1">
      <c r="A1260" s="361"/>
      <c r="B1260" s="330"/>
      <c r="C1260" s="321"/>
      <c r="D1260" s="425"/>
      <c r="E1260" s="424"/>
      <c r="F1260" s="426"/>
      <c r="G1260" s="341"/>
      <c r="H1260" s="341"/>
      <c r="I1260" s="417"/>
      <c r="J1260" s="427"/>
      <c r="K1260" s="428"/>
      <c r="L1260" s="429"/>
      <c r="M1260" s="428"/>
      <c r="N1260" s="430"/>
      <c r="O1260" s="431"/>
      <c r="P1260" s="431"/>
      <c r="Q1260" s="300"/>
      <c r="R1260" s="341"/>
    </row>
    <row r="1261" ht="15.75" customHeight="1">
      <c r="A1261" s="361"/>
      <c r="B1261" s="330"/>
      <c r="C1261" s="321"/>
      <c r="D1261" s="425"/>
      <c r="E1261" s="424"/>
      <c r="F1261" s="426"/>
      <c r="G1261" s="341"/>
      <c r="H1261" s="341"/>
      <c r="I1261" s="417"/>
      <c r="J1261" s="427"/>
      <c r="K1261" s="428"/>
      <c r="L1261" s="429"/>
      <c r="M1261" s="428"/>
      <c r="N1261" s="430"/>
      <c r="O1261" s="431"/>
      <c r="P1261" s="431"/>
      <c r="Q1261" s="300"/>
      <c r="R1261" s="341"/>
    </row>
    <row r="1262" ht="15.75" customHeight="1">
      <c r="A1262" s="361"/>
      <c r="B1262" s="330"/>
      <c r="C1262" s="321"/>
      <c r="D1262" s="425"/>
      <c r="E1262" s="424"/>
      <c r="F1262" s="426"/>
      <c r="G1262" s="341"/>
      <c r="H1262" s="341"/>
      <c r="I1262" s="417"/>
      <c r="J1262" s="427"/>
      <c r="K1262" s="428"/>
      <c r="L1262" s="429"/>
      <c r="M1262" s="428"/>
      <c r="N1262" s="430"/>
      <c r="O1262" s="431"/>
      <c r="P1262" s="431"/>
      <c r="Q1262" s="300"/>
      <c r="R1262" s="341"/>
    </row>
    <row r="1263" ht="15.75" customHeight="1">
      <c r="A1263" s="361"/>
      <c r="B1263" s="330"/>
      <c r="C1263" s="321"/>
      <c r="D1263" s="425"/>
      <c r="E1263" s="424"/>
      <c r="F1263" s="426"/>
      <c r="G1263" s="341"/>
      <c r="H1263" s="341"/>
      <c r="I1263" s="417"/>
      <c r="J1263" s="427"/>
      <c r="K1263" s="428"/>
      <c r="L1263" s="429"/>
      <c r="M1263" s="428"/>
      <c r="N1263" s="430"/>
      <c r="O1263" s="431"/>
      <c r="P1263" s="431"/>
      <c r="Q1263" s="300"/>
      <c r="R1263" s="341"/>
    </row>
    <row r="1264" ht="15.75" customHeight="1">
      <c r="A1264" s="361"/>
      <c r="B1264" s="330"/>
      <c r="C1264" s="321"/>
      <c r="D1264" s="425"/>
      <c r="E1264" s="424"/>
      <c r="F1264" s="426"/>
      <c r="G1264" s="341"/>
      <c r="H1264" s="341"/>
      <c r="I1264" s="417"/>
      <c r="J1264" s="427"/>
      <c r="K1264" s="428"/>
      <c r="L1264" s="429"/>
      <c r="M1264" s="428"/>
      <c r="N1264" s="430"/>
      <c r="O1264" s="431"/>
      <c r="P1264" s="431"/>
      <c r="Q1264" s="300"/>
      <c r="R1264" s="341"/>
    </row>
    <row r="1265" ht="15.75" customHeight="1">
      <c r="A1265" s="361"/>
      <c r="B1265" s="330"/>
      <c r="C1265" s="321"/>
      <c r="D1265" s="425"/>
      <c r="E1265" s="424"/>
      <c r="F1265" s="426"/>
      <c r="G1265" s="341"/>
      <c r="H1265" s="341"/>
      <c r="I1265" s="417"/>
      <c r="J1265" s="427"/>
      <c r="K1265" s="428"/>
      <c r="L1265" s="429"/>
      <c r="M1265" s="428"/>
      <c r="N1265" s="430"/>
      <c r="O1265" s="431"/>
      <c r="P1265" s="431"/>
      <c r="Q1265" s="300"/>
      <c r="R1265" s="341"/>
    </row>
    <row r="1266" ht="15.75" customHeight="1">
      <c r="A1266" s="361"/>
      <c r="B1266" s="330"/>
      <c r="C1266" s="321"/>
      <c r="D1266" s="425"/>
      <c r="E1266" s="424"/>
      <c r="F1266" s="426"/>
      <c r="G1266" s="341"/>
      <c r="H1266" s="341"/>
      <c r="I1266" s="417"/>
      <c r="J1266" s="427"/>
      <c r="K1266" s="428"/>
      <c r="L1266" s="429"/>
      <c r="M1266" s="428"/>
      <c r="N1266" s="430"/>
      <c r="O1266" s="431"/>
      <c r="P1266" s="431"/>
      <c r="Q1266" s="300"/>
      <c r="R1266" s="341"/>
    </row>
    <row r="1267" ht="15.75" customHeight="1">
      <c r="A1267" s="361"/>
      <c r="B1267" s="330"/>
      <c r="C1267" s="321"/>
      <c r="D1267" s="425"/>
      <c r="E1267" s="424"/>
      <c r="F1267" s="426"/>
      <c r="G1267" s="341"/>
      <c r="H1267" s="341"/>
      <c r="I1267" s="417"/>
      <c r="J1267" s="427"/>
      <c r="K1267" s="428"/>
      <c r="L1267" s="429"/>
      <c r="M1267" s="428"/>
      <c r="N1267" s="430"/>
      <c r="O1267" s="431"/>
      <c r="P1267" s="431"/>
      <c r="Q1267" s="300"/>
      <c r="R1267" s="341"/>
    </row>
    <row r="1268" ht="15.75" customHeight="1">
      <c r="A1268" s="361"/>
      <c r="B1268" s="330"/>
      <c r="C1268" s="321"/>
      <c r="D1268" s="425"/>
      <c r="E1268" s="424"/>
      <c r="F1268" s="426"/>
      <c r="G1268" s="341"/>
      <c r="H1268" s="341"/>
      <c r="I1268" s="417"/>
      <c r="J1268" s="427"/>
      <c r="K1268" s="428"/>
      <c r="L1268" s="429"/>
      <c r="M1268" s="428"/>
      <c r="N1268" s="430"/>
      <c r="O1268" s="431"/>
      <c r="P1268" s="431"/>
      <c r="Q1268" s="300"/>
      <c r="R1268" s="341"/>
    </row>
    <row r="1269" ht="15.75" customHeight="1">
      <c r="A1269" s="361"/>
      <c r="B1269" s="330"/>
      <c r="C1269" s="321"/>
      <c r="D1269" s="425"/>
      <c r="E1269" s="424"/>
      <c r="F1269" s="426"/>
      <c r="G1269" s="341"/>
      <c r="H1269" s="341"/>
      <c r="I1269" s="417"/>
      <c r="J1269" s="427"/>
      <c r="K1269" s="428"/>
      <c r="L1269" s="429"/>
      <c r="M1269" s="428"/>
      <c r="N1269" s="430"/>
      <c r="O1269" s="431"/>
      <c r="P1269" s="431"/>
      <c r="Q1269" s="300"/>
      <c r="R1269" s="341"/>
    </row>
    <row r="1270" ht="15.75" customHeight="1">
      <c r="A1270" s="361"/>
      <c r="B1270" s="330"/>
      <c r="C1270" s="321"/>
      <c r="D1270" s="425"/>
      <c r="E1270" s="424"/>
      <c r="F1270" s="426"/>
      <c r="G1270" s="341"/>
      <c r="H1270" s="341"/>
      <c r="I1270" s="417"/>
      <c r="J1270" s="427"/>
      <c r="K1270" s="428"/>
      <c r="L1270" s="429"/>
      <c r="M1270" s="428"/>
      <c r="N1270" s="430"/>
      <c r="O1270" s="431"/>
      <c r="P1270" s="431"/>
      <c r="Q1270" s="300"/>
      <c r="R1270" s="341"/>
    </row>
    <row r="1271" ht="15.75" customHeight="1">
      <c r="A1271" s="361"/>
      <c r="B1271" s="330"/>
      <c r="C1271" s="321"/>
      <c r="D1271" s="425"/>
      <c r="E1271" s="424"/>
      <c r="F1271" s="426"/>
      <c r="G1271" s="341"/>
      <c r="H1271" s="341"/>
      <c r="I1271" s="417"/>
      <c r="J1271" s="427"/>
      <c r="K1271" s="428"/>
      <c r="L1271" s="429"/>
      <c r="M1271" s="428"/>
      <c r="N1271" s="430"/>
      <c r="O1271" s="431"/>
      <c r="P1271" s="431"/>
      <c r="Q1271" s="300"/>
      <c r="R1271" s="341"/>
    </row>
    <row r="1272" ht="15.75" customHeight="1">
      <c r="A1272" s="361"/>
      <c r="B1272" s="330"/>
      <c r="C1272" s="321"/>
      <c r="D1272" s="425"/>
      <c r="E1272" s="424"/>
      <c r="F1272" s="426"/>
      <c r="G1272" s="341"/>
      <c r="H1272" s="341"/>
      <c r="I1272" s="417"/>
      <c r="J1272" s="427"/>
      <c r="K1272" s="428"/>
      <c r="L1272" s="429"/>
      <c r="M1272" s="428"/>
      <c r="N1272" s="430"/>
      <c r="O1272" s="431"/>
      <c r="P1272" s="431"/>
      <c r="Q1272" s="300"/>
      <c r="R1272" s="341"/>
    </row>
    <row r="1273" ht="15.75" customHeight="1">
      <c r="A1273" s="361"/>
      <c r="B1273" s="330"/>
      <c r="C1273" s="321"/>
      <c r="D1273" s="425"/>
      <c r="E1273" s="424"/>
      <c r="F1273" s="426"/>
      <c r="G1273" s="341"/>
      <c r="H1273" s="341"/>
      <c r="I1273" s="417"/>
      <c r="J1273" s="427"/>
      <c r="K1273" s="428"/>
      <c r="L1273" s="429"/>
      <c r="M1273" s="428"/>
      <c r="N1273" s="430"/>
      <c r="O1273" s="431"/>
      <c r="P1273" s="431"/>
      <c r="Q1273" s="300"/>
      <c r="R1273" s="341"/>
    </row>
    <row r="1274" ht="15.75" customHeight="1">
      <c r="A1274" s="361"/>
      <c r="B1274" s="330"/>
      <c r="C1274" s="321"/>
      <c r="D1274" s="425"/>
      <c r="E1274" s="424"/>
      <c r="F1274" s="426"/>
      <c r="G1274" s="341"/>
      <c r="H1274" s="341"/>
      <c r="I1274" s="417"/>
      <c r="J1274" s="427"/>
      <c r="K1274" s="428"/>
      <c r="L1274" s="429"/>
      <c r="M1274" s="428"/>
      <c r="N1274" s="430"/>
      <c r="O1274" s="431"/>
      <c r="P1274" s="431"/>
      <c r="Q1274" s="300"/>
      <c r="R1274" s="341"/>
    </row>
    <row r="1275" ht="15.75" customHeight="1">
      <c r="A1275" s="361"/>
      <c r="B1275" s="330"/>
      <c r="C1275" s="321"/>
      <c r="D1275" s="425"/>
      <c r="E1275" s="424"/>
      <c r="F1275" s="426"/>
      <c r="G1275" s="341"/>
      <c r="H1275" s="341"/>
      <c r="I1275" s="417"/>
      <c r="J1275" s="427"/>
      <c r="K1275" s="428"/>
      <c r="L1275" s="429"/>
      <c r="M1275" s="428"/>
      <c r="N1275" s="430"/>
      <c r="O1275" s="431"/>
      <c r="P1275" s="431"/>
      <c r="Q1275" s="300"/>
      <c r="R1275" s="341"/>
    </row>
    <row r="1276" ht="15.75" customHeight="1">
      <c r="A1276" s="361"/>
      <c r="B1276" s="330"/>
      <c r="C1276" s="321"/>
      <c r="D1276" s="425"/>
      <c r="E1276" s="424"/>
      <c r="F1276" s="426"/>
      <c r="G1276" s="341"/>
      <c r="H1276" s="341"/>
      <c r="I1276" s="417"/>
      <c r="J1276" s="427"/>
      <c r="K1276" s="428"/>
      <c r="L1276" s="429"/>
      <c r="M1276" s="428"/>
      <c r="N1276" s="430"/>
      <c r="O1276" s="431"/>
      <c r="P1276" s="431"/>
      <c r="Q1276" s="300"/>
      <c r="R1276" s="341"/>
    </row>
    <row r="1277" ht="15.75" customHeight="1">
      <c r="A1277" s="361"/>
      <c r="B1277" s="330"/>
      <c r="C1277" s="321"/>
      <c r="D1277" s="425"/>
      <c r="E1277" s="424"/>
      <c r="F1277" s="426"/>
      <c r="G1277" s="341"/>
      <c r="H1277" s="341"/>
      <c r="I1277" s="417"/>
      <c r="J1277" s="427"/>
      <c r="K1277" s="428"/>
      <c r="L1277" s="429"/>
      <c r="M1277" s="428"/>
      <c r="N1277" s="430"/>
      <c r="O1277" s="431"/>
      <c r="P1277" s="431"/>
      <c r="Q1277" s="300"/>
      <c r="R1277" s="341"/>
    </row>
    <row r="1278" ht="15.75" customHeight="1">
      <c r="A1278" s="361"/>
      <c r="B1278" s="330"/>
      <c r="C1278" s="321"/>
      <c r="D1278" s="425"/>
      <c r="E1278" s="424"/>
      <c r="F1278" s="426"/>
      <c r="G1278" s="341"/>
      <c r="H1278" s="341"/>
      <c r="I1278" s="417"/>
      <c r="J1278" s="427"/>
      <c r="K1278" s="428"/>
      <c r="L1278" s="429"/>
      <c r="M1278" s="428"/>
      <c r="N1278" s="430"/>
      <c r="O1278" s="431"/>
      <c r="P1278" s="431"/>
      <c r="Q1278" s="300"/>
      <c r="R1278" s="341"/>
    </row>
    <row r="1279" ht="15.75" customHeight="1">
      <c r="A1279" s="361"/>
      <c r="B1279" s="330"/>
      <c r="C1279" s="321"/>
      <c r="D1279" s="425"/>
      <c r="E1279" s="424"/>
      <c r="F1279" s="426"/>
      <c r="G1279" s="341"/>
      <c r="H1279" s="341"/>
      <c r="I1279" s="417"/>
      <c r="J1279" s="427"/>
      <c r="K1279" s="428"/>
      <c r="L1279" s="429"/>
      <c r="M1279" s="428"/>
      <c r="N1279" s="430"/>
      <c r="O1279" s="431"/>
      <c r="P1279" s="431"/>
      <c r="Q1279" s="300"/>
      <c r="R1279" s="341"/>
    </row>
    <row r="1280" ht="15.75" customHeight="1">
      <c r="A1280" s="361"/>
      <c r="B1280" s="330"/>
      <c r="C1280" s="321"/>
      <c r="D1280" s="425"/>
      <c r="E1280" s="424"/>
      <c r="F1280" s="426"/>
      <c r="G1280" s="341"/>
      <c r="H1280" s="341"/>
      <c r="I1280" s="417"/>
      <c r="J1280" s="427"/>
      <c r="K1280" s="428"/>
      <c r="L1280" s="429"/>
      <c r="M1280" s="428"/>
      <c r="N1280" s="430"/>
      <c r="O1280" s="431"/>
      <c r="P1280" s="431"/>
      <c r="Q1280" s="300"/>
      <c r="R1280" s="341"/>
    </row>
    <row r="1281" ht="15.75" customHeight="1">
      <c r="A1281" s="361"/>
      <c r="B1281" s="330"/>
      <c r="C1281" s="321"/>
      <c r="D1281" s="425"/>
      <c r="E1281" s="424"/>
      <c r="F1281" s="426"/>
      <c r="G1281" s="341"/>
      <c r="H1281" s="341"/>
      <c r="I1281" s="417"/>
      <c r="J1281" s="427"/>
      <c r="K1281" s="428"/>
      <c r="L1281" s="429"/>
      <c r="M1281" s="428"/>
      <c r="N1281" s="430"/>
      <c r="O1281" s="431"/>
      <c r="P1281" s="431"/>
      <c r="Q1281" s="300"/>
      <c r="R1281" s="341"/>
    </row>
    <row r="1282" ht="15.75" customHeight="1">
      <c r="A1282" s="361"/>
      <c r="B1282" s="330"/>
      <c r="C1282" s="321"/>
      <c r="D1282" s="425"/>
      <c r="E1282" s="424"/>
      <c r="F1282" s="426"/>
      <c r="G1282" s="341"/>
      <c r="H1282" s="341"/>
      <c r="I1282" s="417"/>
      <c r="J1282" s="427"/>
      <c r="K1282" s="428"/>
      <c r="L1282" s="429"/>
      <c r="M1282" s="428"/>
      <c r="N1282" s="430"/>
      <c r="O1282" s="431"/>
      <c r="P1282" s="431"/>
      <c r="Q1282" s="300"/>
      <c r="R1282" s="341"/>
    </row>
    <row r="1283" ht="15.75" customHeight="1">
      <c r="A1283" s="361"/>
      <c r="B1283" s="330"/>
      <c r="C1283" s="321"/>
      <c r="D1283" s="425"/>
      <c r="E1283" s="424"/>
      <c r="F1283" s="426"/>
      <c r="G1283" s="341"/>
      <c r="H1283" s="341"/>
      <c r="I1283" s="417"/>
      <c r="J1283" s="427"/>
      <c r="K1283" s="428"/>
      <c r="L1283" s="429"/>
      <c r="M1283" s="428"/>
      <c r="N1283" s="430"/>
      <c r="O1283" s="431"/>
      <c r="P1283" s="431"/>
      <c r="Q1283" s="300"/>
      <c r="R1283" s="341"/>
    </row>
    <row r="1284" ht="15.75" customHeight="1">
      <c r="A1284" s="361"/>
      <c r="B1284" s="330"/>
      <c r="C1284" s="321"/>
      <c r="D1284" s="425"/>
      <c r="E1284" s="424"/>
      <c r="F1284" s="426"/>
      <c r="G1284" s="341"/>
      <c r="H1284" s="341"/>
      <c r="I1284" s="417"/>
      <c r="J1284" s="427"/>
      <c r="K1284" s="428"/>
      <c r="L1284" s="429"/>
      <c r="M1284" s="428"/>
      <c r="N1284" s="430"/>
      <c r="O1284" s="431"/>
      <c r="P1284" s="431"/>
      <c r="Q1284" s="300"/>
      <c r="R1284" s="341"/>
    </row>
    <row r="1285" ht="15.75" customHeight="1">
      <c r="A1285" s="361"/>
      <c r="B1285" s="330"/>
      <c r="C1285" s="321"/>
      <c r="D1285" s="425"/>
      <c r="E1285" s="424"/>
      <c r="F1285" s="426"/>
      <c r="G1285" s="341"/>
      <c r="H1285" s="341"/>
      <c r="I1285" s="417"/>
      <c r="J1285" s="427"/>
      <c r="K1285" s="428"/>
      <c r="L1285" s="429"/>
      <c r="M1285" s="428"/>
      <c r="N1285" s="430"/>
      <c r="O1285" s="431"/>
      <c r="P1285" s="431"/>
      <c r="Q1285" s="300"/>
      <c r="R1285" s="341"/>
    </row>
    <row r="1286" ht="15.75" customHeight="1">
      <c r="A1286" s="361"/>
      <c r="B1286" s="330"/>
      <c r="C1286" s="321"/>
      <c r="D1286" s="425"/>
      <c r="E1286" s="424"/>
      <c r="F1286" s="426"/>
      <c r="G1286" s="341"/>
      <c r="H1286" s="341"/>
      <c r="I1286" s="417"/>
      <c r="J1286" s="427"/>
      <c r="K1286" s="428"/>
      <c r="L1286" s="429"/>
      <c r="M1286" s="428"/>
      <c r="N1286" s="430"/>
      <c r="O1286" s="431"/>
      <c r="P1286" s="431"/>
      <c r="Q1286" s="300"/>
      <c r="R1286" s="341"/>
    </row>
    <row r="1287" ht="15.75" customHeight="1">
      <c r="A1287" s="361"/>
      <c r="B1287" s="330"/>
      <c r="C1287" s="321"/>
      <c r="D1287" s="425"/>
      <c r="E1287" s="424"/>
      <c r="F1287" s="426"/>
      <c r="G1287" s="341"/>
      <c r="H1287" s="341"/>
      <c r="I1287" s="417"/>
      <c r="J1287" s="427"/>
      <c r="K1287" s="428"/>
      <c r="L1287" s="429"/>
      <c r="M1287" s="428"/>
      <c r="N1287" s="430"/>
      <c r="O1287" s="431"/>
      <c r="P1287" s="431"/>
      <c r="Q1287" s="300"/>
      <c r="R1287" s="341"/>
    </row>
    <row r="1288" ht="15.75" customHeight="1">
      <c r="A1288" s="361"/>
      <c r="B1288" s="330"/>
      <c r="C1288" s="321"/>
      <c r="D1288" s="425"/>
      <c r="E1288" s="424"/>
      <c r="F1288" s="426"/>
      <c r="G1288" s="341"/>
      <c r="H1288" s="341"/>
      <c r="I1288" s="417"/>
      <c r="J1288" s="427"/>
      <c r="K1288" s="428"/>
      <c r="L1288" s="429"/>
      <c r="M1288" s="428"/>
      <c r="N1288" s="430"/>
      <c r="O1288" s="431"/>
      <c r="P1288" s="431"/>
      <c r="Q1288" s="300"/>
      <c r="R1288" s="341"/>
    </row>
    <row r="1289" ht="15.75" customHeight="1">
      <c r="A1289" s="361"/>
      <c r="B1289" s="330"/>
      <c r="C1289" s="321"/>
      <c r="D1289" s="425"/>
      <c r="E1289" s="424"/>
      <c r="F1289" s="426"/>
      <c r="G1289" s="341"/>
      <c r="H1289" s="341"/>
      <c r="I1289" s="417"/>
      <c r="J1289" s="427"/>
      <c r="K1289" s="428"/>
      <c r="L1289" s="429"/>
      <c r="M1289" s="428"/>
      <c r="N1289" s="430"/>
      <c r="O1289" s="431"/>
      <c r="P1289" s="431"/>
      <c r="Q1289" s="300"/>
      <c r="R1289" s="341"/>
    </row>
    <row r="1290" ht="15.75" customHeight="1">
      <c r="A1290" s="361"/>
      <c r="B1290" s="330"/>
      <c r="C1290" s="321"/>
      <c r="D1290" s="425"/>
      <c r="E1290" s="424"/>
      <c r="F1290" s="426"/>
      <c r="G1290" s="341"/>
      <c r="H1290" s="341"/>
      <c r="I1290" s="417"/>
      <c r="J1290" s="427"/>
      <c r="K1290" s="428"/>
      <c r="L1290" s="429"/>
      <c r="M1290" s="428"/>
      <c r="N1290" s="430"/>
      <c r="O1290" s="431"/>
      <c r="P1290" s="431"/>
      <c r="Q1290" s="300"/>
      <c r="R1290" s="341"/>
    </row>
    <row r="1291" ht="15.75" customHeight="1">
      <c r="A1291" s="361"/>
      <c r="B1291" s="330"/>
      <c r="C1291" s="321"/>
      <c r="D1291" s="425"/>
      <c r="E1291" s="424"/>
      <c r="F1291" s="426"/>
      <c r="G1291" s="341"/>
      <c r="H1291" s="341"/>
      <c r="I1291" s="417"/>
      <c r="J1291" s="427"/>
      <c r="K1291" s="428"/>
      <c r="L1291" s="429"/>
      <c r="M1291" s="428"/>
      <c r="N1291" s="430"/>
      <c r="O1291" s="431"/>
      <c r="P1291" s="431"/>
      <c r="Q1291" s="300"/>
      <c r="R1291" s="341"/>
    </row>
    <row r="1292" ht="15.75" customHeight="1">
      <c r="A1292" s="361"/>
      <c r="B1292" s="330"/>
      <c r="C1292" s="321"/>
      <c r="D1292" s="425"/>
      <c r="E1292" s="424"/>
      <c r="F1292" s="426"/>
      <c r="G1292" s="341"/>
      <c r="H1292" s="341"/>
      <c r="I1292" s="417"/>
      <c r="J1292" s="427"/>
      <c r="K1292" s="428"/>
      <c r="L1292" s="429"/>
      <c r="M1292" s="428"/>
      <c r="N1292" s="430"/>
      <c r="O1292" s="431"/>
      <c r="P1292" s="431"/>
      <c r="Q1292" s="300"/>
      <c r="R1292" s="341"/>
    </row>
    <row r="1293" ht="15.75" customHeight="1">
      <c r="A1293" s="361"/>
      <c r="B1293" s="330"/>
      <c r="C1293" s="321"/>
      <c r="D1293" s="425"/>
      <c r="E1293" s="424"/>
      <c r="F1293" s="426"/>
      <c r="G1293" s="341"/>
      <c r="H1293" s="341"/>
      <c r="I1293" s="417"/>
      <c r="J1293" s="427"/>
      <c r="K1293" s="428"/>
      <c r="L1293" s="429"/>
      <c r="M1293" s="428"/>
      <c r="N1293" s="430"/>
      <c r="O1293" s="431"/>
      <c r="P1293" s="431"/>
      <c r="Q1293" s="300"/>
      <c r="R1293" s="341"/>
    </row>
    <row r="1294" ht="15.75" customHeight="1">
      <c r="A1294" s="361"/>
      <c r="B1294" s="330"/>
      <c r="C1294" s="321"/>
      <c r="D1294" s="425"/>
      <c r="E1294" s="424"/>
      <c r="F1294" s="426"/>
      <c r="G1294" s="341"/>
      <c r="H1294" s="341"/>
      <c r="I1294" s="417"/>
      <c r="J1294" s="427"/>
      <c r="K1294" s="428"/>
      <c r="L1294" s="429"/>
      <c r="M1294" s="428"/>
      <c r="N1294" s="430"/>
      <c r="O1294" s="431"/>
      <c r="P1294" s="431"/>
      <c r="Q1294" s="300"/>
      <c r="R1294" s="341"/>
    </row>
    <row r="1295" ht="15.75" customHeight="1">
      <c r="A1295" s="361"/>
      <c r="B1295" s="330"/>
      <c r="C1295" s="321"/>
      <c r="D1295" s="425"/>
      <c r="E1295" s="424"/>
      <c r="F1295" s="426"/>
      <c r="G1295" s="341"/>
      <c r="H1295" s="341"/>
      <c r="I1295" s="417"/>
      <c r="J1295" s="427"/>
      <c r="K1295" s="428"/>
      <c r="L1295" s="429"/>
      <c r="M1295" s="428"/>
      <c r="N1295" s="430"/>
      <c r="O1295" s="431"/>
      <c r="P1295" s="431"/>
      <c r="Q1295" s="300"/>
      <c r="R1295" s="341"/>
    </row>
    <row r="1296" ht="15.75" customHeight="1">
      <c r="A1296" s="361"/>
      <c r="B1296" s="330"/>
      <c r="C1296" s="321"/>
      <c r="D1296" s="425"/>
      <c r="E1296" s="424"/>
      <c r="F1296" s="426"/>
      <c r="G1296" s="341"/>
      <c r="H1296" s="341"/>
      <c r="I1296" s="417"/>
      <c r="J1296" s="427"/>
      <c r="K1296" s="428"/>
      <c r="L1296" s="429"/>
      <c r="M1296" s="428"/>
      <c r="N1296" s="430"/>
      <c r="O1296" s="431"/>
      <c r="P1296" s="431"/>
      <c r="Q1296" s="300"/>
      <c r="R1296" s="341"/>
    </row>
    <row r="1297" ht="15.75" customHeight="1">
      <c r="A1297" s="361"/>
      <c r="B1297" s="330"/>
      <c r="C1297" s="321"/>
      <c r="D1297" s="425"/>
      <c r="E1297" s="424"/>
      <c r="F1297" s="426"/>
      <c r="G1297" s="341"/>
      <c r="H1297" s="341"/>
      <c r="I1297" s="417"/>
      <c r="J1297" s="427"/>
      <c r="K1297" s="428"/>
      <c r="L1297" s="429"/>
      <c r="M1297" s="428"/>
      <c r="N1297" s="430"/>
      <c r="O1297" s="431"/>
      <c r="P1297" s="431"/>
      <c r="Q1297" s="300"/>
      <c r="R1297" s="341"/>
    </row>
    <row r="1298" ht="15.75" customHeight="1">
      <c r="A1298" s="361"/>
      <c r="B1298" s="330"/>
      <c r="C1298" s="321"/>
      <c r="D1298" s="425"/>
      <c r="E1298" s="424"/>
      <c r="F1298" s="426"/>
      <c r="G1298" s="341"/>
      <c r="H1298" s="341"/>
      <c r="I1298" s="417"/>
      <c r="J1298" s="427"/>
      <c r="K1298" s="428"/>
      <c r="L1298" s="429"/>
      <c r="M1298" s="428"/>
      <c r="N1298" s="430"/>
      <c r="O1298" s="431"/>
      <c r="P1298" s="431"/>
      <c r="Q1298" s="300"/>
      <c r="R1298" s="341"/>
    </row>
    <row r="1299" ht="15.75" customHeight="1">
      <c r="A1299" s="361"/>
      <c r="B1299" s="330"/>
      <c r="C1299" s="321"/>
      <c r="D1299" s="425"/>
      <c r="E1299" s="424"/>
      <c r="F1299" s="426"/>
      <c r="G1299" s="341"/>
      <c r="H1299" s="341"/>
      <c r="I1299" s="417"/>
      <c r="J1299" s="427"/>
      <c r="K1299" s="428"/>
      <c r="L1299" s="429"/>
      <c r="M1299" s="428"/>
      <c r="N1299" s="430"/>
      <c r="O1299" s="431"/>
      <c r="P1299" s="431"/>
      <c r="Q1299" s="300"/>
      <c r="R1299" s="341"/>
    </row>
    <row r="1300" ht="15.75" customHeight="1">
      <c r="A1300" s="361"/>
      <c r="B1300" s="330"/>
      <c r="C1300" s="321"/>
      <c r="D1300" s="425"/>
      <c r="E1300" s="424"/>
      <c r="F1300" s="426"/>
      <c r="G1300" s="341"/>
      <c r="H1300" s="341"/>
      <c r="I1300" s="417"/>
      <c r="J1300" s="427"/>
      <c r="K1300" s="428"/>
      <c r="L1300" s="429"/>
      <c r="M1300" s="428"/>
      <c r="N1300" s="430"/>
      <c r="O1300" s="431"/>
      <c r="P1300" s="431"/>
      <c r="Q1300" s="300"/>
      <c r="R1300" s="341"/>
    </row>
    <row r="1301" ht="15.75" customHeight="1">
      <c r="A1301" s="361"/>
      <c r="B1301" s="330"/>
      <c r="C1301" s="321"/>
      <c r="D1301" s="425"/>
      <c r="E1301" s="424"/>
      <c r="F1301" s="426"/>
      <c r="G1301" s="341"/>
      <c r="H1301" s="341"/>
      <c r="I1301" s="417"/>
      <c r="J1301" s="427"/>
      <c r="K1301" s="428"/>
      <c r="L1301" s="429"/>
      <c r="M1301" s="428"/>
      <c r="N1301" s="430"/>
      <c r="O1301" s="431"/>
      <c r="P1301" s="431"/>
      <c r="Q1301" s="300"/>
      <c r="R1301" s="341"/>
    </row>
    <row r="1302" ht="15.75" customHeight="1">
      <c r="A1302" s="361"/>
      <c r="B1302" s="330"/>
      <c r="C1302" s="321"/>
      <c r="D1302" s="425"/>
      <c r="E1302" s="424"/>
      <c r="F1302" s="426"/>
      <c r="G1302" s="341"/>
      <c r="H1302" s="341"/>
      <c r="I1302" s="417"/>
      <c r="J1302" s="427"/>
      <c r="K1302" s="428"/>
      <c r="L1302" s="429"/>
      <c r="M1302" s="428"/>
      <c r="N1302" s="430"/>
      <c r="O1302" s="431"/>
      <c r="P1302" s="431"/>
      <c r="Q1302" s="300"/>
      <c r="R1302" s="341"/>
    </row>
    <row r="1303" ht="15.75" customHeight="1">
      <c r="A1303" s="361"/>
      <c r="B1303" s="330"/>
      <c r="C1303" s="321"/>
      <c r="D1303" s="425"/>
      <c r="E1303" s="424"/>
      <c r="F1303" s="426"/>
      <c r="G1303" s="341"/>
      <c r="H1303" s="341"/>
      <c r="I1303" s="417"/>
      <c r="J1303" s="427"/>
      <c r="K1303" s="428"/>
      <c r="L1303" s="429"/>
      <c r="M1303" s="428"/>
      <c r="N1303" s="430"/>
      <c r="O1303" s="431"/>
      <c r="P1303" s="431"/>
      <c r="Q1303" s="300"/>
      <c r="R1303" s="341"/>
    </row>
    <row r="1304" ht="15.75" customHeight="1">
      <c r="A1304" s="361"/>
      <c r="B1304" s="330"/>
      <c r="C1304" s="321"/>
      <c r="D1304" s="425"/>
      <c r="E1304" s="424"/>
      <c r="F1304" s="426"/>
      <c r="G1304" s="341"/>
      <c r="H1304" s="341"/>
      <c r="I1304" s="417"/>
      <c r="J1304" s="427"/>
      <c r="K1304" s="428"/>
      <c r="L1304" s="429"/>
      <c r="M1304" s="428"/>
      <c r="N1304" s="430"/>
      <c r="O1304" s="431"/>
      <c r="P1304" s="431"/>
      <c r="Q1304" s="300"/>
      <c r="R1304" s="341"/>
    </row>
    <row r="1305" ht="15.75" customHeight="1">
      <c r="A1305" s="361"/>
      <c r="B1305" s="330"/>
      <c r="C1305" s="321"/>
      <c r="D1305" s="425"/>
      <c r="E1305" s="424"/>
      <c r="F1305" s="426"/>
      <c r="G1305" s="341"/>
      <c r="H1305" s="341"/>
      <c r="I1305" s="417"/>
      <c r="J1305" s="427"/>
      <c r="K1305" s="428"/>
      <c r="L1305" s="429"/>
      <c r="M1305" s="428"/>
      <c r="N1305" s="430"/>
      <c r="O1305" s="431"/>
      <c r="P1305" s="431"/>
      <c r="Q1305" s="300"/>
      <c r="R1305" s="341"/>
    </row>
    <row r="1306" ht="15.75" customHeight="1">
      <c r="A1306" s="361"/>
      <c r="B1306" s="330"/>
      <c r="C1306" s="321"/>
      <c r="D1306" s="425"/>
      <c r="E1306" s="424"/>
      <c r="F1306" s="426"/>
      <c r="G1306" s="341"/>
      <c r="H1306" s="341"/>
      <c r="I1306" s="417"/>
      <c r="J1306" s="427"/>
      <c r="K1306" s="428"/>
      <c r="L1306" s="429"/>
      <c r="M1306" s="428"/>
      <c r="N1306" s="430"/>
      <c r="O1306" s="431"/>
      <c r="P1306" s="431"/>
      <c r="Q1306" s="300"/>
      <c r="R1306" s="341"/>
    </row>
    <row r="1307" ht="15.75" customHeight="1">
      <c r="A1307" s="361"/>
      <c r="B1307" s="330"/>
      <c r="C1307" s="321"/>
      <c r="D1307" s="425"/>
      <c r="E1307" s="424"/>
      <c r="F1307" s="426"/>
      <c r="G1307" s="341"/>
      <c r="H1307" s="341"/>
      <c r="I1307" s="417"/>
      <c r="J1307" s="427"/>
      <c r="K1307" s="428"/>
      <c r="L1307" s="429"/>
      <c r="M1307" s="428"/>
      <c r="N1307" s="430"/>
      <c r="O1307" s="431"/>
      <c r="P1307" s="431"/>
      <c r="Q1307" s="300"/>
      <c r="R1307" s="341"/>
    </row>
    <row r="1308" ht="15.75" customHeight="1">
      <c r="A1308" s="361"/>
      <c r="B1308" s="330"/>
      <c r="C1308" s="321"/>
      <c r="D1308" s="425"/>
      <c r="E1308" s="424"/>
      <c r="F1308" s="426"/>
      <c r="G1308" s="341"/>
      <c r="H1308" s="341"/>
      <c r="I1308" s="417"/>
      <c r="J1308" s="427"/>
      <c r="K1308" s="428"/>
      <c r="L1308" s="429"/>
      <c r="M1308" s="428"/>
      <c r="N1308" s="430"/>
      <c r="O1308" s="431"/>
      <c r="P1308" s="431"/>
      <c r="Q1308" s="300"/>
      <c r="R1308" s="341"/>
    </row>
    <row r="1309" ht="15.75" customHeight="1">
      <c r="A1309" s="361"/>
      <c r="B1309" s="330"/>
      <c r="C1309" s="321"/>
      <c r="D1309" s="425"/>
      <c r="E1309" s="424"/>
      <c r="F1309" s="426"/>
      <c r="G1309" s="341"/>
      <c r="H1309" s="341"/>
      <c r="I1309" s="417"/>
      <c r="J1309" s="427"/>
      <c r="K1309" s="428"/>
      <c r="L1309" s="429"/>
      <c r="M1309" s="428"/>
      <c r="N1309" s="430"/>
      <c r="O1309" s="431"/>
      <c r="P1309" s="431"/>
      <c r="Q1309" s="300"/>
      <c r="R1309" s="341"/>
    </row>
    <row r="1310" ht="15.75" customHeight="1">
      <c r="A1310" s="361"/>
      <c r="B1310" s="330"/>
      <c r="C1310" s="321"/>
      <c r="D1310" s="425"/>
      <c r="E1310" s="424"/>
      <c r="F1310" s="426"/>
      <c r="G1310" s="341"/>
      <c r="H1310" s="341"/>
      <c r="I1310" s="417"/>
      <c r="J1310" s="427"/>
      <c r="K1310" s="428"/>
      <c r="L1310" s="429"/>
      <c r="M1310" s="428"/>
      <c r="N1310" s="430"/>
      <c r="O1310" s="431"/>
      <c r="P1310" s="431"/>
      <c r="Q1310" s="300"/>
      <c r="R1310" s="341"/>
    </row>
    <row r="1311" ht="15.75" customHeight="1">
      <c r="A1311" s="361"/>
      <c r="B1311" s="330"/>
      <c r="C1311" s="321"/>
      <c r="D1311" s="425"/>
      <c r="E1311" s="424"/>
      <c r="F1311" s="426"/>
      <c r="G1311" s="341"/>
      <c r="H1311" s="341"/>
      <c r="I1311" s="417"/>
      <c r="J1311" s="427"/>
      <c r="K1311" s="428"/>
      <c r="L1311" s="429"/>
      <c r="M1311" s="428"/>
      <c r="N1311" s="430"/>
      <c r="O1311" s="431"/>
      <c r="P1311" s="431"/>
      <c r="Q1311" s="300"/>
      <c r="R1311" s="341"/>
    </row>
    <row r="1312" ht="15.75" customHeight="1">
      <c r="A1312" s="361"/>
      <c r="B1312" s="330"/>
      <c r="C1312" s="321"/>
      <c r="D1312" s="425"/>
      <c r="E1312" s="424"/>
      <c r="F1312" s="426"/>
      <c r="G1312" s="341"/>
      <c r="H1312" s="341"/>
      <c r="I1312" s="417"/>
      <c r="J1312" s="427"/>
      <c r="K1312" s="428"/>
      <c r="L1312" s="429"/>
      <c r="M1312" s="428"/>
      <c r="N1312" s="430"/>
      <c r="O1312" s="431"/>
      <c r="P1312" s="431"/>
      <c r="Q1312" s="300"/>
      <c r="R1312" s="341"/>
    </row>
    <row r="1313" ht="15.75" customHeight="1">
      <c r="A1313" s="361"/>
      <c r="B1313" s="330"/>
      <c r="C1313" s="321"/>
      <c r="D1313" s="425"/>
      <c r="E1313" s="424"/>
      <c r="F1313" s="426"/>
      <c r="G1313" s="341"/>
      <c r="H1313" s="341"/>
      <c r="I1313" s="417"/>
      <c r="J1313" s="427"/>
      <c r="K1313" s="428"/>
      <c r="L1313" s="429"/>
      <c r="M1313" s="428"/>
      <c r="N1313" s="430"/>
      <c r="O1313" s="431"/>
      <c r="P1313" s="431"/>
      <c r="Q1313" s="300"/>
      <c r="R1313" s="341"/>
    </row>
    <row r="1314" ht="15.75" customHeight="1">
      <c r="A1314" s="361"/>
      <c r="B1314" s="330"/>
      <c r="C1314" s="321"/>
      <c r="D1314" s="425"/>
      <c r="E1314" s="424"/>
      <c r="F1314" s="426"/>
      <c r="G1314" s="341"/>
      <c r="H1314" s="341"/>
      <c r="I1314" s="417"/>
      <c r="J1314" s="427"/>
      <c r="K1314" s="428"/>
      <c r="L1314" s="429"/>
      <c r="M1314" s="428"/>
      <c r="N1314" s="430"/>
      <c r="O1314" s="431"/>
      <c r="P1314" s="431"/>
      <c r="Q1314" s="300"/>
      <c r="R1314" s="341"/>
    </row>
    <row r="1315" ht="15.75" customHeight="1">
      <c r="A1315" s="361"/>
      <c r="B1315" s="330"/>
      <c r="C1315" s="321"/>
      <c r="D1315" s="425"/>
      <c r="E1315" s="424"/>
      <c r="F1315" s="426"/>
      <c r="G1315" s="341"/>
      <c r="H1315" s="341"/>
      <c r="I1315" s="417"/>
      <c r="J1315" s="427"/>
      <c r="K1315" s="428"/>
      <c r="L1315" s="429"/>
      <c r="M1315" s="428"/>
      <c r="N1315" s="430"/>
      <c r="O1315" s="431"/>
      <c r="P1315" s="431"/>
      <c r="Q1315" s="300"/>
      <c r="R1315" s="341"/>
    </row>
    <row r="1316" ht="15.75" customHeight="1">
      <c r="A1316" s="361"/>
      <c r="B1316" s="330"/>
      <c r="C1316" s="321"/>
      <c r="D1316" s="425"/>
      <c r="E1316" s="424"/>
      <c r="F1316" s="426"/>
      <c r="G1316" s="341"/>
      <c r="H1316" s="341"/>
      <c r="I1316" s="417"/>
      <c r="J1316" s="427"/>
      <c r="K1316" s="428"/>
      <c r="L1316" s="429"/>
      <c r="M1316" s="428"/>
      <c r="N1316" s="430"/>
      <c r="O1316" s="431"/>
      <c r="P1316" s="431"/>
      <c r="Q1316" s="300"/>
      <c r="R1316" s="341"/>
    </row>
    <row r="1317" ht="15.75" customHeight="1">
      <c r="A1317" s="361"/>
      <c r="B1317" s="330"/>
      <c r="C1317" s="321"/>
      <c r="D1317" s="425"/>
      <c r="E1317" s="424"/>
      <c r="F1317" s="426"/>
      <c r="G1317" s="341"/>
      <c r="H1317" s="341"/>
      <c r="I1317" s="417"/>
      <c r="J1317" s="427"/>
      <c r="K1317" s="428"/>
      <c r="L1317" s="429"/>
      <c r="M1317" s="428"/>
      <c r="N1317" s="430"/>
      <c r="O1317" s="431"/>
      <c r="P1317" s="431"/>
      <c r="Q1317" s="300"/>
      <c r="R1317" s="341"/>
    </row>
    <row r="1318" ht="15.75" customHeight="1">
      <c r="A1318" s="361"/>
      <c r="B1318" s="330"/>
      <c r="C1318" s="321"/>
      <c r="D1318" s="425"/>
      <c r="E1318" s="424"/>
      <c r="F1318" s="426"/>
      <c r="G1318" s="341"/>
      <c r="H1318" s="341"/>
      <c r="I1318" s="417"/>
      <c r="J1318" s="427"/>
      <c r="K1318" s="428"/>
      <c r="L1318" s="429"/>
      <c r="M1318" s="428"/>
      <c r="N1318" s="430"/>
      <c r="O1318" s="431"/>
      <c r="P1318" s="431"/>
      <c r="Q1318" s="300"/>
      <c r="R1318" s="341"/>
    </row>
    <row r="1319" ht="15.75" customHeight="1">
      <c r="A1319" s="361"/>
      <c r="B1319" s="330"/>
      <c r="C1319" s="321"/>
      <c r="D1319" s="425"/>
      <c r="E1319" s="424"/>
      <c r="F1319" s="426"/>
      <c r="G1319" s="341"/>
      <c r="H1319" s="341"/>
      <c r="I1319" s="417"/>
      <c r="J1319" s="427"/>
      <c r="K1319" s="428"/>
      <c r="L1319" s="429"/>
      <c r="M1319" s="428"/>
      <c r="N1319" s="430"/>
      <c r="O1319" s="431"/>
      <c r="P1319" s="431"/>
      <c r="Q1319" s="300"/>
      <c r="R1319" s="341"/>
    </row>
    <row r="1320" ht="15.75" customHeight="1">
      <c r="A1320" s="361"/>
      <c r="B1320" s="330"/>
      <c r="C1320" s="321"/>
      <c r="D1320" s="425"/>
      <c r="E1320" s="424"/>
      <c r="F1320" s="426"/>
      <c r="G1320" s="341"/>
      <c r="H1320" s="341"/>
      <c r="I1320" s="417"/>
      <c r="J1320" s="427"/>
      <c r="K1320" s="428"/>
      <c r="L1320" s="429"/>
      <c r="M1320" s="428"/>
      <c r="N1320" s="430"/>
      <c r="O1320" s="431"/>
      <c r="P1320" s="431"/>
      <c r="Q1320" s="300"/>
      <c r="R1320" s="341"/>
    </row>
    <row r="1321" ht="15.75" customHeight="1">
      <c r="A1321" s="361"/>
      <c r="B1321" s="330"/>
      <c r="C1321" s="321"/>
      <c r="D1321" s="425"/>
      <c r="E1321" s="424"/>
      <c r="F1321" s="426"/>
      <c r="G1321" s="341"/>
      <c r="H1321" s="341"/>
      <c r="I1321" s="417"/>
      <c r="J1321" s="427"/>
      <c r="K1321" s="428"/>
      <c r="L1321" s="429"/>
      <c r="M1321" s="428"/>
      <c r="N1321" s="430"/>
      <c r="O1321" s="431"/>
      <c r="P1321" s="431"/>
      <c r="Q1321" s="300"/>
      <c r="R1321" s="341"/>
    </row>
    <row r="1322" ht="15.75" customHeight="1">
      <c r="A1322" s="361"/>
      <c r="B1322" s="330"/>
      <c r="C1322" s="321"/>
      <c r="D1322" s="425"/>
      <c r="E1322" s="424"/>
      <c r="F1322" s="426"/>
      <c r="G1322" s="341"/>
      <c r="H1322" s="341"/>
      <c r="I1322" s="417"/>
      <c r="J1322" s="427"/>
      <c r="K1322" s="428"/>
      <c r="L1322" s="429"/>
      <c r="M1322" s="428"/>
      <c r="N1322" s="430"/>
      <c r="O1322" s="431"/>
      <c r="P1322" s="431"/>
      <c r="Q1322" s="300"/>
      <c r="R1322" s="341"/>
    </row>
    <row r="1323" ht="15.75" customHeight="1">
      <c r="A1323" s="361"/>
      <c r="B1323" s="330"/>
      <c r="C1323" s="321"/>
      <c r="D1323" s="425"/>
      <c r="E1323" s="424"/>
      <c r="F1323" s="426"/>
      <c r="G1323" s="341"/>
      <c r="H1323" s="341"/>
      <c r="I1323" s="417"/>
      <c r="J1323" s="427"/>
      <c r="K1323" s="428"/>
      <c r="L1323" s="429"/>
      <c r="M1323" s="428"/>
      <c r="N1323" s="430"/>
      <c r="O1323" s="431"/>
      <c r="P1323" s="431"/>
      <c r="Q1323" s="300"/>
      <c r="R1323" s="341"/>
    </row>
    <row r="1324" ht="15.75" customHeight="1">
      <c r="A1324" s="361"/>
      <c r="B1324" s="330"/>
      <c r="C1324" s="321"/>
      <c r="D1324" s="425"/>
      <c r="E1324" s="424"/>
      <c r="F1324" s="426"/>
      <c r="G1324" s="341"/>
      <c r="H1324" s="341"/>
      <c r="I1324" s="417"/>
      <c r="J1324" s="427"/>
      <c r="K1324" s="428"/>
      <c r="L1324" s="429"/>
      <c r="M1324" s="428"/>
      <c r="N1324" s="430"/>
      <c r="O1324" s="431"/>
      <c r="P1324" s="431"/>
      <c r="Q1324" s="300"/>
      <c r="R1324" s="341"/>
    </row>
    <row r="1325" ht="15.75" customHeight="1">
      <c r="A1325" s="361"/>
      <c r="B1325" s="330"/>
      <c r="C1325" s="321"/>
      <c r="D1325" s="425"/>
      <c r="E1325" s="424"/>
      <c r="F1325" s="426"/>
      <c r="G1325" s="341"/>
      <c r="H1325" s="341"/>
      <c r="I1325" s="417"/>
      <c r="J1325" s="427"/>
      <c r="K1325" s="428"/>
      <c r="L1325" s="429"/>
      <c r="M1325" s="428"/>
      <c r="N1325" s="430"/>
      <c r="O1325" s="431"/>
      <c r="P1325" s="431"/>
      <c r="Q1325" s="300"/>
      <c r="R1325" s="341"/>
    </row>
    <row r="1326" ht="15.75" customHeight="1">
      <c r="A1326" s="361"/>
      <c r="B1326" s="330"/>
      <c r="C1326" s="321"/>
      <c r="D1326" s="425"/>
      <c r="E1326" s="424"/>
      <c r="F1326" s="426"/>
      <c r="G1326" s="341"/>
      <c r="H1326" s="341"/>
      <c r="I1326" s="417"/>
      <c r="J1326" s="427"/>
      <c r="K1326" s="428"/>
      <c r="L1326" s="429"/>
      <c r="M1326" s="428"/>
      <c r="N1326" s="430"/>
      <c r="O1326" s="431"/>
      <c r="P1326" s="431"/>
      <c r="Q1326" s="300"/>
      <c r="R1326" s="341"/>
    </row>
    <row r="1327" ht="15.75" customHeight="1">
      <c r="A1327" s="361"/>
      <c r="B1327" s="330"/>
      <c r="C1327" s="321"/>
      <c r="D1327" s="425"/>
      <c r="E1327" s="424"/>
      <c r="F1327" s="426"/>
      <c r="G1327" s="341"/>
      <c r="H1327" s="341"/>
      <c r="I1327" s="417"/>
      <c r="J1327" s="427"/>
      <c r="K1327" s="428"/>
      <c r="L1327" s="429"/>
      <c r="M1327" s="428"/>
      <c r="N1327" s="430"/>
      <c r="O1327" s="431"/>
      <c r="P1327" s="431"/>
      <c r="Q1327" s="300"/>
      <c r="R1327" s="341"/>
    </row>
    <row r="1328" ht="15.75" customHeight="1">
      <c r="A1328" s="361"/>
      <c r="B1328" s="330"/>
      <c r="C1328" s="321"/>
      <c r="D1328" s="425"/>
      <c r="E1328" s="424"/>
      <c r="F1328" s="426"/>
      <c r="G1328" s="341"/>
      <c r="H1328" s="341"/>
      <c r="I1328" s="417"/>
      <c r="J1328" s="427"/>
      <c r="K1328" s="428"/>
      <c r="L1328" s="429"/>
      <c r="M1328" s="428"/>
      <c r="N1328" s="430"/>
      <c r="O1328" s="431"/>
      <c r="P1328" s="431"/>
      <c r="Q1328" s="300"/>
      <c r="R1328" s="341"/>
    </row>
    <row r="1329" ht="15.75" customHeight="1">
      <c r="A1329" s="361"/>
      <c r="B1329" s="330"/>
      <c r="C1329" s="321"/>
      <c r="D1329" s="425"/>
      <c r="E1329" s="424"/>
      <c r="F1329" s="426"/>
      <c r="G1329" s="341"/>
      <c r="H1329" s="341"/>
      <c r="I1329" s="417"/>
      <c r="J1329" s="427"/>
      <c r="K1329" s="428"/>
      <c r="L1329" s="429"/>
      <c r="M1329" s="428"/>
      <c r="N1329" s="430"/>
      <c r="O1329" s="431"/>
      <c r="P1329" s="431"/>
      <c r="Q1329" s="300"/>
      <c r="R1329" s="341"/>
    </row>
    <row r="1330" ht="15.75" customHeight="1">
      <c r="A1330" s="361"/>
      <c r="B1330" s="330"/>
      <c r="C1330" s="321"/>
      <c r="D1330" s="425"/>
      <c r="E1330" s="424"/>
      <c r="F1330" s="426"/>
      <c r="G1330" s="341"/>
      <c r="H1330" s="341"/>
      <c r="I1330" s="417"/>
      <c r="J1330" s="427"/>
      <c r="K1330" s="428"/>
      <c r="L1330" s="429"/>
      <c r="M1330" s="428"/>
      <c r="N1330" s="430"/>
      <c r="O1330" s="431"/>
      <c r="P1330" s="431"/>
      <c r="Q1330" s="300"/>
      <c r="R1330" s="341"/>
    </row>
    <row r="1331" ht="15.75" customHeight="1">
      <c r="A1331" s="361"/>
      <c r="B1331" s="330"/>
      <c r="C1331" s="321"/>
      <c r="D1331" s="425"/>
      <c r="E1331" s="424"/>
      <c r="F1331" s="426"/>
      <c r="G1331" s="341"/>
      <c r="H1331" s="341"/>
      <c r="I1331" s="417"/>
      <c r="J1331" s="427"/>
      <c r="K1331" s="428"/>
      <c r="L1331" s="429"/>
      <c r="M1331" s="428"/>
      <c r="N1331" s="430"/>
      <c r="O1331" s="431"/>
      <c r="P1331" s="431"/>
      <c r="Q1331" s="300"/>
      <c r="R1331" s="341"/>
    </row>
    <row r="1332" ht="15.75" customHeight="1">
      <c r="A1332" s="361"/>
      <c r="B1332" s="330"/>
      <c r="C1332" s="321"/>
      <c r="D1332" s="425"/>
      <c r="E1332" s="424"/>
      <c r="F1332" s="426"/>
      <c r="G1332" s="341"/>
      <c r="H1332" s="341"/>
      <c r="I1332" s="417"/>
      <c r="J1332" s="427"/>
      <c r="K1332" s="428"/>
      <c r="L1332" s="429"/>
      <c r="M1332" s="428"/>
      <c r="N1332" s="430"/>
      <c r="O1332" s="431"/>
      <c r="P1332" s="431"/>
      <c r="Q1332" s="300"/>
      <c r="R1332" s="341"/>
    </row>
    <row r="1333" ht="15.75" customHeight="1">
      <c r="A1333" s="361"/>
      <c r="B1333" s="330"/>
      <c r="C1333" s="321"/>
      <c r="D1333" s="425"/>
      <c r="E1333" s="424"/>
      <c r="F1333" s="426"/>
      <c r="G1333" s="341"/>
      <c r="H1333" s="341"/>
      <c r="I1333" s="417"/>
      <c r="J1333" s="427"/>
      <c r="K1333" s="428"/>
      <c r="L1333" s="429"/>
      <c r="M1333" s="428"/>
      <c r="N1333" s="430"/>
      <c r="O1333" s="431"/>
      <c r="P1333" s="431"/>
      <c r="Q1333" s="300"/>
      <c r="R1333" s="341"/>
    </row>
    <row r="1334" ht="15.75" customHeight="1">
      <c r="A1334" s="361"/>
      <c r="B1334" s="330"/>
      <c r="C1334" s="321"/>
      <c r="D1334" s="425"/>
      <c r="E1334" s="424"/>
      <c r="F1334" s="426"/>
      <c r="G1334" s="341"/>
      <c r="H1334" s="341"/>
      <c r="I1334" s="417"/>
      <c r="J1334" s="427"/>
      <c r="K1334" s="428"/>
      <c r="L1334" s="429"/>
      <c r="M1334" s="428"/>
      <c r="N1334" s="430"/>
      <c r="O1334" s="431"/>
      <c r="P1334" s="431"/>
      <c r="Q1334" s="300"/>
      <c r="R1334" s="341"/>
    </row>
    <row r="1335" ht="15.75" customHeight="1">
      <c r="A1335" s="361"/>
      <c r="B1335" s="330"/>
      <c r="C1335" s="321"/>
      <c r="D1335" s="425"/>
      <c r="E1335" s="424"/>
      <c r="F1335" s="426"/>
      <c r="G1335" s="341"/>
      <c r="H1335" s="341"/>
      <c r="I1335" s="417"/>
      <c r="J1335" s="427"/>
      <c r="K1335" s="428"/>
      <c r="L1335" s="429"/>
      <c r="M1335" s="428"/>
      <c r="N1335" s="430"/>
      <c r="O1335" s="431"/>
      <c r="P1335" s="431"/>
      <c r="Q1335" s="300"/>
      <c r="R1335" s="341"/>
    </row>
    <row r="1336" ht="15.75" customHeight="1">
      <c r="A1336" s="361"/>
      <c r="B1336" s="330"/>
      <c r="C1336" s="321"/>
      <c r="D1336" s="425"/>
      <c r="E1336" s="424"/>
      <c r="F1336" s="426"/>
      <c r="G1336" s="341"/>
      <c r="H1336" s="341"/>
      <c r="I1336" s="417"/>
      <c r="J1336" s="427"/>
      <c r="K1336" s="428"/>
      <c r="L1336" s="429"/>
      <c r="M1336" s="428"/>
      <c r="N1336" s="430"/>
      <c r="O1336" s="431"/>
      <c r="P1336" s="431"/>
      <c r="Q1336" s="300"/>
      <c r="R1336" s="341"/>
    </row>
    <row r="1337" ht="15.75" customHeight="1">
      <c r="A1337" s="361"/>
      <c r="B1337" s="330"/>
      <c r="C1337" s="321"/>
      <c r="D1337" s="425"/>
      <c r="E1337" s="424"/>
      <c r="F1337" s="426"/>
      <c r="G1337" s="341"/>
      <c r="H1337" s="341"/>
      <c r="I1337" s="417"/>
      <c r="J1337" s="427"/>
      <c r="K1337" s="428"/>
      <c r="L1337" s="429"/>
      <c r="M1337" s="428"/>
      <c r="N1337" s="430"/>
      <c r="O1337" s="431"/>
      <c r="P1337" s="431"/>
      <c r="Q1337" s="300"/>
      <c r="R1337" s="341"/>
    </row>
    <row r="1338" ht="15.75" customHeight="1">
      <c r="A1338" s="361"/>
      <c r="B1338" s="330"/>
      <c r="C1338" s="321"/>
      <c r="D1338" s="425"/>
      <c r="E1338" s="424"/>
      <c r="F1338" s="426"/>
      <c r="G1338" s="341"/>
      <c r="H1338" s="341"/>
      <c r="I1338" s="417"/>
      <c r="J1338" s="427"/>
      <c r="K1338" s="428"/>
      <c r="L1338" s="429"/>
      <c r="M1338" s="428"/>
      <c r="N1338" s="430"/>
      <c r="O1338" s="431"/>
      <c r="P1338" s="431"/>
      <c r="Q1338" s="300"/>
      <c r="R1338" s="341"/>
    </row>
    <row r="1339" ht="15.75" customHeight="1">
      <c r="A1339" s="361"/>
      <c r="B1339" s="330"/>
      <c r="C1339" s="321"/>
      <c r="D1339" s="425"/>
      <c r="E1339" s="424"/>
      <c r="F1339" s="426"/>
      <c r="G1339" s="341"/>
      <c r="H1339" s="341"/>
      <c r="I1339" s="417"/>
      <c r="J1339" s="427"/>
      <c r="K1339" s="428"/>
      <c r="L1339" s="429"/>
      <c r="M1339" s="428"/>
      <c r="N1339" s="430"/>
      <c r="O1339" s="431"/>
      <c r="P1339" s="431"/>
      <c r="Q1339" s="300"/>
      <c r="R1339" s="341"/>
    </row>
    <row r="1340" ht="15.75" customHeight="1">
      <c r="A1340" s="361"/>
      <c r="B1340" s="330"/>
      <c r="C1340" s="321"/>
      <c r="D1340" s="425"/>
      <c r="E1340" s="424"/>
      <c r="F1340" s="426"/>
      <c r="G1340" s="341"/>
      <c r="H1340" s="341"/>
      <c r="I1340" s="417"/>
      <c r="J1340" s="427"/>
      <c r="K1340" s="428"/>
      <c r="L1340" s="429"/>
      <c r="M1340" s="428"/>
      <c r="N1340" s="430"/>
      <c r="O1340" s="431"/>
      <c r="P1340" s="431"/>
      <c r="Q1340" s="300"/>
      <c r="R1340" s="341"/>
    </row>
    <row r="1341" ht="15.75" customHeight="1">
      <c r="A1341" s="361"/>
      <c r="B1341" s="330"/>
      <c r="C1341" s="321"/>
      <c r="D1341" s="425"/>
      <c r="E1341" s="424"/>
      <c r="F1341" s="426"/>
      <c r="G1341" s="341"/>
      <c r="H1341" s="341"/>
      <c r="I1341" s="417"/>
      <c r="J1341" s="427"/>
      <c r="K1341" s="428"/>
      <c r="L1341" s="429"/>
      <c r="M1341" s="428"/>
      <c r="N1341" s="430"/>
      <c r="O1341" s="431"/>
      <c r="P1341" s="431"/>
      <c r="Q1341" s="300"/>
      <c r="R1341" s="341"/>
    </row>
    <row r="1342" ht="15.75" customHeight="1">
      <c r="A1342" s="361"/>
      <c r="B1342" s="330"/>
      <c r="C1342" s="321"/>
      <c r="D1342" s="425"/>
      <c r="E1342" s="424"/>
      <c r="F1342" s="426"/>
      <c r="G1342" s="341"/>
      <c r="H1342" s="341"/>
      <c r="I1342" s="417"/>
      <c r="J1342" s="427"/>
      <c r="K1342" s="428"/>
      <c r="L1342" s="429"/>
      <c r="M1342" s="428"/>
      <c r="N1342" s="430"/>
      <c r="O1342" s="431"/>
      <c r="P1342" s="431"/>
      <c r="Q1342" s="300"/>
      <c r="R1342" s="341"/>
    </row>
    <row r="1343" ht="15.75" customHeight="1">
      <c r="A1343" s="361"/>
      <c r="B1343" s="330"/>
      <c r="C1343" s="321"/>
      <c r="D1343" s="425"/>
      <c r="E1343" s="424"/>
      <c r="F1343" s="426"/>
      <c r="G1343" s="341"/>
      <c r="H1343" s="341"/>
      <c r="I1343" s="417"/>
      <c r="J1343" s="427"/>
      <c r="K1343" s="428"/>
      <c r="L1343" s="429"/>
      <c r="M1343" s="428"/>
      <c r="N1343" s="430"/>
      <c r="O1343" s="431"/>
      <c r="P1343" s="431"/>
      <c r="Q1343" s="300"/>
      <c r="R1343" s="341"/>
    </row>
    <row r="1344" ht="15.75" customHeight="1">
      <c r="A1344" s="361"/>
      <c r="B1344" s="330"/>
      <c r="C1344" s="321"/>
      <c r="D1344" s="425"/>
      <c r="E1344" s="424"/>
      <c r="F1344" s="426"/>
      <c r="G1344" s="341"/>
      <c r="H1344" s="341"/>
      <c r="I1344" s="417"/>
      <c r="J1344" s="427"/>
      <c r="K1344" s="428"/>
      <c r="L1344" s="429"/>
      <c r="M1344" s="428"/>
      <c r="N1344" s="430"/>
      <c r="O1344" s="431"/>
      <c r="P1344" s="431"/>
      <c r="Q1344" s="300"/>
      <c r="R1344" s="341"/>
    </row>
    <row r="1345" ht="15.75" customHeight="1">
      <c r="A1345" s="361"/>
      <c r="B1345" s="330"/>
      <c r="C1345" s="321"/>
      <c r="D1345" s="425"/>
      <c r="E1345" s="424"/>
      <c r="F1345" s="426"/>
      <c r="G1345" s="341"/>
      <c r="H1345" s="341"/>
      <c r="I1345" s="417"/>
      <c r="J1345" s="427"/>
      <c r="K1345" s="428"/>
      <c r="L1345" s="429"/>
      <c r="M1345" s="428"/>
      <c r="N1345" s="430"/>
      <c r="O1345" s="431"/>
      <c r="P1345" s="431"/>
      <c r="Q1345" s="300"/>
      <c r="R1345" s="341"/>
    </row>
    <row r="1346" ht="15.75" customHeight="1">
      <c r="A1346" s="361"/>
      <c r="B1346" s="330"/>
      <c r="C1346" s="321"/>
      <c r="D1346" s="425"/>
      <c r="E1346" s="424"/>
      <c r="F1346" s="426"/>
      <c r="G1346" s="341"/>
      <c r="H1346" s="341"/>
      <c r="I1346" s="417"/>
      <c r="J1346" s="427"/>
      <c r="K1346" s="428"/>
      <c r="L1346" s="429"/>
      <c r="M1346" s="428"/>
      <c r="N1346" s="430"/>
      <c r="O1346" s="431"/>
      <c r="P1346" s="431"/>
      <c r="Q1346" s="300"/>
      <c r="R1346" s="341"/>
    </row>
    <row r="1347" ht="15.75" customHeight="1">
      <c r="A1347" s="361"/>
      <c r="B1347" s="330"/>
      <c r="C1347" s="321"/>
      <c r="D1347" s="425"/>
      <c r="E1347" s="424"/>
      <c r="F1347" s="426"/>
      <c r="G1347" s="341"/>
      <c r="H1347" s="341"/>
      <c r="I1347" s="417"/>
      <c r="J1347" s="427"/>
      <c r="K1347" s="428"/>
      <c r="L1347" s="429"/>
      <c r="M1347" s="428"/>
      <c r="N1347" s="430"/>
      <c r="O1347" s="431"/>
      <c r="P1347" s="431"/>
      <c r="Q1347" s="300"/>
      <c r="R1347" s="341"/>
    </row>
    <row r="1348" ht="15.75" customHeight="1">
      <c r="A1348" s="361"/>
      <c r="B1348" s="330"/>
      <c r="C1348" s="321"/>
      <c r="D1348" s="425"/>
      <c r="E1348" s="424"/>
      <c r="F1348" s="426"/>
      <c r="G1348" s="341"/>
      <c r="H1348" s="341"/>
      <c r="I1348" s="417"/>
      <c r="J1348" s="427"/>
      <c r="K1348" s="428"/>
      <c r="L1348" s="429"/>
      <c r="M1348" s="428"/>
      <c r="N1348" s="430"/>
      <c r="O1348" s="431"/>
      <c r="P1348" s="431"/>
      <c r="Q1348" s="300"/>
      <c r="R1348" s="341"/>
    </row>
    <row r="1349" ht="15.75" customHeight="1">
      <c r="A1349" s="361"/>
      <c r="B1349" s="330"/>
      <c r="C1349" s="321"/>
      <c r="D1349" s="425"/>
      <c r="E1349" s="424"/>
      <c r="F1349" s="426"/>
      <c r="G1349" s="341"/>
      <c r="H1349" s="341"/>
      <c r="I1349" s="417"/>
      <c r="J1349" s="427"/>
      <c r="K1349" s="428"/>
      <c r="L1349" s="429"/>
      <c r="M1349" s="428"/>
      <c r="N1349" s="430"/>
      <c r="O1349" s="431"/>
      <c r="P1349" s="431"/>
      <c r="Q1349" s="300"/>
      <c r="R1349" s="341"/>
    </row>
    <row r="1350" ht="15.75" customHeight="1">
      <c r="A1350" s="361"/>
      <c r="B1350" s="330"/>
      <c r="C1350" s="321"/>
      <c r="D1350" s="425"/>
      <c r="E1350" s="424"/>
      <c r="F1350" s="426"/>
      <c r="G1350" s="341"/>
      <c r="H1350" s="341"/>
      <c r="I1350" s="417"/>
      <c r="J1350" s="427"/>
      <c r="K1350" s="428"/>
      <c r="L1350" s="429"/>
      <c r="M1350" s="428"/>
      <c r="N1350" s="430"/>
      <c r="O1350" s="431"/>
      <c r="P1350" s="431"/>
      <c r="Q1350" s="300"/>
      <c r="R1350" s="341"/>
    </row>
    <row r="1351" ht="15.75" customHeight="1">
      <c r="A1351" s="361"/>
      <c r="B1351" s="330"/>
      <c r="C1351" s="321"/>
      <c r="D1351" s="425"/>
      <c r="E1351" s="424"/>
      <c r="F1351" s="426"/>
      <c r="G1351" s="341"/>
      <c r="H1351" s="341"/>
      <c r="I1351" s="417"/>
      <c r="J1351" s="427"/>
      <c r="K1351" s="428"/>
      <c r="L1351" s="429"/>
      <c r="M1351" s="428"/>
      <c r="N1351" s="430"/>
      <c r="O1351" s="431"/>
      <c r="P1351" s="431"/>
      <c r="Q1351" s="300"/>
      <c r="R1351" s="341"/>
    </row>
    <row r="1352" ht="15.75" customHeight="1">
      <c r="A1352" s="361"/>
      <c r="B1352" s="330"/>
      <c r="C1352" s="321"/>
      <c r="D1352" s="425"/>
      <c r="E1352" s="424"/>
      <c r="F1352" s="426"/>
      <c r="G1352" s="341"/>
      <c r="H1352" s="341"/>
      <c r="I1352" s="417"/>
      <c r="J1352" s="427"/>
      <c r="K1352" s="428"/>
      <c r="L1352" s="429"/>
      <c r="M1352" s="428"/>
      <c r="N1352" s="430"/>
      <c r="O1352" s="431"/>
      <c r="P1352" s="431"/>
      <c r="Q1352" s="300"/>
      <c r="R1352" s="341"/>
    </row>
    <row r="1353" ht="15.75" customHeight="1">
      <c r="A1353" s="361"/>
      <c r="B1353" s="330"/>
      <c r="C1353" s="321"/>
      <c r="D1353" s="425"/>
      <c r="E1353" s="424"/>
      <c r="F1353" s="426"/>
      <c r="G1353" s="341"/>
      <c r="H1353" s="341"/>
      <c r="I1353" s="417"/>
      <c r="J1353" s="427"/>
      <c r="K1353" s="428"/>
      <c r="L1353" s="429"/>
      <c r="M1353" s="428"/>
      <c r="N1353" s="430"/>
      <c r="O1353" s="431"/>
      <c r="P1353" s="431"/>
      <c r="Q1353" s="300"/>
      <c r="R1353" s="341"/>
    </row>
    <row r="1354" ht="15.75" customHeight="1">
      <c r="A1354" s="361"/>
      <c r="B1354" s="330"/>
      <c r="C1354" s="321"/>
      <c r="D1354" s="425"/>
      <c r="E1354" s="424"/>
      <c r="F1354" s="426"/>
      <c r="G1354" s="341"/>
      <c r="H1354" s="341"/>
      <c r="I1354" s="417"/>
      <c r="J1354" s="427"/>
      <c r="K1354" s="428"/>
      <c r="L1354" s="429"/>
      <c r="M1354" s="428"/>
      <c r="N1354" s="430"/>
      <c r="O1354" s="431"/>
      <c r="P1354" s="431"/>
      <c r="Q1354" s="300"/>
      <c r="R1354" s="341"/>
    </row>
    <row r="1355" ht="15.75" customHeight="1">
      <c r="A1355" s="361"/>
      <c r="B1355" s="330"/>
      <c r="C1355" s="321"/>
      <c r="D1355" s="425"/>
      <c r="E1355" s="424"/>
      <c r="F1355" s="426"/>
      <c r="G1355" s="341"/>
      <c r="H1355" s="341"/>
      <c r="I1355" s="417"/>
      <c r="J1355" s="427"/>
      <c r="K1355" s="428"/>
      <c r="L1355" s="429"/>
      <c r="M1355" s="428"/>
      <c r="N1355" s="430"/>
      <c r="O1355" s="431"/>
      <c r="P1355" s="431"/>
      <c r="Q1355" s="300"/>
      <c r="R1355" s="341"/>
    </row>
    <row r="1356" ht="15.75" customHeight="1">
      <c r="A1356" s="361"/>
      <c r="B1356" s="330"/>
      <c r="C1356" s="321"/>
      <c r="D1356" s="425"/>
      <c r="E1356" s="424"/>
      <c r="F1356" s="426"/>
      <c r="G1356" s="341"/>
      <c r="H1356" s="341"/>
      <c r="I1356" s="417"/>
      <c r="J1356" s="427"/>
      <c r="K1356" s="428"/>
      <c r="L1356" s="429"/>
      <c r="M1356" s="428"/>
      <c r="N1356" s="430"/>
      <c r="O1356" s="431"/>
      <c r="P1356" s="431"/>
      <c r="Q1356" s="300"/>
      <c r="R1356" s="341"/>
    </row>
    <row r="1357" ht="15.75" customHeight="1">
      <c r="A1357" s="361"/>
      <c r="B1357" s="330"/>
      <c r="C1357" s="321"/>
      <c r="D1357" s="425"/>
      <c r="E1357" s="424"/>
      <c r="F1357" s="426"/>
      <c r="G1357" s="341"/>
      <c r="H1357" s="341"/>
      <c r="I1357" s="417"/>
      <c r="J1357" s="427"/>
      <c r="K1357" s="428"/>
      <c r="L1357" s="429"/>
      <c r="M1357" s="428"/>
      <c r="N1357" s="430"/>
      <c r="O1357" s="431"/>
      <c r="P1357" s="431"/>
      <c r="Q1357" s="300"/>
      <c r="R1357" s="341"/>
    </row>
    <row r="1358" ht="15.75" customHeight="1">
      <c r="A1358" s="361"/>
      <c r="B1358" s="330"/>
      <c r="C1358" s="321"/>
      <c r="D1358" s="425"/>
      <c r="E1358" s="424"/>
      <c r="F1358" s="426"/>
      <c r="G1358" s="341"/>
      <c r="H1358" s="341"/>
      <c r="I1358" s="417"/>
      <c r="J1358" s="427"/>
      <c r="K1358" s="428"/>
      <c r="L1358" s="429"/>
      <c r="M1358" s="428"/>
      <c r="N1358" s="430"/>
      <c r="O1358" s="431"/>
      <c r="P1358" s="431"/>
      <c r="Q1358" s="300"/>
      <c r="R1358" s="341"/>
    </row>
    <row r="1359" ht="15.75" customHeight="1">
      <c r="A1359" s="361"/>
      <c r="B1359" s="330"/>
      <c r="C1359" s="321"/>
      <c r="D1359" s="425"/>
      <c r="E1359" s="424"/>
      <c r="F1359" s="426"/>
      <c r="G1359" s="341"/>
      <c r="H1359" s="341"/>
      <c r="I1359" s="417"/>
      <c r="J1359" s="427"/>
      <c r="K1359" s="428"/>
      <c r="L1359" s="429"/>
      <c r="M1359" s="428"/>
      <c r="N1359" s="430"/>
      <c r="O1359" s="431"/>
      <c r="P1359" s="431"/>
      <c r="Q1359" s="300"/>
      <c r="R1359" s="341"/>
    </row>
    <row r="1360" ht="15.75" customHeight="1">
      <c r="A1360" s="361"/>
      <c r="B1360" s="330"/>
      <c r="C1360" s="321"/>
      <c r="D1360" s="425"/>
      <c r="E1360" s="424"/>
      <c r="F1360" s="426"/>
      <c r="G1360" s="341"/>
      <c r="H1360" s="341"/>
      <c r="I1360" s="417"/>
      <c r="J1360" s="427"/>
      <c r="K1360" s="428"/>
      <c r="L1360" s="429"/>
      <c r="M1360" s="428"/>
      <c r="N1360" s="430"/>
      <c r="O1360" s="431"/>
      <c r="P1360" s="431"/>
      <c r="Q1360" s="300"/>
      <c r="R1360" s="341"/>
    </row>
    <row r="1361" ht="15.75" customHeight="1">
      <c r="A1361" s="361"/>
      <c r="B1361" s="330"/>
      <c r="C1361" s="321"/>
      <c r="D1361" s="425"/>
      <c r="E1361" s="424"/>
      <c r="F1361" s="426"/>
      <c r="G1361" s="341"/>
      <c r="H1361" s="341"/>
      <c r="I1361" s="417"/>
      <c r="J1361" s="427"/>
      <c r="K1361" s="428"/>
      <c r="L1361" s="429"/>
      <c r="M1361" s="428"/>
      <c r="N1361" s="430"/>
      <c r="O1361" s="431"/>
      <c r="P1361" s="431"/>
      <c r="Q1361" s="300"/>
      <c r="R1361" s="341"/>
    </row>
    <row r="1362" ht="15.75" customHeight="1">
      <c r="A1362" s="361"/>
      <c r="B1362" s="330"/>
      <c r="C1362" s="321"/>
      <c r="D1362" s="425"/>
      <c r="E1362" s="424"/>
      <c r="F1362" s="426"/>
      <c r="G1362" s="341"/>
      <c r="H1362" s="341"/>
      <c r="I1362" s="417"/>
      <c r="J1362" s="427"/>
      <c r="K1362" s="428"/>
      <c r="L1362" s="429"/>
      <c r="M1362" s="428"/>
      <c r="N1362" s="430"/>
      <c r="O1362" s="431"/>
      <c r="P1362" s="431"/>
      <c r="Q1362" s="300"/>
      <c r="R1362" s="341"/>
    </row>
    <row r="1363" ht="15.75" customHeight="1">
      <c r="A1363" s="361"/>
      <c r="B1363" s="330"/>
      <c r="C1363" s="321"/>
      <c r="D1363" s="425"/>
      <c r="E1363" s="424"/>
      <c r="F1363" s="426"/>
      <c r="G1363" s="341"/>
      <c r="H1363" s="341"/>
      <c r="I1363" s="417"/>
      <c r="J1363" s="427"/>
      <c r="K1363" s="428"/>
      <c r="L1363" s="429"/>
      <c r="M1363" s="428"/>
      <c r="N1363" s="430"/>
      <c r="O1363" s="431"/>
      <c r="P1363" s="431"/>
      <c r="Q1363" s="300"/>
      <c r="R1363" s="341"/>
    </row>
    <row r="1364" ht="15.75" customHeight="1">
      <c r="A1364" s="361"/>
      <c r="B1364" s="330"/>
      <c r="C1364" s="321"/>
      <c r="D1364" s="425"/>
      <c r="E1364" s="424"/>
      <c r="F1364" s="426"/>
      <c r="G1364" s="341"/>
      <c r="H1364" s="341"/>
      <c r="I1364" s="417"/>
      <c r="J1364" s="427"/>
      <c r="K1364" s="428"/>
      <c r="L1364" s="429"/>
      <c r="M1364" s="428"/>
      <c r="N1364" s="430"/>
      <c r="O1364" s="431"/>
      <c r="P1364" s="431"/>
      <c r="Q1364" s="300"/>
      <c r="R1364" s="341"/>
    </row>
    <row r="1365" ht="15.75" customHeight="1">
      <c r="A1365" s="361"/>
      <c r="B1365" s="330"/>
      <c r="C1365" s="321"/>
      <c r="D1365" s="425"/>
      <c r="E1365" s="424"/>
      <c r="F1365" s="426"/>
      <c r="G1365" s="341"/>
      <c r="H1365" s="341"/>
      <c r="I1365" s="417"/>
      <c r="J1365" s="427"/>
      <c r="K1365" s="428"/>
      <c r="L1365" s="429"/>
      <c r="M1365" s="428"/>
      <c r="N1365" s="430"/>
      <c r="O1365" s="431"/>
      <c r="P1365" s="431"/>
      <c r="Q1365" s="300"/>
      <c r="R1365" s="341"/>
    </row>
    <row r="1366" ht="15.75" customHeight="1">
      <c r="A1366" s="361"/>
      <c r="B1366" s="330"/>
      <c r="C1366" s="321"/>
      <c r="D1366" s="425"/>
      <c r="E1366" s="424"/>
      <c r="F1366" s="426"/>
      <c r="G1366" s="341"/>
      <c r="H1366" s="341"/>
      <c r="I1366" s="417"/>
      <c r="J1366" s="427"/>
      <c r="K1366" s="428"/>
      <c r="L1366" s="429"/>
      <c r="M1366" s="428"/>
      <c r="N1366" s="430"/>
      <c r="O1366" s="431"/>
      <c r="P1366" s="431"/>
      <c r="Q1366" s="300"/>
      <c r="R1366" s="341"/>
    </row>
    <row r="1367" ht="15.75" customHeight="1">
      <c r="A1367" s="361"/>
      <c r="B1367" s="330"/>
      <c r="C1367" s="321"/>
      <c r="D1367" s="425"/>
      <c r="E1367" s="424"/>
      <c r="F1367" s="426"/>
      <c r="G1367" s="341"/>
      <c r="H1367" s="341"/>
      <c r="I1367" s="417"/>
      <c r="J1367" s="427"/>
      <c r="K1367" s="428"/>
      <c r="L1367" s="429"/>
      <c r="M1367" s="428"/>
      <c r="N1367" s="430"/>
      <c r="O1367" s="431"/>
      <c r="P1367" s="431"/>
      <c r="Q1367" s="300"/>
      <c r="R1367" s="341"/>
    </row>
    <row r="1368" ht="15.75" customHeight="1">
      <c r="A1368" s="361"/>
      <c r="B1368" s="330"/>
      <c r="C1368" s="321"/>
      <c r="D1368" s="425"/>
      <c r="E1368" s="424"/>
      <c r="F1368" s="426"/>
      <c r="G1368" s="341"/>
      <c r="H1368" s="341"/>
      <c r="I1368" s="417"/>
      <c r="J1368" s="427"/>
      <c r="K1368" s="428"/>
      <c r="L1368" s="429"/>
      <c r="M1368" s="428"/>
      <c r="N1368" s="430"/>
      <c r="O1368" s="431"/>
      <c r="P1368" s="431"/>
      <c r="Q1368" s="300"/>
      <c r="R1368" s="341"/>
    </row>
    <row r="1369" ht="15.75" customHeight="1">
      <c r="A1369" s="361"/>
      <c r="B1369" s="330"/>
      <c r="C1369" s="321"/>
      <c r="D1369" s="425"/>
      <c r="E1369" s="424"/>
      <c r="F1369" s="426"/>
      <c r="G1369" s="341"/>
      <c r="H1369" s="341"/>
      <c r="I1369" s="417"/>
      <c r="J1369" s="427"/>
      <c r="K1369" s="428"/>
      <c r="L1369" s="429"/>
      <c r="M1369" s="428"/>
      <c r="N1369" s="430"/>
      <c r="O1369" s="431"/>
      <c r="P1369" s="431"/>
      <c r="Q1369" s="300"/>
      <c r="R1369" s="341"/>
    </row>
    <row r="1370" ht="15.75" customHeight="1">
      <c r="A1370" s="361"/>
      <c r="B1370" s="330"/>
      <c r="C1370" s="321"/>
      <c r="D1370" s="425"/>
      <c r="E1370" s="424"/>
      <c r="F1370" s="426"/>
      <c r="G1370" s="341"/>
      <c r="H1370" s="341"/>
      <c r="I1370" s="417"/>
      <c r="J1370" s="427"/>
      <c r="K1370" s="428"/>
      <c r="L1370" s="429"/>
      <c r="M1370" s="428"/>
      <c r="N1370" s="430"/>
      <c r="O1370" s="431"/>
      <c r="P1370" s="431"/>
      <c r="Q1370" s="300"/>
      <c r="R1370" s="341"/>
    </row>
    <row r="1371" ht="15.75" customHeight="1">
      <c r="A1371" s="361"/>
      <c r="B1371" s="330"/>
      <c r="C1371" s="321"/>
      <c r="D1371" s="425"/>
      <c r="E1371" s="424"/>
      <c r="F1371" s="426"/>
      <c r="G1371" s="341"/>
      <c r="H1371" s="341"/>
      <c r="I1371" s="417"/>
      <c r="J1371" s="427"/>
      <c r="K1371" s="428"/>
      <c r="L1371" s="429"/>
      <c r="M1371" s="428"/>
      <c r="N1371" s="430"/>
      <c r="O1371" s="431"/>
      <c r="P1371" s="431"/>
      <c r="Q1371" s="300"/>
      <c r="R1371" s="341"/>
    </row>
    <row r="1372" ht="15.75" customHeight="1">
      <c r="A1372" s="361"/>
      <c r="B1372" s="330"/>
      <c r="C1372" s="321"/>
      <c r="D1372" s="425"/>
      <c r="E1372" s="424"/>
      <c r="F1372" s="426"/>
      <c r="G1372" s="341"/>
      <c r="H1372" s="341"/>
      <c r="I1372" s="417"/>
      <c r="J1372" s="427"/>
      <c r="K1372" s="428"/>
      <c r="L1372" s="429"/>
      <c r="M1372" s="428"/>
      <c r="N1372" s="430"/>
      <c r="O1372" s="431"/>
      <c r="P1372" s="431"/>
      <c r="Q1372" s="300"/>
      <c r="R1372" s="341"/>
    </row>
    <row r="1373" ht="15.75" customHeight="1">
      <c r="A1373" s="361"/>
      <c r="B1373" s="330"/>
      <c r="C1373" s="321"/>
      <c r="D1373" s="425"/>
      <c r="E1373" s="424"/>
      <c r="F1373" s="426"/>
      <c r="G1373" s="341"/>
      <c r="H1373" s="341"/>
      <c r="I1373" s="417"/>
      <c r="J1373" s="427"/>
      <c r="K1373" s="428"/>
      <c r="L1373" s="429"/>
      <c r="M1373" s="428"/>
      <c r="N1373" s="430"/>
      <c r="O1373" s="431"/>
      <c r="P1373" s="431"/>
      <c r="Q1373" s="300"/>
      <c r="R1373" s="341"/>
    </row>
    <row r="1374" ht="15.75" customHeight="1">
      <c r="A1374" s="361"/>
      <c r="B1374" s="330"/>
      <c r="C1374" s="321"/>
      <c r="D1374" s="425"/>
      <c r="E1374" s="424"/>
      <c r="F1374" s="426"/>
      <c r="G1374" s="341"/>
      <c r="H1374" s="341"/>
      <c r="I1374" s="417"/>
      <c r="J1374" s="427"/>
      <c r="K1374" s="428"/>
      <c r="L1374" s="429"/>
      <c r="M1374" s="428"/>
      <c r="N1374" s="430"/>
      <c r="O1374" s="431"/>
      <c r="P1374" s="431"/>
      <c r="Q1374" s="300"/>
      <c r="R1374" s="341"/>
    </row>
    <row r="1375" ht="15.75" customHeight="1">
      <c r="A1375" s="361"/>
      <c r="B1375" s="330"/>
      <c r="C1375" s="321"/>
      <c r="D1375" s="425"/>
      <c r="E1375" s="424"/>
      <c r="F1375" s="426"/>
      <c r="G1375" s="341"/>
      <c r="H1375" s="341"/>
      <c r="I1375" s="417"/>
      <c r="J1375" s="427"/>
      <c r="K1375" s="428"/>
      <c r="L1375" s="429"/>
      <c r="M1375" s="428"/>
      <c r="N1375" s="430"/>
      <c r="O1375" s="431"/>
      <c r="P1375" s="431"/>
      <c r="Q1375" s="300"/>
      <c r="R1375" s="341"/>
    </row>
    <row r="1376" ht="15.75" customHeight="1">
      <c r="A1376" s="361"/>
      <c r="B1376" s="330"/>
      <c r="C1376" s="321"/>
      <c r="D1376" s="425"/>
      <c r="E1376" s="424"/>
      <c r="F1376" s="426"/>
      <c r="G1376" s="341"/>
      <c r="H1376" s="341"/>
      <c r="I1376" s="417"/>
      <c r="J1376" s="427"/>
      <c r="K1376" s="428"/>
      <c r="L1376" s="429"/>
      <c r="M1376" s="428"/>
      <c r="N1376" s="430"/>
      <c r="O1376" s="431"/>
      <c r="P1376" s="431"/>
      <c r="Q1376" s="300"/>
      <c r="R1376" s="341"/>
    </row>
    <row r="1377" ht="15.75" customHeight="1">
      <c r="A1377" s="361"/>
      <c r="B1377" s="330"/>
      <c r="C1377" s="321"/>
      <c r="D1377" s="425"/>
      <c r="E1377" s="424"/>
      <c r="F1377" s="426"/>
      <c r="G1377" s="341"/>
      <c r="H1377" s="341"/>
      <c r="I1377" s="417"/>
      <c r="J1377" s="427"/>
      <c r="K1377" s="428"/>
      <c r="L1377" s="429"/>
      <c r="M1377" s="428"/>
      <c r="N1377" s="430"/>
      <c r="O1377" s="431"/>
      <c r="P1377" s="431"/>
      <c r="Q1377" s="300"/>
      <c r="R1377" s="341"/>
    </row>
    <row r="1378" ht="15.75" customHeight="1">
      <c r="A1378" s="361"/>
      <c r="B1378" s="330"/>
      <c r="C1378" s="321"/>
      <c r="D1378" s="425"/>
      <c r="E1378" s="424"/>
      <c r="F1378" s="426"/>
      <c r="G1378" s="341"/>
      <c r="H1378" s="341"/>
      <c r="I1378" s="417"/>
      <c r="J1378" s="427"/>
      <c r="K1378" s="428"/>
      <c r="L1378" s="429"/>
      <c r="M1378" s="428"/>
      <c r="N1378" s="430"/>
      <c r="O1378" s="431"/>
      <c r="P1378" s="431"/>
      <c r="Q1378" s="300"/>
      <c r="R1378" s="341"/>
    </row>
    <row r="1379" ht="15.75" customHeight="1">
      <c r="A1379" s="361"/>
      <c r="B1379" s="330"/>
      <c r="C1379" s="321"/>
      <c r="D1379" s="425"/>
      <c r="E1379" s="424"/>
      <c r="F1379" s="426"/>
      <c r="G1379" s="341"/>
      <c r="H1379" s="341"/>
      <c r="I1379" s="417"/>
      <c r="J1379" s="427"/>
      <c r="K1379" s="428"/>
      <c r="L1379" s="429"/>
      <c r="M1379" s="428"/>
      <c r="N1379" s="430"/>
      <c r="O1379" s="431"/>
      <c r="P1379" s="431"/>
      <c r="Q1379" s="300"/>
      <c r="R1379" s="341"/>
    </row>
    <row r="1380" ht="15.75" customHeight="1">
      <c r="A1380" s="361"/>
      <c r="B1380" s="330"/>
      <c r="C1380" s="321"/>
      <c r="D1380" s="425"/>
      <c r="E1380" s="424"/>
      <c r="F1380" s="426"/>
      <c r="G1380" s="341"/>
      <c r="H1380" s="341"/>
      <c r="I1380" s="417"/>
      <c r="J1380" s="427"/>
      <c r="K1380" s="428"/>
      <c r="L1380" s="429"/>
      <c r="M1380" s="428"/>
      <c r="N1380" s="430"/>
      <c r="O1380" s="431"/>
      <c r="P1380" s="431"/>
      <c r="Q1380" s="300"/>
      <c r="R1380" s="341"/>
    </row>
    <row r="1381" ht="15.75" customHeight="1">
      <c r="A1381" s="361"/>
      <c r="B1381" s="330"/>
      <c r="C1381" s="321"/>
      <c r="D1381" s="425"/>
      <c r="E1381" s="424"/>
      <c r="F1381" s="426"/>
      <c r="G1381" s="341"/>
      <c r="H1381" s="341"/>
      <c r="I1381" s="417"/>
      <c r="J1381" s="427"/>
      <c r="K1381" s="428"/>
      <c r="L1381" s="429"/>
      <c r="M1381" s="428"/>
      <c r="N1381" s="430"/>
      <c r="O1381" s="431"/>
      <c r="P1381" s="431"/>
      <c r="Q1381" s="300"/>
      <c r="R1381" s="341"/>
    </row>
    <row r="1382" ht="15.75" customHeight="1">
      <c r="A1382" s="361"/>
      <c r="B1382" s="330"/>
      <c r="C1382" s="321"/>
      <c r="D1382" s="425"/>
      <c r="E1382" s="424"/>
      <c r="F1382" s="426"/>
      <c r="G1382" s="341"/>
      <c r="H1382" s="341"/>
      <c r="I1382" s="417"/>
      <c r="J1382" s="427"/>
      <c r="K1382" s="428"/>
      <c r="L1382" s="429"/>
      <c r="M1382" s="428"/>
      <c r="N1382" s="430"/>
      <c r="O1382" s="431"/>
      <c r="P1382" s="431"/>
      <c r="Q1382" s="300"/>
      <c r="R1382" s="341"/>
    </row>
    <row r="1383" ht="15.75" customHeight="1">
      <c r="A1383" s="361"/>
      <c r="B1383" s="330"/>
      <c r="C1383" s="321"/>
      <c r="D1383" s="425"/>
      <c r="E1383" s="424"/>
      <c r="F1383" s="426"/>
      <c r="G1383" s="341"/>
      <c r="H1383" s="341"/>
      <c r="I1383" s="417"/>
      <c r="J1383" s="427"/>
      <c r="K1383" s="428"/>
      <c r="L1383" s="429"/>
      <c r="M1383" s="428"/>
      <c r="N1383" s="430"/>
      <c r="O1383" s="431"/>
      <c r="P1383" s="431"/>
      <c r="Q1383" s="300"/>
      <c r="R1383" s="341"/>
    </row>
    <row r="1384" ht="15.75" customHeight="1">
      <c r="A1384" s="361"/>
      <c r="B1384" s="330"/>
      <c r="C1384" s="321"/>
      <c r="D1384" s="425"/>
      <c r="E1384" s="424"/>
      <c r="F1384" s="426"/>
      <c r="G1384" s="341"/>
      <c r="H1384" s="341"/>
      <c r="I1384" s="417"/>
      <c r="J1384" s="427"/>
      <c r="K1384" s="428"/>
      <c r="L1384" s="429"/>
      <c r="M1384" s="428"/>
      <c r="N1384" s="430"/>
      <c r="O1384" s="431"/>
      <c r="P1384" s="431"/>
      <c r="Q1384" s="300"/>
      <c r="R1384" s="341"/>
    </row>
    <row r="1385" ht="15.75" customHeight="1">
      <c r="A1385" s="361"/>
      <c r="B1385" s="330"/>
      <c r="C1385" s="321"/>
      <c r="D1385" s="425"/>
      <c r="E1385" s="424"/>
      <c r="F1385" s="426"/>
      <c r="G1385" s="341"/>
      <c r="H1385" s="341"/>
      <c r="I1385" s="417"/>
      <c r="J1385" s="427"/>
      <c r="K1385" s="428"/>
      <c r="L1385" s="429"/>
      <c r="M1385" s="428"/>
      <c r="N1385" s="430"/>
      <c r="O1385" s="431"/>
      <c r="P1385" s="431"/>
      <c r="Q1385" s="300"/>
      <c r="R1385" s="341"/>
    </row>
    <row r="1386" ht="15.75" customHeight="1">
      <c r="A1386" s="361"/>
      <c r="B1386" s="330"/>
      <c r="C1386" s="321"/>
      <c r="D1386" s="425"/>
      <c r="E1386" s="424"/>
      <c r="F1386" s="426"/>
      <c r="G1386" s="341"/>
      <c r="H1386" s="341"/>
      <c r="I1386" s="417"/>
      <c r="J1386" s="427"/>
      <c r="K1386" s="428"/>
      <c r="L1386" s="429"/>
      <c r="M1386" s="428"/>
      <c r="N1386" s="430"/>
      <c r="O1386" s="431"/>
      <c r="P1386" s="431"/>
      <c r="Q1386" s="300"/>
      <c r="R1386" s="341"/>
    </row>
    <row r="1387" ht="15.75" customHeight="1">
      <c r="A1387" s="361"/>
      <c r="B1387" s="330"/>
      <c r="C1387" s="321"/>
      <c r="D1387" s="425"/>
      <c r="E1387" s="424"/>
      <c r="F1387" s="426"/>
      <c r="G1387" s="341"/>
      <c r="H1387" s="341"/>
      <c r="I1387" s="417"/>
      <c r="J1387" s="427"/>
      <c r="K1387" s="428"/>
      <c r="L1387" s="429"/>
      <c r="M1387" s="428"/>
      <c r="N1387" s="430"/>
      <c r="O1387" s="431"/>
      <c r="P1387" s="431"/>
      <c r="Q1387" s="300"/>
      <c r="R1387" s="341"/>
    </row>
    <row r="1388" ht="15.75" customHeight="1">
      <c r="A1388" s="361"/>
      <c r="B1388" s="330"/>
      <c r="C1388" s="321"/>
      <c r="D1388" s="425"/>
      <c r="E1388" s="424"/>
      <c r="F1388" s="426"/>
      <c r="G1388" s="341"/>
      <c r="H1388" s="341"/>
      <c r="I1388" s="417"/>
      <c r="J1388" s="427"/>
      <c r="K1388" s="428"/>
      <c r="L1388" s="429"/>
      <c r="M1388" s="428"/>
      <c r="N1388" s="430"/>
      <c r="O1388" s="431"/>
      <c r="P1388" s="431"/>
      <c r="Q1388" s="300"/>
      <c r="R1388" s="341"/>
    </row>
    <row r="1389" ht="15.75" customHeight="1">
      <c r="A1389" s="361"/>
      <c r="B1389" s="330"/>
      <c r="C1389" s="321"/>
      <c r="D1389" s="425"/>
      <c r="E1389" s="424"/>
      <c r="F1389" s="426"/>
      <c r="G1389" s="341"/>
      <c r="H1389" s="341"/>
      <c r="I1389" s="417"/>
      <c r="J1389" s="427"/>
      <c r="K1389" s="428"/>
      <c r="L1389" s="429"/>
      <c r="M1389" s="428"/>
      <c r="N1389" s="430"/>
      <c r="O1389" s="431"/>
      <c r="P1389" s="431"/>
      <c r="Q1389" s="300"/>
      <c r="R1389" s="341"/>
    </row>
    <row r="1390" ht="15.75" customHeight="1">
      <c r="A1390" s="361"/>
      <c r="B1390" s="330"/>
      <c r="C1390" s="321"/>
      <c r="D1390" s="425"/>
      <c r="E1390" s="424"/>
      <c r="F1390" s="426"/>
      <c r="G1390" s="341"/>
      <c r="H1390" s="341"/>
      <c r="I1390" s="417"/>
      <c r="J1390" s="427"/>
      <c r="K1390" s="428"/>
      <c r="L1390" s="429"/>
      <c r="M1390" s="428"/>
      <c r="N1390" s="430"/>
      <c r="O1390" s="431"/>
      <c r="P1390" s="431"/>
      <c r="Q1390" s="300"/>
      <c r="R1390" s="341"/>
    </row>
    <row r="1391" ht="15.75" customHeight="1">
      <c r="A1391" s="361"/>
      <c r="B1391" s="330"/>
      <c r="C1391" s="321"/>
      <c r="D1391" s="425"/>
      <c r="E1391" s="424"/>
      <c r="F1391" s="426"/>
      <c r="G1391" s="341"/>
      <c r="H1391" s="341"/>
      <c r="I1391" s="417"/>
      <c r="J1391" s="427"/>
      <c r="K1391" s="428"/>
      <c r="L1391" s="429"/>
      <c r="M1391" s="428"/>
      <c r="N1391" s="430"/>
      <c r="O1391" s="431"/>
      <c r="P1391" s="431"/>
      <c r="Q1391" s="300"/>
      <c r="R1391" s="341"/>
    </row>
    <row r="1392" ht="15.75" customHeight="1">
      <c r="A1392" s="361"/>
      <c r="B1392" s="330"/>
      <c r="C1392" s="321"/>
      <c r="D1392" s="425"/>
      <c r="E1392" s="424"/>
      <c r="F1392" s="426"/>
      <c r="G1392" s="341"/>
      <c r="H1392" s="341"/>
      <c r="I1392" s="417"/>
      <c r="J1392" s="427"/>
      <c r="K1392" s="428"/>
      <c r="L1392" s="429"/>
      <c r="M1392" s="428"/>
      <c r="N1392" s="430"/>
      <c r="O1392" s="431"/>
      <c r="P1392" s="431"/>
      <c r="Q1392" s="300"/>
      <c r="R1392" s="341"/>
    </row>
    <row r="1393" ht="15.75" customHeight="1">
      <c r="A1393" s="361"/>
      <c r="B1393" s="330"/>
      <c r="C1393" s="321"/>
      <c r="D1393" s="425"/>
      <c r="E1393" s="424"/>
      <c r="F1393" s="426"/>
      <c r="G1393" s="341"/>
      <c r="H1393" s="341"/>
      <c r="I1393" s="417"/>
      <c r="J1393" s="427"/>
      <c r="K1393" s="428"/>
      <c r="L1393" s="429"/>
      <c r="M1393" s="428"/>
      <c r="N1393" s="430"/>
      <c r="O1393" s="431"/>
      <c r="P1393" s="431"/>
      <c r="Q1393" s="300"/>
      <c r="R1393" s="341"/>
    </row>
    <row r="1394" ht="15.75" customHeight="1">
      <c r="A1394" s="361"/>
      <c r="B1394" s="330"/>
      <c r="C1394" s="321"/>
      <c r="D1394" s="425"/>
      <c r="E1394" s="424"/>
      <c r="F1394" s="426"/>
      <c r="G1394" s="341"/>
      <c r="H1394" s="341"/>
      <c r="I1394" s="417"/>
      <c r="J1394" s="427"/>
      <c r="K1394" s="428"/>
      <c r="L1394" s="429"/>
      <c r="M1394" s="428"/>
      <c r="N1394" s="430"/>
      <c r="O1394" s="431"/>
      <c r="P1394" s="431"/>
      <c r="Q1394" s="300"/>
      <c r="R1394" s="341"/>
    </row>
    <row r="1395" ht="15.75" customHeight="1">
      <c r="A1395" s="361"/>
      <c r="B1395" s="330"/>
      <c r="C1395" s="321"/>
      <c r="D1395" s="425"/>
      <c r="E1395" s="424"/>
      <c r="F1395" s="426"/>
      <c r="G1395" s="341"/>
      <c r="H1395" s="341"/>
      <c r="I1395" s="417"/>
      <c r="J1395" s="427"/>
      <c r="K1395" s="428"/>
      <c r="L1395" s="429"/>
      <c r="M1395" s="428"/>
      <c r="N1395" s="430"/>
      <c r="O1395" s="431"/>
      <c r="P1395" s="431"/>
      <c r="Q1395" s="300"/>
      <c r="R1395" s="341"/>
    </row>
    <row r="1396" ht="15.75" customHeight="1">
      <c r="A1396" s="361"/>
      <c r="B1396" s="330"/>
      <c r="C1396" s="321"/>
      <c r="D1396" s="425"/>
      <c r="E1396" s="424"/>
      <c r="F1396" s="426"/>
      <c r="G1396" s="341"/>
      <c r="H1396" s="341"/>
      <c r="I1396" s="417"/>
      <c r="J1396" s="427"/>
      <c r="K1396" s="428"/>
      <c r="L1396" s="429"/>
      <c r="M1396" s="428"/>
      <c r="N1396" s="430"/>
      <c r="O1396" s="431"/>
      <c r="P1396" s="431"/>
      <c r="Q1396" s="300"/>
      <c r="R1396" s="341"/>
    </row>
    <row r="1397" ht="15.75" customHeight="1">
      <c r="A1397" s="361"/>
      <c r="B1397" s="330"/>
      <c r="C1397" s="321"/>
      <c r="D1397" s="425"/>
      <c r="E1397" s="424"/>
      <c r="F1397" s="426"/>
      <c r="G1397" s="341"/>
      <c r="H1397" s="341"/>
      <c r="I1397" s="417"/>
      <c r="J1397" s="427"/>
      <c r="K1397" s="428"/>
      <c r="L1397" s="429"/>
      <c r="M1397" s="428"/>
      <c r="N1397" s="430"/>
      <c r="O1397" s="431"/>
      <c r="P1397" s="431"/>
      <c r="Q1397" s="300"/>
      <c r="R1397" s="341"/>
    </row>
    <row r="1398" ht="15.75" customHeight="1">
      <c r="A1398" s="361"/>
      <c r="B1398" s="330"/>
      <c r="C1398" s="321"/>
      <c r="D1398" s="425"/>
      <c r="E1398" s="424"/>
      <c r="F1398" s="426"/>
      <c r="G1398" s="341"/>
      <c r="H1398" s="341"/>
      <c r="I1398" s="417"/>
      <c r="J1398" s="427"/>
      <c r="K1398" s="428"/>
      <c r="L1398" s="429"/>
      <c r="M1398" s="428"/>
      <c r="N1398" s="430"/>
      <c r="O1398" s="431"/>
      <c r="P1398" s="431"/>
      <c r="Q1398" s="300"/>
      <c r="R1398" s="341"/>
    </row>
    <row r="1399" ht="15.75" customHeight="1">
      <c r="A1399" s="361"/>
      <c r="B1399" s="330"/>
      <c r="C1399" s="321"/>
      <c r="D1399" s="425"/>
      <c r="E1399" s="424"/>
      <c r="F1399" s="426"/>
      <c r="G1399" s="341"/>
      <c r="H1399" s="341"/>
      <c r="I1399" s="417"/>
      <c r="J1399" s="427"/>
      <c r="K1399" s="428"/>
      <c r="L1399" s="429"/>
      <c r="M1399" s="428"/>
      <c r="N1399" s="430"/>
      <c r="O1399" s="431"/>
      <c r="P1399" s="431"/>
      <c r="Q1399" s="300"/>
      <c r="R1399" s="341"/>
    </row>
    <row r="1400" ht="15.75" customHeight="1">
      <c r="A1400" s="361"/>
      <c r="B1400" s="330"/>
      <c r="C1400" s="321"/>
      <c r="D1400" s="425"/>
      <c r="E1400" s="424"/>
      <c r="F1400" s="426"/>
      <c r="G1400" s="341"/>
      <c r="H1400" s="341"/>
      <c r="I1400" s="417"/>
      <c r="J1400" s="427"/>
      <c r="K1400" s="428"/>
      <c r="L1400" s="429"/>
      <c r="M1400" s="428"/>
      <c r="N1400" s="430"/>
      <c r="O1400" s="431"/>
      <c r="P1400" s="431"/>
      <c r="Q1400" s="300"/>
      <c r="R1400" s="341"/>
    </row>
    <row r="1401" ht="15.75" customHeight="1">
      <c r="A1401" s="361"/>
      <c r="B1401" s="330"/>
      <c r="C1401" s="321"/>
      <c r="D1401" s="425"/>
      <c r="E1401" s="424"/>
      <c r="F1401" s="426"/>
      <c r="G1401" s="341"/>
      <c r="H1401" s="341"/>
      <c r="I1401" s="417"/>
      <c r="J1401" s="427"/>
      <c r="K1401" s="428"/>
      <c r="L1401" s="429"/>
      <c r="M1401" s="428"/>
      <c r="N1401" s="430"/>
      <c r="O1401" s="431"/>
      <c r="P1401" s="431"/>
      <c r="Q1401" s="300"/>
      <c r="R1401" s="341"/>
    </row>
    <row r="1402" ht="15.75" customHeight="1">
      <c r="A1402" s="361"/>
      <c r="B1402" s="330"/>
      <c r="C1402" s="321"/>
      <c r="D1402" s="425"/>
      <c r="E1402" s="424"/>
      <c r="F1402" s="426"/>
      <c r="G1402" s="341"/>
      <c r="H1402" s="341"/>
      <c r="I1402" s="417"/>
      <c r="J1402" s="427"/>
      <c r="K1402" s="428"/>
      <c r="L1402" s="429"/>
      <c r="M1402" s="428"/>
      <c r="N1402" s="430"/>
      <c r="O1402" s="431"/>
      <c r="P1402" s="431"/>
      <c r="Q1402" s="300"/>
      <c r="R1402" s="341"/>
    </row>
    <row r="1403" ht="15.75" customHeight="1">
      <c r="A1403" s="361"/>
      <c r="B1403" s="330"/>
      <c r="C1403" s="321"/>
      <c r="D1403" s="425"/>
      <c r="E1403" s="424"/>
      <c r="F1403" s="426"/>
      <c r="G1403" s="341"/>
      <c r="H1403" s="341"/>
      <c r="I1403" s="417"/>
      <c r="J1403" s="427"/>
      <c r="K1403" s="428"/>
      <c r="L1403" s="429"/>
      <c r="M1403" s="428"/>
      <c r="N1403" s="430"/>
      <c r="O1403" s="431"/>
      <c r="P1403" s="431"/>
      <c r="Q1403" s="300"/>
      <c r="R1403" s="341"/>
    </row>
    <row r="1404" ht="15.75" customHeight="1">
      <c r="A1404" s="361"/>
      <c r="B1404" s="330"/>
      <c r="C1404" s="321"/>
      <c r="D1404" s="425"/>
      <c r="E1404" s="424"/>
      <c r="F1404" s="426"/>
      <c r="G1404" s="341"/>
      <c r="H1404" s="341"/>
      <c r="I1404" s="417"/>
      <c r="J1404" s="427"/>
      <c r="K1404" s="428"/>
      <c r="L1404" s="429"/>
      <c r="M1404" s="428"/>
      <c r="N1404" s="430"/>
      <c r="O1404" s="431"/>
      <c r="P1404" s="431"/>
      <c r="Q1404" s="300"/>
      <c r="R1404" s="341"/>
    </row>
    <row r="1405" ht="15.75" customHeight="1">
      <c r="A1405" s="361"/>
      <c r="B1405" s="330"/>
      <c r="C1405" s="321"/>
      <c r="D1405" s="425"/>
      <c r="E1405" s="424"/>
      <c r="F1405" s="426"/>
      <c r="G1405" s="341"/>
      <c r="H1405" s="341"/>
      <c r="I1405" s="417"/>
      <c r="J1405" s="427"/>
      <c r="K1405" s="428"/>
      <c r="L1405" s="429"/>
      <c r="M1405" s="428"/>
      <c r="N1405" s="430"/>
      <c r="O1405" s="431"/>
      <c r="P1405" s="431"/>
      <c r="Q1405" s="300"/>
      <c r="R1405" s="341"/>
    </row>
    <row r="1406" ht="15.75" customHeight="1">
      <c r="A1406" s="361"/>
      <c r="B1406" s="330"/>
      <c r="C1406" s="321"/>
      <c r="D1406" s="425"/>
      <c r="E1406" s="424"/>
      <c r="F1406" s="426"/>
      <c r="G1406" s="341"/>
      <c r="H1406" s="341"/>
      <c r="I1406" s="417"/>
      <c r="J1406" s="427"/>
      <c r="K1406" s="428"/>
      <c r="L1406" s="429"/>
      <c r="M1406" s="428"/>
      <c r="N1406" s="430"/>
      <c r="O1406" s="431"/>
      <c r="P1406" s="431"/>
      <c r="Q1406" s="300"/>
      <c r="R1406" s="341"/>
    </row>
    <row r="1407" ht="15.75" customHeight="1">
      <c r="A1407" s="361"/>
      <c r="B1407" s="330"/>
      <c r="C1407" s="321"/>
      <c r="D1407" s="425"/>
      <c r="E1407" s="424"/>
      <c r="F1407" s="426"/>
      <c r="G1407" s="341"/>
      <c r="H1407" s="341"/>
      <c r="I1407" s="417"/>
      <c r="J1407" s="427"/>
      <c r="K1407" s="428"/>
      <c r="L1407" s="429"/>
      <c r="M1407" s="428"/>
      <c r="N1407" s="430"/>
      <c r="O1407" s="431"/>
      <c r="P1407" s="431"/>
      <c r="Q1407" s="300"/>
      <c r="R1407" s="341"/>
    </row>
    <row r="1408" ht="15.75" customHeight="1">
      <c r="A1408" s="361"/>
      <c r="B1408" s="330"/>
      <c r="C1408" s="321"/>
      <c r="D1408" s="425"/>
      <c r="E1408" s="424"/>
      <c r="F1408" s="426"/>
      <c r="G1408" s="341"/>
      <c r="H1408" s="341"/>
      <c r="I1408" s="417"/>
      <c r="J1408" s="427"/>
      <c r="K1408" s="428"/>
      <c r="L1408" s="429"/>
      <c r="M1408" s="428"/>
      <c r="N1408" s="430"/>
      <c r="O1408" s="431"/>
      <c r="P1408" s="431"/>
      <c r="Q1408" s="300"/>
      <c r="R1408" s="341"/>
    </row>
    <row r="1409" ht="15.75" customHeight="1">
      <c r="A1409" s="361"/>
      <c r="B1409" s="330"/>
      <c r="C1409" s="321"/>
      <c r="D1409" s="425"/>
      <c r="E1409" s="424"/>
      <c r="F1409" s="426"/>
      <c r="G1409" s="341"/>
      <c r="H1409" s="341"/>
      <c r="I1409" s="417"/>
      <c r="J1409" s="427"/>
      <c r="K1409" s="428"/>
      <c r="L1409" s="429"/>
      <c r="M1409" s="428"/>
      <c r="N1409" s="430"/>
      <c r="O1409" s="431"/>
      <c r="P1409" s="431"/>
      <c r="Q1409" s="300"/>
      <c r="R1409" s="341"/>
    </row>
    <row r="1410" ht="15.75" customHeight="1">
      <c r="A1410" s="361"/>
      <c r="B1410" s="330"/>
      <c r="C1410" s="321"/>
      <c r="D1410" s="425"/>
      <c r="E1410" s="424"/>
      <c r="F1410" s="426"/>
      <c r="G1410" s="341"/>
      <c r="H1410" s="341"/>
      <c r="I1410" s="417"/>
      <c r="J1410" s="427"/>
      <c r="K1410" s="428"/>
      <c r="L1410" s="429"/>
      <c r="M1410" s="428"/>
      <c r="N1410" s="430"/>
      <c r="O1410" s="431"/>
      <c r="P1410" s="431"/>
      <c r="Q1410" s="300"/>
      <c r="R1410" s="341"/>
    </row>
    <row r="1411" ht="15.75" customHeight="1">
      <c r="A1411" s="361"/>
      <c r="B1411" s="330"/>
      <c r="C1411" s="321"/>
      <c r="D1411" s="425"/>
      <c r="E1411" s="424"/>
      <c r="F1411" s="426"/>
      <c r="G1411" s="341"/>
      <c r="H1411" s="341"/>
      <c r="I1411" s="417"/>
      <c r="J1411" s="427"/>
      <c r="K1411" s="428"/>
      <c r="L1411" s="429"/>
      <c r="M1411" s="428"/>
      <c r="N1411" s="430"/>
      <c r="O1411" s="431"/>
      <c r="P1411" s="431"/>
      <c r="Q1411" s="300"/>
      <c r="R1411" s="341"/>
    </row>
    <row r="1412" ht="15.75" customHeight="1">
      <c r="A1412" s="361"/>
      <c r="B1412" s="330"/>
      <c r="C1412" s="321"/>
      <c r="D1412" s="425"/>
      <c r="E1412" s="424"/>
      <c r="F1412" s="426"/>
      <c r="G1412" s="341"/>
      <c r="H1412" s="341"/>
      <c r="I1412" s="417"/>
      <c r="J1412" s="427"/>
      <c r="K1412" s="428"/>
      <c r="L1412" s="429"/>
      <c r="M1412" s="428"/>
      <c r="N1412" s="430"/>
      <c r="O1412" s="431"/>
      <c r="P1412" s="431"/>
      <c r="Q1412" s="300"/>
      <c r="R1412" s="341"/>
    </row>
    <row r="1413" ht="15.75" customHeight="1">
      <c r="A1413" s="361"/>
      <c r="B1413" s="330"/>
      <c r="C1413" s="321"/>
      <c r="D1413" s="425"/>
      <c r="E1413" s="424"/>
      <c r="F1413" s="426"/>
      <c r="G1413" s="341"/>
      <c r="H1413" s="341"/>
      <c r="I1413" s="417"/>
      <c r="J1413" s="427"/>
      <c r="K1413" s="428"/>
      <c r="L1413" s="429"/>
      <c r="M1413" s="428"/>
      <c r="N1413" s="430"/>
      <c r="O1413" s="431"/>
      <c r="P1413" s="431"/>
      <c r="Q1413" s="300"/>
      <c r="R1413" s="341"/>
    </row>
    <row r="1414" ht="15.75" customHeight="1">
      <c r="A1414" s="361"/>
      <c r="B1414" s="330"/>
      <c r="C1414" s="321"/>
      <c r="D1414" s="425"/>
      <c r="E1414" s="424"/>
      <c r="F1414" s="426"/>
      <c r="G1414" s="341"/>
      <c r="H1414" s="341"/>
      <c r="I1414" s="417"/>
      <c r="J1414" s="427"/>
      <c r="K1414" s="428"/>
      <c r="L1414" s="429"/>
      <c r="M1414" s="428"/>
      <c r="N1414" s="430"/>
      <c r="O1414" s="431"/>
      <c r="P1414" s="431"/>
      <c r="Q1414" s="300"/>
      <c r="R1414" s="341"/>
    </row>
    <row r="1415" ht="15.75" customHeight="1">
      <c r="A1415" s="361"/>
      <c r="B1415" s="330"/>
      <c r="C1415" s="321"/>
      <c r="D1415" s="425"/>
      <c r="E1415" s="424"/>
      <c r="F1415" s="426"/>
      <c r="G1415" s="341"/>
      <c r="H1415" s="341"/>
      <c r="I1415" s="417"/>
      <c r="J1415" s="427"/>
      <c r="K1415" s="428"/>
      <c r="L1415" s="429"/>
      <c r="M1415" s="428"/>
      <c r="N1415" s="430"/>
      <c r="O1415" s="431"/>
      <c r="P1415" s="431"/>
      <c r="Q1415" s="300"/>
      <c r="R1415" s="341"/>
    </row>
    <row r="1416" ht="15.75" customHeight="1">
      <c r="A1416" s="361"/>
      <c r="B1416" s="330"/>
      <c r="C1416" s="321"/>
      <c r="D1416" s="425"/>
      <c r="E1416" s="424"/>
      <c r="F1416" s="426"/>
      <c r="G1416" s="341"/>
      <c r="H1416" s="341"/>
      <c r="I1416" s="417"/>
      <c r="J1416" s="427"/>
      <c r="K1416" s="428"/>
      <c r="L1416" s="429"/>
      <c r="M1416" s="428"/>
      <c r="N1416" s="430"/>
      <c r="O1416" s="431"/>
      <c r="P1416" s="431"/>
      <c r="Q1416" s="300"/>
      <c r="R1416" s="341"/>
    </row>
    <row r="1417" ht="15.75" customHeight="1">
      <c r="A1417" s="361"/>
      <c r="B1417" s="330"/>
      <c r="C1417" s="321"/>
      <c r="D1417" s="425"/>
      <c r="E1417" s="424"/>
      <c r="F1417" s="426"/>
      <c r="G1417" s="341"/>
      <c r="H1417" s="341"/>
      <c r="I1417" s="417"/>
      <c r="J1417" s="427"/>
      <c r="K1417" s="428"/>
      <c r="L1417" s="429"/>
      <c r="M1417" s="428"/>
      <c r="N1417" s="430"/>
      <c r="O1417" s="431"/>
      <c r="P1417" s="431"/>
      <c r="Q1417" s="300"/>
      <c r="R1417" s="341"/>
    </row>
    <row r="1418" ht="15.75" customHeight="1">
      <c r="A1418" s="361"/>
      <c r="B1418" s="330"/>
      <c r="C1418" s="321"/>
      <c r="D1418" s="425"/>
      <c r="E1418" s="424"/>
      <c r="F1418" s="426"/>
      <c r="G1418" s="341"/>
      <c r="H1418" s="341"/>
      <c r="I1418" s="417"/>
      <c r="J1418" s="427"/>
      <c r="K1418" s="428"/>
      <c r="L1418" s="429"/>
      <c r="M1418" s="428"/>
      <c r="N1418" s="430"/>
      <c r="O1418" s="431"/>
      <c r="P1418" s="431"/>
      <c r="Q1418" s="300"/>
      <c r="R1418" s="341"/>
    </row>
    <row r="1419" ht="15.75" customHeight="1">
      <c r="A1419" s="361"/>
      <c r="B1419" s="330"/>
      <c r="C1419" s="321"/>
      <c r="D1419" s="425"/>
      <c r="E1419" s="424"/>
      <c r="F1419" s="426"/>
      <c r="G1419" s="341"/>
      <c r="H1419" s="341"/>
      <c r="I1419" s="417"/>
      <c r="J1419" s="427"/>
      <c r="K1419" s="428"/>
      <c r="L1419" s="429"/>
      <c r="M1419" s="428"/>
      <c r="N1419" s="430"/>
      <c r="O1419" s="431"/>
      <c r="P1419" s="431"/>
      <c r="Q1419" s="300"/>
      <c r="R1419" s="341"/>
    </row>
    <row r="1420" ht="15.75" customHeight="1">
      <c r="A1420" s="361"/>
      <c r="B1420" s="330"/>
      <c r="C1420" s="321"/>
      <c r="D1420" s="425"/>
      <c r="E1420" s="424"/>
      <c r="F1420" s="426"/>
      <c r="G1420" s="341"/>
      <c r="H1420" s="341"/>
      <c r="I1420" s="417"/>
      <c r="J1420" s="427"/>
      <c r="K1420" s="428"/>
      <c r="L1420" s="429"/>
      <c r="M1420" s="428"/>
      <c r="N1420" s="430"/>
      <c r="O1420" s="431"/>
      <c r="P1420" s="431"/>
      <c r="Q1420" s="300"/>
      <c r="R1420" s="341"/>
    </row>
    <row r="1421" ht="15.75" customHeight="1">
      <c r="A1421" s="361"/>
      <c r="B1421" s="330"/>
      <c r="C1421" s="321"/>
      <c r="D1421" s="425"/>
      <c r="E1421" s="424"/>
      <c r="F1421" s="426"/>
      <c r="G1421" s="341"/>
      <c r="H1421" s="341"/>
      <c r="I1421" s="417"/>
      <c r="J1421" s="427"/>
      <c r="K1421" s="428"/>
      <c r="L1421" s="429"/>
      <c r="M1421" s="428"/>
      <c r="N1421" s="430"/>
      <c r="O1421" s="431"/>
      <c r="P1421" s="431"/>
      <c r="Q1421" s="300"/>
      <c r="R1421" s="341"/>
    </row>
    <row r="1422" ht="15.75" customHeight="1">
      <c r="A1422" s="361"/>
      <c r="B1422" s="330"/>
      <c r="C1422" s="321"/>
      <c r="D1422" s="425"/>
      <c r="E1422" s="424"/>
      <c r="F1422" s="426"/>
      <c r="G1422" s="341"/>
      <c r="H1422" s="341"/>
      <c r="I1422" s="417"/>
      <c r="J1422" s="427"/>
      <c r="K1422" s="428"/>
      <c r="L1422" s="429"/>
      <c r="M1422" s="428"/>
      <c r="N1422" s="430"/>
      <c r="O1422" s="431"/>
      <c r="P1422" s="431"/>
      <c r="Q1422" s="300"/>
      <c r="R1422" s="341"/>
    </row>
    <row r="1423" ht="15.75" customHeight="1">
      <c r="A1423" s="361"/>
      <c r="B1423" s="330"/>
      <c r="C1423" s="321"/>
      <c r="D1423" s="425"/>
      <c r="E1423" s="424"/>
      <c r="F1423" s="426"/>
      <c r="G1423" s="341"/>
      <c r="H1423" s="341"/>
      <c r="I1423" s="417"/>
      <c r="J1423" s="427"/>
      <c r="K1423" s="428"/>
      <c r="L1423" s="429"/>
      <c r="M1423" s="428"/>
      <c r="N1423" s="430"/>
      <c r="O1423" s="431"/>
      <c r="P1423" s="431"/>
      <c r="Q1423" s="300"/>
      <c r="R1423" s="341"/>
    </row>
    <row r="1424" ht="15.75" customHeight="1">
      <c r="A1424" s="361"/>
      <c r="B1424" s="330"/>
      <c r="C1424" s="321"/>
      <c r="D1424" s="425"/>
      <c r="E1424" s="424"/>
      <c r="F1424" s="426"/>
      <c r="G1424" s="341"/>
      <c r="H1424" s="341"/>
      <c r="I1424" s="417"/>
      <c r="J1424" s="427"/>
      <c r="K1424" s="428"/>
      <c r="L1424" s="429"/>
      <c r="M1424" s="428"/>
      <c r="N1424" s="430"/>
      <c r="O1424" s="431"/>
      <c r="P1424" s="431"/>
      <c r="Q1424" s="300"/>
      <c r="R1424" s="341"/>
    </row>
    <row r="1425" ht="15.75" customHeight="1">
      <c r="A1425" s="361"/>
      <c r="B1425" s="330"/>
      <c r="C1425" s="321"/>
      <c r="D1425" s="425"/>
      <c r="E1425" s="424"/>
      <c r="F1425" s="426"/>
      <c r="G1425" s="341"/>
      <c r="H1425" s="341"/>
      <c r="I1425" s="417"/>
      <c r="J1425" s="427"/>
      <c r="K1425" s="428"/>
      <c r="L1425" s="429"/>
      <c r="M1425" s="428"/>
      <c r="N1425" s="430"/>
      <c r="O1425" s="431"/>
      <c r="P1425" s="431"/>
      <c r="Q1425" s="300"/>
      <c r="R1425" s="341"/>
    </row>
    <row r="1426" ht="15.75" customHeight="1">
      <c r="A1426" s="361"/>
      <c r="B1426" s="330"/>
      <c r="C1426" s="321"/>
      <c r="D1426" s="425"/>
      <c r="E1426" s="424"/>
      <c r="F1426" s="426"/>
      <c r="G1426" s="341"/>
      <c r="H1426" s="341"/>
      <c r="I1426" s="417"/>
      <c r="J1426" s="427"/>
      <c r="K1426" s="428"/>
      <c r="L1426" s="429"/>
      <c r="M1426" s="428"/>
      <c r="N1426" s="430"/>
      <c r="O1426" s="431"/>
      <c r="P1426" s="431"/>
      <c r="Q1426" s="300"/>
      <c r="R1426" s="341"/>
    </row>
    <row r="1427" ht="15.75" customHeight="1">
      <c r="A1427" s="329" t="s">
        <v>947</v>
      </c>
      <c r="B1427" s="327" t="s">
        <v>948</v>
      </c>
      <c r="C1427" s="330" t="s">
        <v>949</v>
      </c>
      <c r="D1427" s="330" t="s">
        <v>950</v>
      </c>
      <c r="E1427" s="362" t="s">
        <v>159</v>
      </c>
      <c r="F1427" s="339" t="s">
        <v>901</v>
      </c>
      <c r="G1427" s="341">
        <v>349.0</v>
      </c>
      <c r="H1427" s="341"/>
      <c r="I1427" s="417"/>
      <c r="J1427" s="335">
        <v>41.0</v>
      </c>
      <c r="K1427" s="332">
        <f t="shared" ref="K1427:K1434" si="123">J1427/G1427</f>
        <v>0.11747851</v>
      </c>
      <c r="L1427" s="319">
        <f t="shared" ref="L1427:L1434" si="124">Q1427-J1427</f>
        <v>-41</v>
      </c>
      <c r="M1427" s="332">
        <f t="shared" ref="M1427:M1434" si="125">Q1427/J1427-1</f>
        <v>-1</v>
      </c>
      <c r="N1427" s="331">
        <v>399.0</v>
      </c>
      <c r="O1427" s="388"/>
      <c r="P1427" s="416" t="s">
        <v>111</v>
      </c>
      <c r="Q1427" s="300"/>
      <c r="R1427" s="341"/>
    </row>
    <row r="1428" ht="15.75" customHeight="1">
      <c r="E1428" s="362" t="s">
        <v>160</v>
      </c>
      <c r="F1428" s="339" t="s">
        <v>901</v>
      </c>
      <c r="G1428" s="341">
        <v>349.0</v>
      </c>
      <c r="H1428" s="341"/>
      <c r="I1428" s="417"/>
      <c r="J1428" s="335">
        <v>41.0</v>
      </c>
      <c r="K1428" s="332">
        <f t="shared" si="123"/>
        <v>0.11747851</v>
      </c>
      <c r="L1428" s="319">
        <f t="shared" si="124"/>
        <v>-41</v>
      </c>
      <c r="M1428" s="332">
        <f t="shared" si="125"/>
        <v>-1</v>
      </c>
      <c r="N1428" s="331"/>
      <c r="O1428" s="388"/>
      <c r="P1428" s="388"/>
      <c r="Q1428" s="300"/>
      <c r="R1428" s="341"/>
    </row>
    <row r="1429" ht="15.75" customHeight="1">
      <c r="E1429" s="362" t="s">
        <v>509</v>
      </c>
      <c r="F1429" s="339" t="s">
        <v>901</v>
      </c>
      <c r="G1429" s="341">
        <v>349.0</v>
      </c>
      <c r="H1429" s="341"/>
      <c r="I1429" s="417"/>
      <c r="J1429" s="335">
        <v>41.0</v>
      </c>
      <c r="K1429" s="332">
        <f t="shared" si="123"/>
        <v>0.11747851</v>
      </c>
      <c r="L1429" s="319">
        <f t="shared" si="124"/>
        <v>-41</v>
      </c>
      <c r="M1429" s="332">
        <f t="shared" si="125"/>
        <v>-1</v>
      </c>
      <c r="N1429" s="331"/>
      <c r="O1429" s="388"/>
      <c r="P1429" s="388"/>
      <c r="Q1429" s="300"/>
      <c r="R1429" s="341"/>
    </row>
    <row r="1430" ht="15.75" customHeight="1">
      <c r="E1430" s="362" t="s">
        <v>622</v>
      </c>
      <c r="F1430" s="339" t="s">
        <v>901</v>
      </c>
      <c r="G1430" s="341">
        <v>349.0</v>
      </c>
      <c r="H1430" s="341"/>
      <c r="I1430" s="417"/>
      <c r="J1430" s="335">
        <v>41.0</v>
      </c>
      <c r="K1430" s="332">
        <f t="shared" si="123"/>
        <v>0.11747851</v>
      </c>
      <c r="L1430" s="319">
        <f t="shared" si="124"/>
        <v>-41</v>
      </c>
      <c r="M1430" s="332">
        <f t="shared" si="125"/>
        <v>-1</v>
      </c>
      <c r="N1430" s="331"/>
      <c r="O1430" s="388"/>
      <c r="P1430" s="388"/>
      <c r="Q1430" s="300"/>
      <c r="R1430" s="341"/>
    </row>
    <row r="1431" ht="15.75" customHeight="1">
      <c r="A1431" s="361" t="s">
        <v>951</v>
      </c>
      <c r="B1431" s="330" t="s">
        <v>952</v>
      </c>
      <c r="C1431" s="330" t="s">
        <v>951</v>
      </c>
      <c r="D1431" s="330" t="s">
        <v>952</v>
      </c>
      <c r="E1431" s="424" t="s">
        <v>159</v>
      </c>
      <c r="F1431" s="426">
        <v>330.0</v>
      </c>
      <c r="G1431" s="341">
        <v>339.0</v>
      </c>
      <c r="H1431" s="341"/>
      <c r="I1431" s="417"/>
      <c r="J1431" s="427">
        <v>62.0</v>
      </c>
      <c r="K1431" s="332">
        <f t="shared" si="123"/>
        <v>0.1828908555</v>
      </c>
      <c r="L1431" s="319">
        <f t="shared" si="124"/>
        <v>-62</v>
      </c>
      <c r="M1431" s="332">
        <f t="shared" si="125"/>
        <v>-1</v>
      </c>
      <c r="N1431" s="430"/>
      <c r="O1431" s="431"/>
      <c r="P1431" s="431"/>
      <c r="Q1431" s="300"/>
      <c r="R1431" s="341"/>
    </row>
    <row r="1432" ht="15.75" customHeight="1">
      <c r="E1432" s="424" t="s">
        <v>160</v>
      </c>
      <c r="F1432" s="426">
        <v>330.0</v>
      </c>
      <c r="G1432" s="341">
        <v>339.0</v>
      </c>
      <c r="H1432" s="341" t="s">
        <v>220</v>
      </c>
      <c r="I1432" s="417"/>
      <c r="J1432" s="427">
        <v>62.0</v>
      </c>
      <c r="K1432" s="332">
        <f t="shared" si="123"/>
        <v>0.1828908555</v>
      </c>
      <c r="L1432" s="319">
        <f t="shared" si="124"/>
        <v>-62</v>
      </c>
      <c r="M1432" s="332">
        <f t="shared" si="125"/>
        <v>-1</v>
      </c>
      <c r="N1432" s="430"/>
      <c r="O1432" s="431"/>
      <c r="P1432" s="431"/>
      <c r="Q1432" s="300"/>
      <c r="R1432" s="341"/>
    </row>
    <row r="1433" ht="15.75" customHeight="1">
      <c r="E1433" s="424" t="s">
        <v>509</v>
      </c>
      <c r="F1433" s="426">
        <v>330.0</v>
      </c>
      <c r="G1433" s="341">
        <v>339.0</v>
      </c>
      <c r="H1433" s="341"/>
      <c r="I1433" s="417"/>
      <c r="J1433" s="427">
        <v>65.0</v>
      </c>
      <c r="K1433" s="332">
        <f t="shared" si="123"/>
        <v>0.191740413</v>
      </c>
      <c r="L1433" s="319">
        <f t="shared" si="124"/>
        <v>-65</v>
      </c>
      <c r="M1433" s="332">
        <f t="shared" si="125"/>
        <v>-1</v>
      </c>
      <c r="N1433" s="430"/>
      <c r="O1433" s="431"/>
      <c r="P1433" s="431"/>
      <c r="Q1433" s="300"/>
      <c r="R1433" s="341"/>
    </row>
    <row r="1434" ht="15.75" customHeight="1">
      <c r="E1434" s="424" t="s">
        <v>622</v>
      </c>
      <c r="F1434" s="426">
        <v>330.0</v>
      </c>
      <c r="G1434" s="341">
        <v>339.0</v>
      </c>
      <c r="H1434" s="341" t="s">
        <v>220</v>
      </c>
      <c r="I1434" s="417"/>
      <c r="J1434" s="427">
        <v>70.0</v>
      </c>
      <c r="K1434" s="332">
        <f t="shared" si="123"/>
        <v>0.2064896755</v>
      </c>
      <c r="L1434" s="319">
        <f t="shared" si="124"/>
        <v>-70</v>
      </c>
      <c r="M1434" s="332">
        <f t="shared" si="125"/>
        <v>-1</v>
      </c>
      <c r="N1434" s="430"/>
      <c r="O1434" s="431"/>
      <c r="P1434" s="431"/>
      <c r="Q1434" s="300"/>
      <c r="R1434" s="341"/>
    </row>
    <row r="1435" ht="15.75" customHeight="1">
      <c r="A1435" s="361"/>
      <c r="B1435" s="330"/>
      <c r="C1435" s="321"/>
      <c r="D1435" s="361"/>
      <c r="E1435" s="424"/>
      <c r="F1435" s="426"/>
      <c r="G1435" s="341"/>
      <c r="H1435" s="341"/>
      <c r="I1435" s="417"/>
      <c r="J1435" s="427"/>
      <c r="K1435" s="428"/>
      <c r="L1435" s="429"/>
      <c r="M1435" s="428"/>
      <c r="N1435" s="430"/>
      <c r="O1435" s="431"/>
      <c r="P1435" s="431"/>
      <c r="Q1435" s="300"/>
      <c r="R1435" s="341"/>
    </row>
    <row r="1436" ht="15.75" customHeight="1">
      <c r="A1436" s="361"/>
      <c r="B1436" s="330"/>
      <c r="C1436" s="321"/>
      <c r="D1436" s="361"/>
      <c r="E1436" s="424"/>
      <c r="F1436" s="426"/>
      <c r="G1436" s="341"/>
      <c r="H1436" s="341"/>
      <c r="I1436" s="417"/>
      <c r="J1436" s="427"/>
      <c r="K1436" s="428"/>
      <c r="L1436" s="429"/>
      <c r="M1436" s="428"/>
      <c r="N1436" s="430"/>
      <c r="O1436" s="431"/>
      <c r="P1436" s="431"/>
      <c r="Q1436" s="300"/>
      <c r="R1436" s="341"/>
    </row>
    <row r="1437" ht="15.75" customHeight="1">
      <c r="A1437" s="361" t="s">
        <v>220</v>
      </c>
      <c r="B1437" s="330"/>
      <c r="C1437" s="321"/>
      <c r="D1437" s="361"/>
      <c r="E1437" s="424"/>
      <c r="F1437" s="426"/>
      <c r="G1437" s="341"/>
      <c r="H1437" s="341"/>
      <c r="I1437" s="417"/>
      <c r="J1437" s="427"/>
      <c r="K1437" s="428"/>
      <c r="L1437" s="429"/>
      <c r="M1437" s="428"/>
      <c r="N1437" s="430"/>
      <c r="O1437" s="431"/>
      <c r="P1437" s="431"/>
      <c r="Q1437" s="300"/>
      <c r="R1437" s="341"/>
    </row>
    <row r="1438" ht="15.75" customHeight="1">
      <c r="A1438" s="361"/>
      <c r="B1438" s="330"/>
      <c r="C1438" s="321"/>
      <c r="D1438" s="361"/>
      <c r="E1438" s="424"/>
      <c r="F1438" s="426"/>
      <c r="G1438" s="341"/>
      <c r="H1438" s="341"/>
      <c r="I1438" s="417"/>
      <c r="J1438" s="427"/>
      <c r="K1438" s="428"/>
      <c r="L1438" s="429"/>
      <c r="M1438" s="428"/>
      <c r="N1438" s="430"/>
      <c r="O1438" s="431"/>
      <c r="P1438" s="431"/>
      <c r="Q1438" s="300"/>
      <c r="R1438" s="341"/>
    </row>
    <row r="1439" ht="15.75" customHeight="1">
      <c r="A1439" s="361"/>
      <c r="B1439" s="330"/>
      <c r="C1439" s="321"/>
      <c r="D1439" s="361"/>
      <c r="E1439" s="424"/>
      <c r="F1439" s="426"/>
      <c r="G1439" s="341"/>
      <c r="H1439" s="341"/>
      <c r="I1439" s="417"/>
      <c r="J1439" s="427"/>
      <c r="K1439" s="428"/>
      <c r="L1439" s="429"/>
      <c r="M1439" s="428"/>
      <c r="N1439" s="430"/>
      <c r="O1439" s="431"/>
      <c r="P1439" s="431"/>
      <c r="Q1439" s="300"/>
      <c r="R1439" s="341"/>
    </row>
    <row r="1440" ht="15.75" customHeight="1">
      <c r="A1440" s="361"/>
      <c r="B1440" s="330"/>
      <c r="C1440" s="321"/>
      <c r="D1440" s="361"/>
      <c r="E1440" s="424"/>
      <c r="F1440" s="426"/>
      <c r="G1440" s="341"/>
      <c r="H1440" s="341"/>
      <c r="I1440" s="417"/>
      <c r="J1440" s="427"/>
      <c r="K1440" s="428"/>
      <c r="L1440" s="429"/>
      <c r="M1440" s="428"/>
      <c r="N1440" s="430"/>
      <c r="O1440" s="431"/>
      <c r="P1440" s="431"/>
      <c r="Q1440" s="300"/>
      <c r="R1440" s="341"/>
    </row>
    <row r="1441" ht="15.75" customHeight="1">
      <c r="A1441" s="361"/>
      <c r="B1441" s="330"/>
      <c r="C1441" s="321"/>
      <c r="D1441" s="361"/>
      <c r="E1441" s="424"/>
      <c r="F1441" s="426"/>
      <c r="G1441" s="341"/>
      <c r="H1441" s="341"/>
      <c r="I1441" s="417"/>
      <c r="J1441" s="427"/>
      <c r="K1441" s="428"/>
      <c r="L1441" s="429"/>
      <c r="M1441" s="428"/>
      <c r="N1441" s="430"/>
      <c r="O1441" s="431"/>
      <c r="P1441" s="431"/>
      <c r="Q1441" s="300"/>
      <c r="R1441" s="341"/>
    </row>
    <row r="1442" ht="15.75" customHeight="1">
      <c r="A1442" s="361"/>
      <c r="B1442" s="330"/>
      <c r="C1442" s="321"/>
      <c r="D1442" s="361"/>
      <c r="E1442" s="424"/>
      <c r="F1442" s="426"/>
      <c r="G1442" s="341"/>
      <c r="H1442" s="341"/>
      <c r="I1442" s="417"/>
      <c r="J1442" s="427"/>
      <c r="K1442" s="428"/>
      <c r="L1442" s="429"/>
      <c r="M1442" s="428"/>
      <c r="N1442" s="430"/>
      <c r="O1442" s="431"/>
      <c r="P1442" s="431"/>
      <c r="Q1442" s="300"/>
      <c r="R1442" s="341"/>
    </row>
    <row r="1443" ht="15.75" customHeight="1">
      <c r="A1443" s="361"/>
      <c r="B1443" s="330"/>
      <c r="C1443" s="321"/>
      <c r="D1443" s="361"/>
      <c r="E1443" s="424"/>
      <c r="F1443" s="426"/>
      <c r="G1443" s="341"/>
      <c r="H1443" s="341"/>
      <c r="I1443" s="417"/>
      <c r="J1443" s="427"/>
      <c r="K1443" s="428"/>
      <c r="L1443" s="429"/>
      <c r="M1443" s="428"/>
      <c r="N1443" s="430"/>
      <c r="O1443" s="431"/>
      <c r="P1443" s="431"/>
      <c r="Q1443" s="300"/>
      <c r="R1443" s="341"/>
    </row>
    <row r="1444" ht="15.75" customHeight="1">
      <c r="A1444" s="361"/>
      <c r="B1444" s="330"/>
      <c r="C1444" s="321"/>
      <c r="D1444" s="361"/>
      <c r="E1444" s="424"/>
      <c r="F1444" s="426"/>
      <c r="G1444" s="341"/>
      <c r="H1444" s="341"/>
      <c r="I1444" s="417"/>
      <c r="J1444" s="427"/>
      <c r="K1444" s="428"/>
      <c r="L1444" s="429"/>
      <c r="M1444" s="428"/>
      <c r="N1444" s="430"/>
      <c r="O1444" s="431"/>
      <c r="P1444" s="431"/>
      <c r="Q1444" s="300"/>
      <c r="R1444" s="341"/>
    </row>
    <row r="1445" ht="15.75" customHeight="1">
      <c r="A1445" s="361"/>
      <c r="B1445" s="330"/>
      <c r="C1445" s="321"/>
      <c r="D1445" s="361"/>
      <c r="E1445" s="424"/>
      <c r="F1445" s="426"/>
      <c r="G1445" s="341"/>
      <c r="H1445" s="341"/>
      <c r="I1445" s="417"/>
      <c r="J1445" s="427" t="s">
        <v>220</v>
      </c>
      <c r="K1445" s="428"/>
      <c r="L1445" s="429"/>
      <c r="M1445" s="428"/>
      <c r="N1445" s="430"/>
      <c r="O1445" s="431"/>
      <c r="P1445" s="431"/>
      <c r="Q1445" s="300"/>
      <c r="R1445" s="341"/>
    </row>
    <row r="1446" ht="15.75" customHeight="1">
      <c r="A1446" s="361"/>
      <c r="B1446" s="330"/>
      <c r="C1446" s="321" t="s">
        <v>220</v>
      </c>
      <c r="D1446" s="361"/>
      <c r="E1446" s="424"/>
      <c r="F1446" s="426"/>
      <c r="G1446" s="341"/>
      <c r="H1446" s="341"/>
      <c r="I1446" s="417"/>
      <c r="J1446" s="427"/>
      <c r="K1446" s="428"/>
      <c r="L1446" s="429"/>
      <c r="M1446" s="428"/>
      <c r="N1446" s="430"/>
      <c r="O1446" s="431"/>
      <c r="P1446" s="431"/>
      <c r="Q1446" s="300"/>
      <c r="R1446" s="341"/>
    </row>
    <row r="1447" ht="15.75" customHeight="1">
      <c r="A1447" s="361"/>
      <c r="B1447" s="330"/>
      <c r="C1447" s="321"/>
      <c r="D1447" s="361"/>
      <c r="E1447" s="424"/>
      <c r="F1447" s="426"/>
      <c r="G1447" s="341"/>
      <c r="H1447" s="341"/>
      <c r="I1447" s="417"/>
      <c r="J1447" s="427"/>
      <c r="K1447" s="428"/>
      <c r="L1447" s="429"/>
      <c r="M1447" s="428"/>
      <c r="N1447" s="430"/>
      <c r="O1447" s="431"/>
      <c r="P1447" s="431"/>
      <c r="Q1447" s="300"/>
      <c r="R1447" s="341"/>
    </row>
    <row r="1448" ht="15.75" customHeight="1">
      <c r="A1448" s="361"/>
      <c r="B1448" s="330"/>
      <c r="C1448" s="321"/>
      <c r="D1448" s="361"/>
      <c r="E1448" s="424"/>
      <c r="F1448" s="426"/>
      <c r="G1448" s="341"/>
      <c r="H1448" s="341"/>
      <c r="I1448" s="417"/>
      <c r="J1448" s="427"/>
      <c r="K1448" s="428"/>
      <c r="L1448" s="429"/>
      <c r="M1448" s="428"/>
      <c r="N1448" s="430"/>
      <c r="O1448" s="431"/>
      <c r="P1448" s="431"/>
      <c r="Q1448" s="300"/>
      <c r="R1448" s="341"/>
    </row>
    <row r="1449" ht="15.75" customHeight="1">
      <c r="A1449" s="361"/>
      <c r="B1449" s="330"/>
      <c r="C1449" s="321"/>
      <c r="D1449" s="361"/>
      <c r="E1449" s="424"/>
      <c r="F1449" s="426"/>
      <c r="G1449" s="341"/>
      <c r="H1449" s="341"/>
      <c r="I1449" s="417"/>
      <c r="J1449" s="427"/>
      <c r="K1449" s="428"/>
      <c r="L1449" s="429"/>
      <c r="M1449" s="428"/>
      <c r="N1449" s="430"/>
      <c r="O1449" s="431"/>
      <c r="P1449" s="431"/>
      <c r="Q1449" s="300"/>
      <c r="R1449" s="341"/>
    </row>
    <row r="1450" ht="15.75" customHeight="1">
      <c r="A1450" s="361"/>
      <c r="B1450" s="330"/>
      <c r="C1450" s="321"/>
      <c r="D1450" s="361"/>
      <c r="E1450" s="424"/>
      <c r="F1450" s="426"/>
      <c r="G1450" s="341"/>
      <c r="H1450" s="341"/>
      <c r="I1450" s="417"/>
      <c r="J1450" s="427"/>
      <c r="K1450" s="428"/>
      <c r="L1450" s="429"/>
      <c r="M1450" s="428"/>
      <c r="N1450" s="430"/>
      <c r="O1450" s="431"/>
      <c r="P1450" s="431"/>
      <c r="Q1450" s="300"/>
      <c r="R1450" s="341"/>
    </row>
    <row r="1451" ht="15.75" customHeight="1">
      <c r="A1451" s="361"/>
      <c r="B1451" s="330"/>
      <c r="C1451" s="321"/>
      <c r="D1451" s="361"/>
      <c r="E1451" s="424"/>
      <c r="F1451" s="426"/>
      <c r="G1451" s="341"/>
      <c r="H1451" s="341"/>
      <c r="I1451" s="417"/>
      <c r="J1451" s="427"/>
      <c r="K1451" s="428"/>
      <c r="L1451" s="429"/>
      <c r="M1451" s="428"/>
      <c r="N1451" s="430"/>
      <c r="O1451" s="431"/>
      <c r="P1451" s="431"/>
      <c r="Q1451" s="300"/>
      <c r="R1451" s="341"/>
    </row>
    <row r="1452" ht="15.75" customHeight="1">
      <c r="A1452" s="361"/>
      <c r="B1452" s="330"/>
      <c r="C1452" s="321"/>
      <c r="D1452" s="361"/>
      <c r="E1452" s="424"/>
      <c r="F1452" s="426"/>
      <c r="G1452" s="341"/>
      <c r="H1452" s="341"/>
      <c r="I1452" s="417"/>
      <c r="J1452" s="427"/>
      <c r="K1452" s="428"/>
      <c r="L1452" s="429"/>
      <c r="M1452" s="428"/>
      <c r="N1452" s="430"/>
      <c r="O1452" s="431"/>
      <c r="P1452" s="431"/>
      <c r="Q1452" s="300"/>
      <c r="R1452" s="341"/>
    </row>
    <row r="1453" ht="15.75" customHeight="1">
      <c r="A1453" s="361"/>
      <c r="B1453" s="330"/>
      <c r="C1453" s="321"/>
      <c r="D1453" s="361"/>
      <c r="E1453" s="424"/>
      <c r="F1453" s="426"/>
      <c r="G1453" s="341"/>
      <c r="H1453" s="341"/>
      <c r="I1453" s="417"/>
      <c r="J1453" s="427"/>
      <c r="K1453" s="428"/>
      <c r="L1453" s="429"/>
      <c r="M1453" s="428"/>
      <c r="N1453" s="430"/>
      <c r="O1453" s="431"/>
      <c r="P1453" s="431"/>
      <c r="Q1453" s="300"/>
      <c r="R1453" s="341"/>
    </row>
    <row r="1454" ht="15.75" customHeight="1">
      <c r="A1454" s="361"/>
      <c r="B1454" s="330"/>
      <c r="C1454" s="321"/>
      <c r="D1454" s="361"/>
      <c r="E1454" s="424"/>
      <c r="F1454" s="426"/>
      <c r="G1454" s="341"/>
      <c r="H1454" s="341"/>
      <c r="I1454" s="417"/>
      <c r="J1454" s="427"/>
      <c r="K1454" s="428"/>
      <c r="L1454" s="429"/>
      <c r="M1454" s="428"/>
      <c r="N1454" s="430"/>
      <c r="O1454" s="431"/>
      <c r="P1454" s="431"/>
      <c r="Q1454" s="300"/>
      <c r="R1454" s="341"/>
    </row>
    <row r="1455" ht="15.75" customHeight="1">
      <c r="A1455" s="361"/>
      <c r="B1455" s="330"/>
      <c r="C1455" s="321"/>
      <c r="D1455" s="361"/>
      <c r="E1455" s="424"/>
      <c r="F1455" s="426"/>
      <c r="G1455" s="341"/>
      <c r="H1455" s="341"/>
      <c r="I1455" s="417"/>
      <c r="J1455" s="427"/>
      <c r="K1455" s="428"/>
      <c r="L1455" s="429"/>
      <c r="M1455" s="428"/>
      <c r="N1455" s="430"/>
      <c r="O1455" s="431"/>
      <c r="P1455" s="431"/>
      <c r="Q1455" s="300"/>
      <c r="R1455" s="341"/>
    </row>
    <row r="1456" ht="15.75" customHeight="1">
      <c r="A1456" s="361"/>
      <c r="B1456" s="330"/>
      <c r="C1456" s="321"/>
      <c r="D1456" s="361"/>
      <c r="E1456" s="424"/>
      <c r="F1456" s="426"/>
      <c r="G1456" s="341"/>
      <c r="H1456" s="341"/>
      <c r="I1456" s="417"/>
      <c r="J1456" s="427"/>
      <c r="K1456" s="428"/>
      <c r="L1456" s="429"/>
      <c r="M1456" s="428"/>
      <c r="N1456" s="430"/>
      <c r="O1456" s="431"/>
      <c r="P1456" s="431"/>
      <c r="Q1456" s="300"/>
      <c r="R1456" s="341"/>
    </row>
    <row r="1457" ht="15.75" customHeight="1">
      <c r="A1457" s="361"/>
      <c r="B1457" s="330"/>
      <c r="C1457" s="321"/>
      <c r="D1457" s="361"/>
      <c r="E1457" s="424"/>
      <c r="F1457" s="426"/>
      <c r="G1457" s="341"/>
      <c r="H1457" s="341"/>
      <c r="I1457" s="417"/>
      <c r="J1457" s="427"/>
      <c r="K1457" s="428"/>
      <c r="L1457" s="429"/>
      <c r="M1457" s="428"/>
      <c r="N1457" s="430"/>
      <c r="O1457" s="431"/>
      <c r="P1457" s="431"/>
      <c r="Q1457" s="300"/>
      <c r="R1457" s="341"/>
    </row>
    <row r="1458" ht="15.75" customHeight="1">
      <c r="A1458" s="361"/>
      <c r="B1458" s="330"/>
      <c r="C1458" s="321"/>
      <c r="D1458" s="361"/>
      <c r="E1458" s="424"/>
      <c r="F1458" s="426"/>
      <c r="G1458" s="341"/>
      <c r="H1458" s="341"/>
      <c r="I1458" s="417"/>
      <c r="J1458" s="427"/>
      <c r="K1458" s="428"/>
      <c r="L1458" s="429"/>
      <c r="M1458" s="428"/>
      <c r="N1458" s="430"/>
      <c r="O1458" s="431"/>
      <c r="P1458" s="431"/>
      <c r="Q1458" s="300"/>
      <c r="R1458" s="341"/>
    </row>
    <row r="1459" ht="15.75" customHeight="1">
      <c r="A1459" s="361"/>
      <c r="B1459" s="330"/>
      <c r="C1459" s="321"/>
      <c r="D1459" s="361"/>
      <c r="E1459" s="424"/>
      <c r="F1459" s="426"/>
      <c r="G1459" s="341"/>
      <c r="H1459" s="341"/>
      <c r="I1459" s="417"/>
      <c r="J1459" s="427"/>
      <c r="K1459" s="428"/>
      <c r="L1459" s="429"/>
      <c r="M1459" s="428"/>
      <c r="N1459" s="430"/>
      <c r="O1459" s="431"/>
      <c r="P1459" s="431"/>
      <c r="Q1459" s="300"/>
      <c r="R1459" s="341"/>
    </row>
    <row r="1460" ht="15.75" customHeight="1">
      <c r="A1460" s="361"/>
      <c r="B1460" s="330"/>
      <c r="C1460" s="321"/>
      <c r="D1460" s="361"/>
      <c r="E1460" s="424"/>
      <c r="F1460" s="426"/>
      <c r="G1460" s="341"/>
      <c r="H1460" s="341"/>
      <c r="I1460" s="417"/>
      <c r="J1460" s="427"/>
      <c r="K1460" s="428"/>
      <c r="L1460" s="429"/>
      <c r="M1460" s="428"/>
      <c r="N1460" s="430"/>
      <c r="O1460" s="431"/>
      <c r="P1460" s="431"/>
      <c r="Q1460" s="300"/>
      <c r="R1460" s="341"/>
    </row>
    <row r="1461" ht="15.75" customHeight="1">
      <c r="A1461" s="361"/>
      <c r="B1461" s="330"/>
      <c r="C1461" s="321"/>
      <c r="D1461" s="361"/>
      <c r="E1461" s="424"/>
      <c r="F1461" s="426"/>
      <c r="G1461" s="341"/>
      <c r="H1461" s="341"/>
      <c r="I1461" s="417"/>
      <c r="J1461" s="427"/>
      <c r="K1461" s="428"/>
      <c r="L1461" s="429"/>
      <c r="M1461" s="428"/>
      <c r="N1461" s="430"/>
      <c r="O1461" s="431"/>
      <c r="P1461" s="431"/>
      <c r="Q1461" s="300"/>
      <c r="R1461" s="341"/>
    </row>
    <row r="1462" ht="15.75" customHeight="1">
      <c r="A1462" s="361"/>
      <c r="B1462" s="330"/>
      <c r="C1462" s="321"/>
      <c r="D1462" s="361"/>
      <c r="E1462" s="424"/>
      <c r="F1462" s="426"/>
      <c r="G1462" s="341"/>
      <c r="H1462" s="341"/>
      <c r="I1462" s="417"/>
      <c r="J1462" s="427"/>
      <c r="K1462" s="428"/>
      <c r="L1462" s="429"/>
      <c r="M1462" s="428"/>
      <c r="N1462" s="430"/>
      <c r="O1462" s="431"/>
      <c r="P1462" s="431"/>
      <c r="Q1462" s="300"/>
      <c r="R1462" s="341"/>
    </row>
    <row r="1463" ht="15.75" customHeight="1">
      <c r="A1463" s="361"/>
      <c r="B1463" s="330"/>
      <c r="C1463" s="321"/>
      <c r="D1463" s="361"/>
      <c r="E1463" s="424"/>
      <c r="F1463" s="426"/>
      <c r="G1463" s="341"/>
      <c r="H1463" s="341"/>
      <c r="I1463" s="417"/>
      <c r="J1463" s="427"/>
      <c r="K1463" s="428"/>
      <c r="L1463" s="429"/>
      <c r="M1463" s="428"/>
      <c r="N1463" s="430"/>
      <c r="O1463" s="431"/>
      <c r="P1463" s="431"/>
      <c r="Q1463" s="300"/>
      <c r="R1463" s="341"/>
    </row>
    <row r="1464" ht="15.75" customHeight="1">
      <c r="A1464" s="361"/>
      <c r="B1464" s="330"/>
      <c r="C1464" s="321"/>
      <c r="D1464" s="361"/>
      <c r="E1464" s="424"/>
      <c r="F1464" s="426"/>
      <c r="G1464" s="341"/>
      <c r="H1464" s="341"/>
      <c r="I1464" s="417"/>
      <c r="J1464" s="427"/>
      <c r="K1464" s="428"/>
      <c r="L1464" s="429"/>
      <c r="M1464" s="428"/>
      <c r="N1464" s="430"/>
      <c r="O1464" s="431"/>
      <c r="P1464" s="431"/>
      <c r="Q1464" s="300"/>
      <c r="R1464" s="341"/>
    </row>
    <row r="1465" ht="15.75" customHeight="1">
      <c r="A1465" s="361"/>
      <c r="B1465" s="330"/>
      <c r="C1465" s="321"/>
      <c r="D1465" s="361"/>
      <c r="E1465" s="424"/>
      <c r="F1465" s="426"/>
      <c r="G1465" s="341"/>
      <c r="H1465" s="341"/>
      <c r="I1465" s="417"/>
      <c r="J1465" s="427"/>
      <c r="K1465" s="428"/>
      <c r="L1465" s="429"/>
      <c r="M1465" s="428"/>
      <c r="N1465" s="430"/>
      <c r="O1465" s="431"/>
      <c r="P1465" s="431"/>
      <c r="Q1465" s="300"/>
      <c r="R1465" s="341"/>
    </row>
    <row r="1466" ht="15.75" customHeight="1">
      <c r="A1466" s="361"/>
      <c r="B1466" s="330"/>
      <c r="C1466" s="321"/>
      <c r="D1466" s="361"/>
      <c r="E1466" s="424"/>
      <c r="F1466" s="426"/>
      <c r="G1466" s="341"/>
      <c r="H1466" s="341"/>
      <c r="I1466" s="417"/>
      <c r="J1466" s="427"/>
      <c r="K1466" s="428"/>
      <c r="L1466" s="429"/>
      <c r="M1466" s="428"/>
      <c r="N1466" s="430"/>
      <c r="O1466" s="431"/>
      <c r="P1466" s="431"/>
      <c r="Q1466" s="300"/>
      <c r="R1466" s="341"/>
    </row>
    <row r="1467" ht="15.75" customHeight="1">
      <c r="A1467" s="361"/>
      <c r="B1467" s="330"/>
      <c r="C1467" s="321"/>
      <c r="D1467" s="361"/>
      <c r="E1467" s="424"/>
      <c r="F1467" s="426"/>
      <c r="G1467" s="341"/>
      <c r="H1467" s="341"/>
      <c r="I1467" s="417"/>
      <c r="J1467" s="427"/>
      <c r="K1467" s="428"/>
      <c r="L1467" s="429"/>
      <c r="M1467" s="428"/>
      <c r="N1467" s="430"/>
      <c r="O1467" s="431"/>
      <c r="P1467" s="431"/>
      <c r="Q1467" s="300"/>
      <c r="R1467" s="341"/>
    </row>
    <row r="1468" ht="15.75" customHeight="1">
      <c r="A1468" s="361"/>
      <c r="B1468" s="330"/>
      <c r="C1468" s="321"/>
      <c r="D1468" s="361"/>
      <c r="E1468" s="424"/>
      <c r="F1468" s="426"/>
      <c r="G1468" s="341"/>
      <c r="H1468" s="341"/>
      <c r="I1468" s="417"/>
      <c r="J1468" s="427"/>
      <c r="K1468" s="428"/>
      <c r="L1468" s="429"/>
      <c r="M1468" s="428"/>
      <c r="N1468" s="430"/>
      <c r="O1468" s="431"/>
      <c r="P1468" s="431"/>
      <c r="Q1468" s="300"/>
      <c r="R1468" s="341"/>
    </row>
    <row r="1469" ht="15.75" customHeight="1">
      <c r="A1469" s="361"/>
      <c r="B1469" s="330"/>
      <c r="C1469" s="321"/>
      <c r="D1469" s="361"/>
      <c r="E1469" s="424"/>
      <c r="F1469" s="426"/>
      <c r="G1469" s="341"/>
      <c r="H1469" s="341"/>
      <c r="I1469" s="417"/>
      <c r="J1469" s="427"/>
      <c r="K1469" s="428"/>
      <c r="L1469" s="429"/>
      <c r="M1469" s="428"/>
      <c r="N1469" s="430"/>
      <c r="O1469" s="431"/>
      <c r="P1469" s="431"/>
      <c r="Q1469" s="300"/>
      <c r="R1469" s="341"/>
    </row>
    <row r="1470" ht="15.75" customHeight="1">
      <c r="A1470" s="361"/>
      <c r="B1470" s="330"/>
      <c r="C1470" s="321"/>
      <c r="D1470" s="361"/>
      <c r="E1470" s="424"/>
      <c r="F1470" s="426"/>
      <c r="G1470" s="341"/>
      <c r="H1470" s="341"/>
      <c r="I1470" s="417"/>
      <c r="J1470" s="427"/>
      <c r="K1470" s="428"/>
      <c r="L1470" s="429"/>
      <c r="M1470" s="428"/>
      <c r="N1470" s="430"/>
      <c r="O1470" s="431"/>
      <c r="P1470" s="431"/>
      <c r="Q1470" s="300"/>
      <c r="R1470" s="341"/>
    </row>
    <row r="1471" ht="15.75" customHeight="1">
      <c r="A1471" s="361"/>
      <c r="B1471" s="330"/>
      <c r="C1471" s="321"/>
      <c r="D1471" s="361"/>
      <c r="E1471" s="424"/>
      <c r="F1471" s="426"/>
      <c r="G1471" s="341"/>
      <c r="H1471" s="341"/>
      <c r="I1471" s="417"/>
      <c r="J1471" s="427"/>
      <c r="K1471" s="428"/>
      <c r="L1471" s="429"/>
      <c r="M1471" s="428"/>
      <c r="N1471" s="430"/>
      <c r="O1471" s="431"/>
      <c r="P1471" s="431"/>
      <c r="Q1471" s="300"/>
      <c r="R1471" s="341"/>
    </row>
    <row r="1472" ht="15.75" customHeight="1">
      <c r="A1472" s="361"/>
      <c r="B1472" s="330"/>
      <c r="C1472" s="321"/>
      <c r="D1472" s="361"/>
      <c r="E1472" s="424"/>
      <c r="F1472" s="426"/>
      <c r="G1472" s="341"/>
      <c r="H1472" s="341"/>
      <c r="I1472" s="417"/>
      <c r="J1472" s="427"/>
      <c r="K1472" s="428"/>
      <c r="L1472" s="429"/>
      <c r="M1472" s="428"/>
      <c r="N1472" s="430"/>
      <c r="O1472" s="431"/>
      <c r="P1472" s="431"/>
      <c r="Q1472" s="300"/>
      <c r="R1472" s="341"/>
    </row>
    <row r="1473" ht="15.75" customHeight="1">
      <c r="A1473" s="361"/>
      <c r="B1473" s="330"/>
      <c r="C1473" s="321"/>
      <c r="D1473" s="361"/>
      <c r="E1473" s="424"/>
      <c r="F1473" s="426"/>
      <c r="G1473" s="341"/>
      <c r="H1473" s="341"/>
      <c r="I1473" s="417"/>
      <c r="J1473" s="427"/>
      <c r="K1473" s="428"/>
      <c r="L1473" s="429"/>
      <c r="M1473" s="428"/>
      <c r="N1473" s="430"/>
      <c r="O1473" s="431"/>
      <c r="P1473" s="431"/>
      <c r="Q1473" s="300"/>
      <c r="R1473" s="341"/>
    </row>
    <row r="1474" ht="15.75" customHeight="1">
      <c r="A1474" s="361"/>
      <c r="B1474" s="330"/>
      <c r="C1474" s="321"/>
      <c r="D1474" s="361"/>
      <c r="E1474" s="424"/>
      <c r="F1474" s="426"/>
      <c r="G1474" s="341"/>
      <c r="H1474" s="341"/>
      <c r="I1474" s="417"/>
      <c r="J1474" s="427"/>
      <c r="K1474" s="428"/>
      <c r="L1474" s="429"/>
      <c r="M1474" s="428"/>
      <c r="N1474" s="430"/>
      <c r="O1474" s="431"/>
      <c r="P1474" s="431"/>
      <c r="Q1474" s="300"/>
      <c r="R1474" s="341"/>
    </row>
    <row r="1475" ht="15.75" customHeight="1">
      <c r="A1475" s="361"/>
      <c r="B1475" s="330"/>
      <c r="C1475" s="321"/>
      <c r="D1475" s="361"/>
      <c r="E1475" s="424"/>
      <c r="F1475" s="426"/>
      <c r="G1475" s="341"/>
      <c r="H1475" s="341"/>
      <c r="I1475" s="417"/>
      <c r="J1475" s="427"/>
      <c r="K1475" s="428"/>
      <c r="L1475" s="429"/>
      <c r="M1475" s="428"/>
      <c r="N1475" s="430"/>
      <c r="O1475" s="431"/>
      <c r="P1475" s="431"/>
      <c r="Q1475" s="300"/>
      <c r="R1475" s="341"/>
    </row>
    <row r="1476" ht="15.75" customHeight="1">
      <c r="A1476" s="361"/>
      <c r="B1476" s="330"/>
      <c r="C1476" s="321"/>
      <c r="D1476" s="361"/>
      <c r="E1476" s="424"/>
      <c r="F1476" s="426"/>
      <c r="G1476" s="341"/>
      <c r="H1476" s="341"/>
      <c r="I1476" s="417"/>
      <c r="J1476" s="427"/>
      <c r="K1476" s="428"/>
      <c r="L1476" s="429"/>
      <c r="M1476" s="428"/>
      <c r="N1476" s="430"/>
      <c r="O1476" s="431"/>
      <c r="P1476" s="431"/>
      <c r="Q1476" s="300"/>
      <c r="R1476" s="341"/>
    </row>
    <row r="1477" ht="15.75" customHeight="1">
      <c r="A1477" s="361"/>
      <c r="B1477" s="330"/>
      <c r="C1477" s="321"/>
      <c r="D1477" s="361"/>
      <c r="E1477" s="424"/>
      <c r="F1477" s="426"/>
      <c r="G1477" s="341"/>
      <c r="H1477" s="341"/>
      <c r="I1477" s="417"/>
      <c r="J1477" s="427"/>
      <c r="K1477" s="428"/>
      <c r="L1477" s="429"/>
      <c r="M1477" s="428"/>
      <c r="N1477" s="430"/>
      <c r="O1477" s="431"/>
      <c r="P1477" s="431"/>
      <c r="Q1477" s="300"/>
      <c r="R1477" s="341"/>
    </row>
    <row r="1478" ht="15.75" customHeight="1">
      <c r="A1478" s="361"/>
      <c r="B1478" s="330"/>
      <c r="C1478" s="321"/>
      <c r="D1478" s="361"/>
      <c r="E1478" s="424"/>
      <c r="F1478" s="426"/>
      <c r="G1478" s="341"/>
      <c r="H1478" s="341"/>
      <c r="I1478" s="417"/>
      <c r="J1478" s="427"/>
      <c r="K1478" s="428"/>
      <c r="L1478" s="429"/>
      <c r="M1478" s="428"/>
      <c r="N1478" s="430"/>
      <c r="O1478" s="431"/>
      <c r="P1478" s="431"/>
      <c r="Q1478" s="300"/>
      <c r="R1478" s="341"/>
    </row>
    <row r="1479" ht="15.75" customHeight="1">
      <c r="A1479" s="361"/>
      <c r="B1479" s="330"/>
      <c r="C1479" s="321"/>
      <c r="D1479" s="361"/>
      <c r="E1479" s="424"/>
      <c r="F1479" s="426"/>
      <c r="G1479" s="341"/>
      <c r="H1479" s="341"/>
      <c r="I1479" s="417"/>
      <c r="J1479" s="427"/>
      <c r="K1479" s="428"/>
      <c r="L1479" s="429"/>
      <c r="M1479" s="428"/>
      <c r="N1479" s="430"/>
      <c r="O1479" s="431"/>
      <c r="P1479" s="431"/>
      <c r="Q1479" s="300"/>
      <c r="R1479" s="341"/>
    </row>
    <row r="1480" ht="15.75" customHeight="1">
      <c r="A1480" s="361"/>
      <c r="B1480" s="330"/>
      <c r="C1480" s="321"/>
      <c r="D1480" s="361"/>
      <c r="E1480" s="424"/>
      <c r="F1480" s="426"/>
      <c r="G1480" s="341"/>
      <c r="H1480" s="341"/>
      <c r="I1480" s="417"/>
      <c r="J1480" s="427"/>
      <c r="K1480" s="428"/>
      <c r="L1480" s="429"/>
      <c r="M1480" s="428"/>
      <c r="N1480" s="430"/>
      <c r="O1480" s="431"/>
      <c r="P1480" s="431"/>
      <c r="Q1480" s="300"/>
      <c r="R1480" s="341"/>
    </row>
    <row r="1481" ht="15.75" customHeight="1">
      <c r="A1481" s="361"/>
      <c r="B1481" s="330"/>
      <c r="C1481" s="321"/>
      <c r="D1481" s="361"/>
      <c r="E1481" s="424"/>
      <c r="F1481" s="426"/>
      <c r="G1481" s="341"/>
      <c r="H1481" s="341"/>
      <c r="I1481" s="417"/>
      <c r="J1481" s="427"/>
      <c r="K1481" s="428"/>
      <c r="L1481" s="429"/>
      <c r="M1481" s="428"/>
      <c r="N1481" s="430"/>
      <c r="O1481" s="431"/>
      <c r="P1481" s="431"/>
      <c r="Q1481" s="300"/>
      <c r="R1481" s="341"/>
    </row>
    <row r="1482" ht="15.75" customHeight="1">
      <c r="A1482" s="361"/>
      <c r="B1482" s="330"/>
      <c r="C1482" s="321"/>
      <c r="D1482" s="361"/>
      <c r="E1482" s="424"/>
      <c r="F1482" s="426"/>
      <c r="G1482" s="341"/>
      <c r="H1482" s="341"/>
      <c r="I1482" s="417"/>
      <c r="J1482" s="427"/>
      <c r="K1482" s="428"/>
      <c r="L1482" s="429"/>
      <c r="M1482" s="428"/>
      <c r="N1482" s="430"/>
      <c r="O1482" s="431"/>
      <c r="P1482" s="431"/>
      <c r="Q1482" s="300"/>
      <c r="R1482" s="341"/>
    </row>
    <row r="1483" ht="15.75" customHeight="1">
      <c r="A1483" s="361"/>
      <c r="B1483" s="330"/>
      <c r="C1483" s="321"/>
      <c r="D1483" s="361"/>
      <c r="E1483" s="424"/>
      <c r="F1483" s="426"/>
      <c r="G1483" s="341"/>
      <c r="H1483" s="341"/>
      <c r="I1483" s="417"/>
      <c r="J1483" s="427"/>
      <c r="K1483" s="428"/>
      <c r="L1483" s="429"/>
      <c r="M1483" s="428"/>
      <c r="N1483" s="430"/>
      <c r="O1483" s="431"/>
      <c r="P1483" s="431"/>
      <c r="Q1483" s="300"/>
      <c r="R1483" s="341"/>
    </row>
    <row r="1484" ht="15.75" customHeight="1">
      <c r="A1484" s="361"/>
      <c r="B1484" s="330"/>
      <c r="C1484" s="321"/>
      <c r="D1484" s="361"/>
      <c r="E1484" s="424"/>
      <c r="F1484" s="426"/>
      <c r="G1484" s="341"/>
      <c r="H1484" s="341"/>
      <c r="I1484" s="417"/>
      <c r="J1484" s="427"/>
      <c r="K1484" s="428"/>
      <c r="L1484" s="429"/>
      <c r="M1484" s="428"/>
      <c r="N1484" s="430"/>
      <c r="O1484" s="431"/>
      <c r="P1484" s="431"/>
      <c r="Q1484" s="300"/>
      <c r="R1484" s="341"/>
    </row>
    <row r="1485" ht="15.75" customHeight="1">
      <c r="A1485" s="361"/>
      <c r="B1485" s="330"/>
      <c r="C1485" s="321"/>
      <c r="D1485" s="361"/>
      <c r="E1485" s="424"/>
      <c r="F1485" s="426"/>
      <c r="G1485" s="341"/>
      <c r="H1485" s="341"/>
      <c r="I1485" s="417"/>
      <c r="J1485" s="427"/>
      <c r="K1485" s="428"/>
      <c r="L1485" s="429"/>
      <c r="M1485" s="428"/>
      <c r="N1485" s="430"/>
      <c r="O1485" s="431"/>
      <c r="P1485" s="431"/>
      <c r="Q1485" s="300"/>
      <c r="R1485" s="341"/>
    </row>
    <row r="1486" ht="15.75" customHeight="1">
      <c r="A1486" s="361"/>
      <c r="B1486" s="330"/>
      <c r="C1486" s="321"/>
      <c r="D1486" s="361"/>
      <c r="E1486" s="424"/>
      <c r="F1486" s="426"/>
      <c r="G1486" s="341"/>
      <c r="H1486" s="341"/>
      <c r="I1486" s="417"/>
      <c r="J1486" s="427"/>
      <c r="K1486" s="428"/>
      <c r="L1486" s="429"/>
      <c r="M1486" s="428"/>
      <c r="N1486" s="430"/>
      <c r="O1486" s="431"/>
      <c r="P1486" s="431"/>
      <c r="Q1486" s="300"/>
      <c r="R1486" s="341"/>
    </row>
    <row r="1487" ht="15.75" customHeight="1">
      <c r="A1487" s="361"/>
      <c r="B1487" s="330"/>
      <c r="C1487" s="321"/>
      <c r="D1487" s="361"/>
      <c r="E1487" s="424"/>
      <c r="F1487" s="426"/>
      <c r="G1487" s="341"/>
      <c r="H1487" s="341"/>
      <c r="I1487" s="417"/>
      <c r="J1487" s="427"/>
      <c r="K1487" s="428"/>
      <c r="L1487" s="429"/>
      <c r="M1487" s="428"/>
      <c r="N1487" s="430"/>
      <c r="O1487" s="431"/>
      <c r="P1487" s="431"/>
      <c r="Q1487" s="300"/>
      <c r="R1487" s="341"/>
    </row>
    <row r="1488" ht="15.75" customHeight="1">
      <c r="A1488" s="361"/>
      <c r="B1488" s="330"/>
      <c r="C1488" s="321"/>
      <c r="D1488" s="361"/>
      <c r="E1488" s="424"/>
      <c r="F1488" s="426"/>
      <c r="G1488" s="341"/>
      <c r="H1488" s="341"/>
      <c r="I1488" s="417"/>
      <c r="J1488" s="427"/>
      <c r="K1488" s="428"/>
      <c r="L1488" s="429"/>
      <c r="M1488" s="428"/>
      <c r="N1488" s="430"/>
      <c r="O1488" s="431"/>
      <c r="P1488" s="431"/>
      <c r="Q1488" s="300"/>
      <c r="R1488" s="341"/>
    </row>
    <row r="1489" ht="15.75" customHeight="1">
      <c r="A1489" s="361"/>
      <c r="B1489" s="330"/>
      <c r="C1489" s="321"/>
      <c r="D1489" s="361"/>
      <c r="E1489" s="424"/>
      <c r="F1489" s="426"/>
      <c r="G1489" s="341"/>
      <c r="H1489" s="341"/>
      <c r="I1489" s="417"/>
      <c r="J1489" s="427"/>
      <c r="K1489" s="428"/>
      <c r="L1489" s="429"/>
      <c r="M1489" s="428"/>
      <c r="N1489" s="430"/>
      <c r="O1489" s="431"/>
      <c r="P1489" s="431"/>
      <c r="Q1489" s="300"/>
      <c r="R1489" s="341"/>
    </row>
    <row r="1490" ht="15.75" customHeight="1">
      <c r="A1490" s="361"/>
      <c r="B1490" s="330"/>
      <c r="C1490" s="321"/>
      <c r="D1490" s="361"/>
      <c r="E1490" s="424"/>
      <c r="F1490" s="426"/>
      <c r="G1490" s="341"/>
      <c r="H1490" s="341"/>
      <c r="I1490" s="417"/>
      <c r="J1490" s="427"/>
      <c r="K1490" s="428"/>
      <c r="L1490" s="429"/>
      <c r="M1490" s="428"/>
      <c r="N1490" s="430"/>
      <c r="O1490" s="431"/>
      <c r="P1490" s="431"/>
      <c r="Q1490" s="300"/>
      <c r="R1490" s="341"/>
    </row>
    <row r="1491" ht="15.75" customHeight="1">
      <c r="A1491" s="361"/>
      <c r="B1491" s="330"/>
      <c r="C1491" s="321"/>
      <c r="D1491" s="361"/>
      <c r="E1491" s="424"/>
      <c r="F1491" s="426"/>
      <c r="G1491" s="341"/>
      <c r="H1491" s="341"/>
      <c r="I1491" s="417"/>
      <c r="J1491" s="427"/>
      <c r="K1491" s="428"/>
      <c r="L1491" s="429"/>
      <c r="M1491" s="428"/>
      <c r="N1491" s="430"/>
      <c r="O1491" s="431"/>
      <c r="P1491" s="431"/>
      <c r="Q1491" s="300"/>
      <c r="R1491" s="341"/>
    </row>
    <row r="1492" ht="15.75" customHeight="1">
      <c r="A1492" s="361"/>
      <c r="B1492" s="330"/>
      <c r="C1492" s="321"/>
      <c r="D1492" s="361"/>
      <c r="E1492" s="424"/>
      <c r="F1492" s="426"/>
      <c r="G1492" s="341"/>
      <c r="H1492" s="341"/>
      <c r="I1492" s="417"/>
      <c r="J1492" s="427"/>
      <c r="K1492" s="428"/>
      <c r="L1492" s="429"/>
      <c r="M1492" s="428"/>
      <c r="N1492" s="430"/>
      <c r="O1492" s="431"/>
      <c r="P1492" s="431"/>
      <c r="Q1492" s="300"/>
      <c r="R1492" s="341"/>
    </row>
    <row r="1493" ht="15.75" customHeight="1">
      <c r="A1493" s="361"/>
      <c r="B1493" s="330"/>
      <c r="C1493" s="321"/>
      <c r="D1493" s="361"/>
      <c r="E1493" s="424"/>
      <c r="F1493" s="426"/>
      <c r="G1493" s="341"/>
      <c r="H1493" s="341"/>
      <c r="I1493" s="417"/>
      <c r="J1493" s="427"/>
      <c r="K1493" s="428"/>
      <c r="L1493" s="429"/>
      <c r="M1493" s="428"/>
      <c r="N1493" s="430"/>
      <c r="O1493" s="431"/>
      <c r="P1493" s="431"/>
      <c r="Q1493" s="300"/>
      <c r="R1493" s="341"/>
    </row>
    <row r="1494" ht="15.75" customHeight="1">
      <c r="A1494" s="361"/>
      <c r="B1494" s="330"/>
      <c r="C1494" s="321"/>
      <c r="D1494" s="361"/>
      <c r="E1494" s="424"/>
      <c r="F1494" s="426"/>
      <c r="G1494" s="341"/>
      <c r="H1494" s="341"/>
      <c r="I1494" s="417"/>
      <c r="J1494" s="427"/>
      <c r="K1494" s="428"/>
      <c r="L1494" s="429"/>
      <c r="M1494" s="428"/>
      <c r="N1494" s="430"/>
      <c r="O1494" s="431"/>
      <c r="P1494" s="431"/>
      <c r="Q1494" s="300"/>
      <c r="R1494" s="341"/>
    </row>
    <row r="1495" ht="15.75" customHeight="1">
      <c r="A1495" s="361"/>
      <c r="B1495" s="330"/>
      <c r="C1495" s="321"/>
      <c r="D1495" s="361"/>
      <c r="E1495" s="424"/>
      <c r="F1495" s="426"/>
      <c r="G1495" s="341"/>
      <c r="H1495" s="341"/>
      <c r="I1495" s="417"/>
      <c r="J1495" s="427"/>
      <c r="K1495" s="428"/>
      <c r="L1495" s="429"/>
      <c r="M1495" s="428"/>
      <c r="N1495" s="430"/>
      <c r="O1495" s="431"/>
      <c r="P1495" s="431"/>
      <c r="Q1495" s="300"/>
      <c r="R1495" s="341"/>
    </row>
    <row r="1496" ht="15.75" customHeight="1">
      <c r="A1496" s="361"/>
      <c r="B1496" s="330"/>
      <c r="C1496" s="321"/>
      <c r="D1496" s="361"/>
      <c r="E1496" s="424"/>
      <c r="F1496" s="426"/>
      <c r="G1496" s="341"/>
      <c r="H1496" s="341"/>
      <c r="I1496" s="417"/>
      <c r="J1496" s="427"/>
      <c r="K1496" s="428"/>
      <c r="L1496" s="429"/>
      <c r="M1496" s="428"/>
      <c r="N1496" s="430"/>
      <c r="O1496" s="431"/>
      <c r="P1496" s="431"/>
      <c r="Q1496" s="300"/>
      <c r="R1496" s="341"/>
    </row>
    <row r="1497" ht="15.75" customHeight="1">
      <c r="A1497" s="361"/>
      <c r="B1497" s="330"/>
      <c r="C1497" s="321"/>
      <c r="D1497" s="361"/>
      <c r="E1497" s="424"/>
      <c r="F1497" s="426"/>
      <c r="G1497" s="341"/>
      <c r="H1497" s="341"/>
      <c r="I1497" s="417"/>
      <c r="J1497" s="427"/>
      <c r="K1497" s="428"/>
      <c r="L1497" s="429"/>
      <c r="M1497" s="428"/>
      <c r="N1497" s="430"/>
      <c r="O1497" s="431"/>
      <c r="P1497" s="431"/>
      <c r="Q1497" s="300"/>
      <c r="R1497" s="341"/>
    </row>
    <row r="1498" ht="15.75" customHeight="1">
      <c r="A1498" s="361"/>
      <c r="B1498" s="330"/>
      <c r="C1498" s="321"/>
      <c r="D1498" s="361"/>
      <c r="E1498" s="424"/>
      <c r="F1498" s="426"/>
      <c r="G1498" s="341"/>
      <c r="H1498" s="341"/>
      <c r="I1498" s="417"/>
      <c r="J1498" s="427"/>
      <c r="K1498" s="428"/>
      <c r="L1498" s="429"/>
      <c r="M1498" s="428"/>
      <c r="N1498" s="430"/>
      <c r="O1498" s="431"/>
      <c r="P1498" s="431"/>
      <c r="Q1498" s="300"/>
      <c r="R1498" s="341"/>
    </row>
    <row r="1499" ht="15.75" customHeight="1">
      <c r="A1499" s="361"/>
      <c r="B1499" s="330"/>
      <c r="C1499" s="321"/>
      <c r="D1499" s="361"/>
      <c r="E1499" s="424"/>
      <c r="F1499" s="426"/>
      <c r="G1499" s="341"/>
      <c r="H1499" s="341"/>
      <c r="I1499" s="417"/>
      <c r="J1499" s="427"/>
      <c r="K1499" s="428"/>
      <c r="L1499" s="429"/>
      <c r="M1499" s="428"/>
      <c r="N1499" s="430"/>
      <c r="O1499" s="431"/>
      <c r="P1499" s="431"/>
      <c r="Q1499" s="300"/>
      <c r="R1499" s="341"/>
    </row>
    <row r="1500" ht="15.75" customHeight="1">
      <c r="A1500" s="361"/>
      <c r="B1500" s="330"/>
      <c r="C1500" s="321"/>
      <c r="D1500" s="361"/>
      <c r="E1500" s="424"/>
      <c r="F1500" s="426"/>
      <c r="G1500" s="341"/>
      <c r="H1500" s="341"/>
      <c r="I1500" s="417"/>
      <c r="J1500" s="427"/>
      <c r="K1500" s="428"/>
      <c r="L1500" s="429"/>
      <c r="M1500" s="428"/>
      <c r="N1500" s="430"/>
      <c r="O1500" s="431"/>
      <c r="P1500" s="431"/>
      <c r="Q1500" s="300"/>
      <c r="R1500" s="341"/>
    </row>
    <row r="1501" ht="15.75" customHeight="1">
      <c r="A1501" s="361"/>
      <c r="B1501" s="330"/>
      <c r="C1501" s="321"/>
      <c r="D1501" s="361"/>
      <c r="E1501" s="424"/>
      <c r="F1501" s="426"/>
      <c r="G1501" s="341"/>
      <c r="H1501" s="341"/>
      <c r="I1501" s="417"/>
      <c r="J1501" s="427"/>
      <c r="K1501" s="428"/>
      <c r="L1501" s="429"/>
      <c r="M1501" s="428"/>
      <c r="N1501" s="430"/>
      <c r="O1501" s="431"/>
      <c r="P1501" s="431"/>
      <c r="Q1501" s="300"/>
      <c r="R1501" s="341"/>
    </row>
    <row r="1502" ht="15.75" customHeight="1">
      <c r="A1502" s="361"/>
      <c r="B1502" s="330"/>
      <c r="C1502" s="321"/>
      <c r="D1502" s="361"/>
      <c r="E1502" s="424"/>
      <c r="F1502" s="426"/>
      <c r="G1502" s="341"/>
      <c r="H1502" s="341"/>
      <c r="I1502" s="417"/>
      <c r="J1502" s="427"/>
      <c r="K1502" s="428"/>
      <c r="L1502" s="429"/>
      <c r="M1502" s="428"/>
      <c r="N1502" s="430"/>
      <c r="O1502" s="431"/>
      <c r="P1502" s="431"/>
      <c r="Q1502" s="300"/>
      <c r="R1502" s="341"/>
    </row>
    <row r="1503" ht="15.75" customHeight="1">
      <c r="A1503" s="361"/>
      <c r="B1503" s="330"/>
      <c r="C1503" s="321"/>
      <c r="D1503" s="361"/>
      <c r="E1503" s="424"/>
      <c r="F1503" s="426"/>
      <c r="G1503" s="341"/>
      <c r="H1503" s="341"/>
      <c r="I1503" s="417"/>
      <c r="J1503" s="427"/>
      <c r="K1503" s="428"/>
      <c r="L1503" s="429"/>
      <c r="M1503" s="428"/>
      <c r="N1503" s="430"/>
      <c r="O1503" s="431"/>
      <c r="P1503" s="431"/>
      <c r="Q1503" s="300"/>
      <c r="R1503" s="341"/>
    </row>
    <row r="1504" ht="15.75" customHeight="1">
      <c r="A1504" s="361"/>
      <c r="B1504" s="330"/>
      <c r="C1504" s="321"/>
      <c r="D1504" s="361"/>
      <c r="E1504" s="424"/>
      <c r="F1504" s="426"/>
      <c r="G1504" s="341"/>
      <c r="H1504" s="341"/>
      <c r="I1504" s="417"/>
      <c r="J1504" s="427"/>
      <c r="K1504" s="428"/>
      <c r="L1504" s="429"/>
      <c r="M1504" s="428"/>
      <c r="N1504" s="430"/>
      <c r="O1504" s="431"/>
      <c r="P1504" s="431"/>
      <c r="Q1504" s="300"/>
      <c r="R1504" s="341"/>
    </row>
    <row r="1505" ht="15.75" customHeight="1">
      <c r="A1505" s="361"/>
      <c r="B1505" s="330"/>
      <c r="C1505" s="321"/>
      <c r="D1505" s="361"/>
      <c r="E1505" s="424"/>
      <c r="F1505" s="426"/>
      <c r="G1505" s="341"/>
      <c r="H1505" s="341"/>
      <c r="I1505" s="417"/>
      <c r="J1505" s="427"/>
      <c r="K1505" s="428"/>
      <c r="L1505" s="429"/>
      <c r="M1505" s="428"/>
      <c r="N1505" s="430"/>
      <c r="O1505" s="431"/>
      <c r="P1505" s="431"/>
      <c r="Q1505" s="300"/>
      <c r="R1505" s="341"/>
    </row>
    <row r="1506" ht="15.75" customHeight="1">
      <c r="A1506" s="361"/>
      <c r="B1506" s="330"/>
      <c r="C1506" s="321"/>
      <c r="D1506" s="361"/>
      <c r="E1506" s="424"/>
      <c r="F1506" s="426"/>
      <c r="G1506" s="341"/>
      <c r="H1506" s="341"/>
      <c r="I1506" s="417"/>
      <c r="J1506" s="427"/>
      <c r="K1506" s="428"/>
      <c r="L1506" s="429"/>
      <c r="M1506" s="428"/>
      <c r="N1506" s="430"/>
      <c r="O1506" s="431"/>
      <c r="P1506" s="431"/>
      <c r="Q1506" s="300"/>
      <c r="R1506" s="341"/>
    </row>
    <row r="1507" ht="15.75" customHeight="1">
      <c r="A1507" s="361"/>
      <c r="B1507" s="330"/>
      <c r="C1507" s="321"/>
      <c r="D1507" s="361"/>
      <c r="E1507" s="424"/>
      <c r="F1507" s="426"/>
      <c r="G1507" s="341"/>
      <c r="H1507" s="341"/>
      <c r="I1507" s="417"/>
      <c r="J1507" s="427"/>
      <c r="K1507" s="428"/>
      <c r="L1507" s="429"/>
      <c r="M1507" s="428"/>
      <c r="N1507" s="430"/>
      <c r="O1507" s="431"/>
      <c r="P1507" s="431"/>
      <c r="Q1507" s="300"/>
      <c r="R1507" s="341"/>
    </row>
    <row r="1508" ht="15.75" customHeight="1">
      <c r="A1508" s="361"/>
      <c r="B1508" s="330"/>
      <c r="C1508" s="321"/>
      <c r="D1508" s="361"/>
      <c r="E1508" s="424"/>
      <c r="F1508" s="426"/>
      <c r="G1508" s="341"/>
      <c r="H1508" s="341"/>
      <c r="I1508" s="417"/>
      <c r="J1508" s="427"/>
      <c r="K1508" s="428"/>
      <c r="L1508" s="429"/>
      <c r="M1508" s="428"/>
      <c r="N1508" s="430"/>
      <c r="O1508" s="431"/>
      <c r="P1508" s="431"/>
      <c r="Q1508" s="300"/>
      <c r="R1508" s="341"/>
    </row>
    <row r="1509" ht="15.75" customHeight="1">
      <c r="A1509" s="361"/>
      <c r="B1509" s="330"/>
      <c r="C1509" s="321"/>
      <c r="D1509" s="361"/>
      <c r="E1509" s="424"/>
      <c r="F1509" s="426"/>
      <c r="G1509" s="341"/>
      <c r="H1509" s="341"/>
      <c r="I1509" s="417"/>
      <c r="J1509" s="427"/>
      <c r="K1509" s="428"/>
      <c r="L1509" s="429"/>
      <c r="M1509" s="428"/>
      <c r="N1509" s="430"/>
      <c r="O1509" s="431"/>
      <c r="P1509" s="431"/>
      <c r="Q1509" s="300"/>
      <c r="R1509" s="341"/>
    </row>
    <row r="1510" ht="15.75" customHeight="1">
      <c r="A1510" s="361"/>
      <c r="B1510" s="330"/>
      <c r="C1510" s="321"/>
      <c r="D1510" s="361"/>
      <c r="E1510" s="424"/>
      <c r="F1510" s="426"/>
      <c r="G1510" s="341"/>
      <c r="H1510" s="341"/>
      <c r="I1510" s="417"/>
      <c r="J1510" s="427"/>
      <c r="K1510" s="428"/>
      <c r="L1510" s="429"/>
      <c r="M1510" s="428"/>
      <c r="N1510" s="430"/>
      <c r="O1510" s="431"/>
      <c r="P1510" s="431"/>
      <c r="Q1510" s="300"/>
      <c r="R1510" s="341"/>
    </row>
    <row r="1511" ht="15.75" customHeight="1">
      <c r="A1511" s="361"/>
      <c r="B1511" s="330"/>
      <c r="C1511" s="321"/>
      <c r="D1511" s="361"/>
      <c r="E1511" s="424"/>
      <c r="F1511" s="426"/>
      <c r="G1511" s="341"/>
      <c r="H1511" s="341"/>
      <c r="I1511" s="417"/>
      <c r="J1511" s="427"/>
      <c r="K1511" s="428"/>
      <c r="L1511" s="429"/>
      <c r="M1511" s="428"/>
      <c r="N1511" s="430"/>
      <c r="O1511" s="431"/>
      <c r="P1511" s="431"/>
      <c r="Q1511" s="300"/>
      <c r="R1511" s="341"/>
    </row>
    <row r="1512" ht="15.75" customHeight="1">
      <c r="A1512" s="361"/>
      <c r="B1512" s="330"/>
      <c r="C1512" s="321"/>
      <c r="D1512" s="361"/>
      <c r="E1512" s="424"/>
      <c r="F1512" s="426"/>
      <c r="G1512" s="341"/>
      <c r="H1512" s="341"/>
      <c r="I1512" s="417"/>
      <c r="J1512" s="427"/>
      <c r="K1512" s="428"/>
      <c r="L1512" s="429"/>
      <c r="M1512" s="428"/>
      <c r="N1512" s="430"/>
      <c r="O1512" s="431"/>
      <c r="P1512" s="431"/>
      <c r="Q1512" s="300"/>
      <c r="R1512" s="341"/>
    </row>
    <row r="1513" ht="15.75" customHeight="1">
      <c r="A1513" s="361"/>
      <c r="B1513" s="330"/>
      <c r="C1513" s="321"/>
      <c r="D1513" s="361"/>
      <c r="E1513" s="424"/>
      <c r="F1513" s="426"/>
      <c r="G1513" s="341"/>
      <c r="H1513" s="341"/>
      <c r="I1513" s="417"/>
      <c r="J1513" s="427"/>
      <c r="K1513" s="428"/>
      <c r="L1513" s="429"/>
      <c r="M1513" s="428"/>
      <c r="N1513" s="430"/>
      <c r="O1513" s="431"/>
      <c r="P1513" s="431"/>
      <c r="Q1513" s="300"/>
      <c r="R1513" s="341"/>
    </row>
    <row r="1514" ht="15.75" customHeight="1">
      <c r="A1514" s="361"/>
      <c r="B1514" s="330"/>
      <c r="C1514" s="321"/>
      <c r="D1514" s="361"/>
      <c r="E1514" s="424"/>
      <c r="F1514" s="426"/>
      <c r="G1514" s="341"/>
      <c r="H1514" s="341"/>
      <c r="I1514" s="417"/>
      <c r="J1514" s="427"/>
      <c r="K1514" s="428"/>
      <c r="L1514" s="429"/>
      <c r="M1514" s="428"/>
      <c r="N1514" s="430"/>
      <c r="O1514" s="431"/>
      <c r="P1514" s="431"/>
      <c r="Q1514" s="300"/>
      <c r="R1514" s="341"/>
    </row>
    <row r="1515" ht="15.75" customHeight="1">
      <c r="A1515" s="361"/>
      <c r="B1515" s="330"/>
      <c r="C1515" s="321"/>
      <c r="D1515" s="361"/>
      <c r="E1515" s="424"/>
      <c r="F1515" s="426"/>
      <c r="G1515" s="341"/>
      <c r="H1515" s="341"/>
      <c r="I1515" s="417"/>
      <c r="J1515" s="427"/>
      <c r="K1515" s="428"/>
      <c r="L1515" s="429"/>
      <c r="M1515" s="428"/>
      <c r="N1515" s="430"/>
      <c r="O1515" s="431"/>
      <c r="P1515" s="431"/>
      <c r="Q1515" s="300"/>
      <c r="R1515" s="341"/>
    </row>
    <row r="1516" ht="15.75" customHeight="1">
      <c r="A1516" s="361"/>
      <c r="B1516" s="330"/>
      <c r="C1516" s="321"/>
      <c r="D1516" s="361"/>
      <c r="E1516" s="424"/>
      <c r="F1516" s="426"/>
      <c r="G1516" s="341"/>
      <c r="H1516" s="341"/>
      <c r="I1516" s="417"/>
      <c r="J1516" s="427"/>
      <c r="K1516" s="428"/>
      <c r="L1516" s="429"/>
      <c r="M1516" s="428"/>
      <c r="N1516" s="430"/>
      <c r="O1516" s="431"/>
      <c r="P1516" s="431"/>
      <c r="Q1516" s="300"/>
      <c r="R1516" s="341"/>
    </row>
    <row r="1517" ht="15.75" customHeight="1">
      <c r="A1517" s="361"/>
      <c r="B1517" s="330"/>
      <c r="C1517" s="321"/>
      <c r="D1517" s="361"/>
      <c r="E1517" s="424"/>
      <c r="F1517" s="426"/>
      <c r="G1517" s="341"/>
      <c r="H1517" s="341"/>
      <c r="I1517" s="417"/>
      <c r="J1517" s="427"/>
      <c r="K1517" s="428"/>
      <c r="L1517" s="429"/>
      <c r="M1517" s="428"/>
      <c r="N1517" s="430"/>
      <c r="O1517" s="431"/>
      <c r="P1517" s="431"/>
      <c r="Q1517" s="300"/>
      <c r="R1517" s="341"/>
    </row>
    <row r="1518" ht="15.75" customHeight="1">
      <c r="A1518" s="361"/>
      <c r="B1518" s="330"/>
      <c r="C1518" s="321"/>
      <c r="D1518" s="361"/>
      <c r="E1518" s="424"/>
      <c r="F1518" s="426"/>
      <c r="G1518" s="341"/>
      <c r="H1518" s="341"/>
      <c r="I1518" s="417"/>
      <c r="J1518" s="427"/>
      <c r="K1518" s="428"/>
      <c r="L1518" s="429"/>
      <c r="M1518" s="428"/>
      <c r="N1518" s="430"/>
      <c r="O1518" s="431"/>
      <c r="P1518" s="431"/>
      <c r="Q1518" s="300"/>
      <c r="R1518" s="341"/>
    </row>
    <row r="1519" ht="15.75" customHeight="1">
      <c r="A1519" s="361"/>
      <c r="B1519" s="330"/>
      <c r="C1519" s="321"/>
      <c r="D1519" s="361"/>
      <c r="E1519" s="424"/>
      <c r="F1519" s="426"/>
      <c r="G1519" s="341"/>
      <c r="H1519" s="341"/>
      <c r="I1519" s="417"/>
      <c r="J1519" s="427"/>
      <c r="K1519" s="428"/>
      <c r="L1519" s="429"/>
      <c r="M1519" s="428"/>
      <c r="N1519" s="430"/>
      <c r="O1519" s="431"/>
      <c r="P1519" s="431"/>
      <c r="Q1519" s="300"/>
      <c r="R1519" s="341"/>
    </row>
    <row r="1520" ht="15.75" customHeight="1">
      <c r="A1520" s="361"/>
      <c r="B1520" s="330"/>
      <c r="C1520" s="321"/>
      <c r="D1520" s="361"/>
      <c r="E1520" s="424"/>
      <c r="F1520" s="426"/>
      <c r="G1520" s="341"/>
      <c r="H1520" s="341"/>
      <c r="I1520" s="417"/>
      <c r="J1520" s="427"/>
      <c r="K1520" s="428"/>
      <c r="L1520" s="429"/>
      <c r="M1520" s="428"/>
      <c r="N1520" s="430"/>
      <c r="O1520" s="431"/>
      <c r="P1520" s="431"/>
      <c r="Q1520" s="300"/>
      <c r="R1520" s="341"/>
    </row>
    <row r="1521" ht="15.75" customHeight="1">
      <c r="A1521" s="361"/>
      <c r="B1521" s="330"/>
      <c r="C1521" s="321"/>
      <c r="D1521" s="361"/>
      <c r="E1521" s="424"/>
      <c r="F1521" s="426"/>
      <c r="G1521" s="341"/>
      <c r="H1521" s="341"/>
      <c r="I1521" s="417"/>
      <c r="J1521" s="427"/>
      <c r="K1521" s="428"/>
      <c r="L1521" s="429"/>
      <c r="M1521" s="428"/>
      <c r="N1521" s="430"/>
      <c r="O1521" s="431"/>
      <c r="P1521" s="431"/>
      <c r="Q1521" s="300"/>
      <c r="R1521" s="341"/>
    </row>
    <row r="1522" ht="15.75" customHeight="1">
      <c r="A1522" s="361"/>
      <c r="B1522" s="330"/>
      <c r="C1522" s="321"/>
      <c r="D1522" s="361"/>
      <c r="E1522" s="424"/>
      <c r="F1522" s="426"/>
      <c r="G1522" s="341"/>
      <c r="H1522" s="341"/>
      <c r="I1522" s="417"/>
      <c r="J1522" s="427"/>
      <c r="K1522" s="428"/>
      <c r="L1522" s="429"/>
      <c r="M1522" s="428"/>
      <c r="N1522" s="430"/>
      <c r="O1522" s="431"/>
      <c r="P1522" s="431"/>
      <c r="Q1522" s="300"/>
      <c r="R1522" s="341"/>
    </row>
    <row r="1523" ht="15.75" customHeight="1">
      <c r="A1523" s="361"/>
      <c r="B1523" s="330"/>
      <c r="C1523" s="321"/>
      <c r="D1523" s="361"/>
      <c r="E1523" s="424"/>
      <c r="F1523" s="426"/>
      <c r="G1523" s="341"/>
      <c r="H1523" s="341"/>
      <c r="I1523" s="417"/>
      <c r="J1523" s="427"/>
      <c r="K1523" s="428"/>
      <c r="L1523" s="429"/>
      <c r="M1523" s="428"/>
      <c r="N1523" s="430"/>
      <c r="O1523" s="431"/>
      <c r="P1523" s="431"/>
      <c r="Q1523" s="300"/>
      <c r="R1523" s="341"/>
    </row>
    <row r="1524" ht="15.75" customHeight="1">
      <c r="A1524" s="361"/>
      <c r="B1524" s="330"/>
      <c r="C1524" s="321"/>
      <c r="D1524" s="361"/>
      <c r="E1524" s="424"/>
      <c r="F1524" s="426"/>
      <c r="G1524" s="341"/>
      <c r="H1524" s="341"/>
      <c r="I1524" s="417"/>
      <c r="J1524" s="427"/>
      <c r="K1524" s="428"/>
      <c r="L1524" s="429"/>
      <c r="M1524" s="428"/>
      <c r="N1524" s="430"/>
      <c r="O1524" s="431"/>
      <c r="P1524" s="431"/>
      <c r="Q1524" s="300"/>
      <c r="R1524" s="341"/>
    </row>
    <row r="1525" ht="15.75" customHeight="1">
      <c r="A1525" s="361"/>
      <c r="B1525" s="330"/>
      <c r="C1525" s="321"/>
      <c r="D1525" s="361"/>
      <c r="E1525" s="424"/>
      <c r="F1525" s="426"/>
      <c r="G1525" s="341"/>
      <c r="H1525" s="341"/>
      <c r="I1525" s="417"/>
      <c r="J1525" s="427"/>
      <c r="K1525" s="428"/>
      <c r="L1525" s="429"/>
      <c r="M1525" s="428"/>
      <c r="N1525" s="430"/>
      <c r="O1525" s="431"/>
      <c r="P1525" s="431"/>
      <c r="Q1525" s="300"/>
      <c r="R1525" s="341"/>
    </row>
    <row r="1526" ht="15.75" customHeight="1">
      <c r="A1526" s="361"/>
      <c r="B1526" s="330"/>
      <c r="C1526" s="321"/>
      <c r="D1526" s="361"/>
      <c r="E1526" s="424"/>
      <c r="F1526" s="426"/>
      <c r="G1526" s="341"/>
      <c r="H1526" s="341"/>
      <c r="I1526" s="417"/>
      <c r="J1526" s="427"/>
      <c r="K1526" s="428"/>
      <c r="L1526" s="429"/>
      <c r="M1526" s="428"/>
      <c r="N1526" s="430"/>
      <c r="O1526" s="431"/>
      <c r="P1526" s="431"/>
      <c r="Q1526" s="300"/>
      <c r="R1526" s="341"/>
    </row>
    <row r="1527" ht="15.75" customHeight="1">
      <c r="A1527" s="361"/>
      <c r="B1527" s="330"/>
      <c r="C1527" s="321"/>
      <c r="D1527" s="361"/>
      <c r="E1527" s="424"/>
      <c r="F1527" s="426"/>
      <c r="G1527" s="341"/>
      <c r="H1527" s="341"/>
      <c r="I1527" s="417"/>
      <c r="J1527" s="427"/>
      <c r="K1527" s="428"/>
      <c r="L1527" s="429"/>
      <c r="M1527" s="428"/>
      <c r="N1527" s="430"/>
      <c r="O1527" s="431"/>
      <c r="P1527" s="431"/>
      <c r="Q1527" s="300"/>
      <c r="R1527" s="341"/>
    </row>
    <row r="1528" ht="15.75" customHeight="1">
      <c r="A1528" s="361"/>
      <c r="B1528" s="330"/>
      <c r="C1528" s="321"/>
      <c r="D1528" s="361"/>
      <c r="E1528" s="424"/>
      <c r="F1528" s="426"/>
      <c r="G1528" s="341"/>
      <c r="H1528" s="341"/>
      <c r="I1528" s="417"/>
      <c r="J1528" s="427"/>
      <c r="K1528" s="428"/>
      <c r="L1528" s="429"/>
      <c r="M1528" s="428"/>
      <c r="N1528" s="430"/>
      <c r="O1528" s="431"/>
      <c r="P1528" s="431"/>
      <c r="Q1528" s="300"/>
      <c r="R1528" s="341"/>
    </row>
    <row r="1529" ht="15.75" customHeight="1">
      <c r="A1529" s="361"/>
      <c r="B1529" s="330"/>
      <c r="C1529" s="321"/>
      <c r="D1529" s="361"/>
      <c r="E1529" s="424"/>
      <c r="F1529" s="426"/>
      <c r="G1529" s="341"/>
      <c r="H1529" s="341"/>
      <c r="I1529" s="417"/>
      <c r="J1529" s="427"/>
      <c r="K1529" s="428"/>
      <c r="L1529" s="429"/>
      <c r="M1529" s="428"/>
      <c r="N1529" s="430"/>
      <c r="O1529" s="431"/>
      <c r="P1529" s="431"/>
      <c r="Q1529" s="300"/>
      <c r="R1529" s="341"/>
    </row>
    <row r="1530" ht="15.75" customHeight="1">
      <c r="A1530" s="361"/>
      <c r="B1530" s="330"/>
      <c r="C1530" s="321"/>
      <c r="D1530" s="361"/>
      <c r="E1530" s="424"/>
      <c r="F1530" s="426"/>
      <c r="G1530" s="341"/>
      <c r="H1530" s="341"/>
      <c r="I1530" s="417"/>
      <c r="J1530" s="427"/>
      <c r="K1530" s="428"/>
      <c r="L1530" s="429"/>
      <c r="M1530" s="428"/>
      <c r="N1530" s="430"/>
      <c r="O1530" s="431"/>
      <c r="P1530" s="431"/>
      <c r="Q1530" s="300"/>
      <c r="R1530" s="341"/>
    </row>
    <row r="1531" ht="15.75" customHeight="1">
      <c r="A1531" s="361"/>
      <c r="B1531" s="330"/>
      <c r="C1531" s="321"/>
      <c r="D1531" s="361"/>
      <c r="E1531" s="424"/>
      <c r="F1531" s="426"/>
      <c r="G1531" s="341"/>
      <c r="H1531" s="341"/>
      <c r="I1531" s="417"/>
      <c r="J1531" s="427"/>
      <c r="K1531" s="428"/>
      <c r="L1531" s="429"/>
      <c r="M1531" s="428"/>
      <c r="N1531" s="430"/>
      <c r="O1531" s="431"/>
      <c r="P1531" s="431"/>
      <c r="Q1531" s="300"/>
      <c r="R1531" s="341"/>
    </row>
    <row r="1532" ht="15.75" customHeight="1">
      <c r="A1532" s="361"/>
      <c r="B1532" s="330"/>
      <c r="C1532" s="321"/>
      <c r="D1532" s="361"/>
      <c r="E1532" s="424"/>
      <c r="F1532" s="426"/>
      <c r="G1532" s="341"/>
      <c r="H1532" s="341"/>
      <c r="I1532" s="417"/>
      <c r="J1532" s="427"/>
      <c r="K1532" s="428"/>
      <c r="L1532" s="429"/>
      <c r="M1532" s="428"/>
      <c r="N1532" s="430"/>
      <c r="O1532" s="431"/>
      <c r="P1532" s="431"/>
      <c r="Q1532" s="300"/>
      <c r="R1532" s="341"/>
    </row>
    <row r="1533" ht="15.75" customHeight="1">
      <c r="A1533" s="361"/>
      <c r="B1533" s="330"/>
      <c r="C1533" s="321"/>
      <c r="D1533" s="361"/>
      <c r="E1533" s="424"/>
      <c r="F1533" s="426"/>
      <c r="G1533" s="341"/>
      <c r="H1533" s="341"/>
      <c r="I1533" s="417"/>
      <c r="J1533" s="427"/>
      <c r="K1533" s="428"/>
      <c r="L1533" s="429"/>
      <c r="M1533" s="428"/>
      <c r="N1533" s="430"/>
      <c r="O1533" s="431"/>
      <c r="P1533" s="431"/>
      <c r="Q1533" s="300"/>
      <c r="R1533" s="341"/>
    </row>
    <row r="1534" ht="15.75" customHeight="1">
      <c r="A1534" s="361"/>
      <c r="B1534" s="330"/>
      <c r="C1534" s="321"/>
      <c r="D1534" s="361"/>
      <c r="E1534" s="424"/>
      <c r="F1534" s="426"/>
      <c r="G1534" s="341"/>
      <c r="H1534" s="341"/>
      <c r="I1534" s="417"/>
      <c r="J1534" s="427"/>
      <c r="K1534" s="428"/>
      <c r="L1534" s="429"/>
      <c r="M1534" s="428"/>
      <c r="N1534" s="430"/>
      <c r="O1534" s="431"/>
      <c r="P1534" s="431"/>
      <c r="Q1534" s="300"/>
      <c r="R1534" s="341"/>
    </row>
    <row r="1535" ht="15.75" customHeight="1">
      <c r="A1535" s="361"/>
      <c r="B1535" s="330"/>
      <c r="C1535" s="321"/>
      <c r="D1535" s="361"/>
      <c r="E1535" s="424"/>
      <c r="F1535" s="426"/>
      <c r="G1535" s="341"/>
      <c r="H1535" s="341"/>
      <c r="I1535" s="417"/>
      <c r="J1535" s="427"/>
      <c r="K1535" s="428"/>
      <c r="L1535" s="429"/>
      <c r="M1535" s="428"/>
      <c r="N1535" s="430"/>
      <c r="O1535" s="431"/>
      <c r="P1535" s="431"/>
      <c r="Q1535" s="300"/>
      <c r="R1535" s="341"/>
    </row>
    <row r="1536" ht="15.75" customHeight="1">
      <c r="A1536" s="361"/>
      <c r="B1536" s="330"/>
      <c r="C1536" s="321"/>
      <c r="D1536" s="361"/>
      <c r="E1536" s="424"/>
      <c r="F1536" s="426"/>
      <c r="G1536" s="341"/>
      <c r="H1536" s="341"/>
      <c r="I1536" s="417"/>
      <c r="J1536" s="427"/>
      <c r="K1536" s="428"/>
      <c r="L1536" s="429"/>
      <c r="M1536" s="428"/>
      <c r="N1536" s="430"/>
      <c r="O1536" s="431"/>
      <c r="P1536" s="431"/>
      <c r="Q1536" s="300"/>
      <c r="R1536" s="341"/>
    </row>
    <row r="1537" ht="15.75" customHeight="1">
      <c r="A1537" s="361"/>
      <c r="B1537" s="330"/>
      <c r="C1537" s="321"/>
      <c r="D1537" s="361"/>
      <c r="E1537" s="424"/>
      <c r="F1537" s="426"/>
      <c r="G1537" s="341"/>
      <c r="H1537" s="341"/>
      <c r="I1537" s="417"/>
      <c r="J1537" s="427"/>
      <c r="K1537" s="428"/>
      <c r="L1537" s="429"/>
      <c r="M1537" s="428"/>
      <c r="N1537" s="430"/>
      <c r="O1537" s="431"/>
      <c r="P1537" s="431"/>
      <c r="Q1537" s="300"/>
      <c r="R1537" s="341"/>
    </row>
    <row r="1538" ht="15.75" customHeight="1">
      <c r="A1538" s="361"/>
      <c r="B1538" s="330"/>
      <c r="C1538" s="321"/>
      <c r="D1538" s="361"/>
      <c r="E1538" s="424"/>
      <c r="F1538" s="426"/>
      <c r="G1538" s="341"/>
      <c r="H1538" s="341"/>
      <c r="I1538" s="417"/>
      <c r="J1538" s="427"/>
      <c r="K1538" s="428"/>
      <c r="L1538" s="429"/>
      <c r="M1538" s="428"/>
      <c r="N1538" s="430"/>
      <c r="O1538" s="431"/>
      <c r="P1538" s="431"/>
      <c r="Q1538" s="300"/>
      <c r="R1538" s="341"/>
    </row>
    <row r="1539" ht="15.75" customHeight="1">
      <c r="A1539" s="361"/>
      <c r="B1539" s="330"/>
      <c r="C1539" s="321"/>
      <c r="D1539" s="361"/>
      <c r="E1539" s="424"/>
      <c r="F1539" s="426"/>
      <c r="G1539" s="341"/>
      <c r="H1539" s="341"/>
      <c r="I1539" s="417"/>
      <c r="J1539" s="427"/>
      <c r="K1539" s="428"/>
      <c r="L1539" s="429"/>
      <c r="M1539" s="428"/>
      <c r="N1539" s="430"/>
      <c r="O1539" s="431"/>
      <c r="P1539" s="431"/>
      <c r="Q1539" s="300"/>
      <c r="R1539" s="341"/>
    </row>
    <row r="1540" ht="15.75" customHeight="1">
      <c r="A1540" s="361"/>
      <c r="B1540" s="330"/>
      <c r="C1540" s="321"/>
      <c r="D1540" s="361"/>
      <c r="E1540" s="424"/>
      <c r="F1540" s="426"/>
      <c r="G1540" s="341"/>
      <c r="H1540" s="341"/>
      <c r="I1540" s="417"/>
      <c r="J1540" s="427"/>
      <c r="K1540" s="428"/>
      <c r="L1540" s="429"/>
      <c r="M1540" s="428"/>
      <c r="N1540" s="430"/>
      <c r="O1540" s="431"/>
      <c r="P1540" s="431"/>
      <c r="Q1540" s="300"/>
      <c r="R1540" s="341"/>
    </row>
    <row r="1541" ht="15.75" customHeight="1">
      <c r="A1541" s="361"/>
      <c r="B1541" s="330"/>
      <c r="C1541" s="321"/>
      <c r="D1541" s="361"/>
      <c r="E1541" s="424"/>
      <c r="F1541" s="426"/>
      <c r="G1541" s="341"/>
      <c r="H1541" s="341"/>
      <c r="I1541" s="417"/>
      <c r="J1541" s="427"/>
      <c r="K1541" s="428"/>
      <c r="L1541" s="429"/>
      <c r="M1541" s="428"/>
      <c r="N1541" s="430"/>
      <c r="O1541" s="431"/>
      <c r="P1541" s="431"/>
      <c r="Q1541" s="300"/>
      <c r="R1541" s="341"/>
    </row>
    <row r="1542" ht="15.75" customHeight="1">
      <c r="A1542" s="361"/>
      <c r="B1542" s="330"/>
      <c r="C1542" s="321"/>
      <c r="D1542" s="361"/>
      <c r="E1542" s="424"/>
      <c r="F1542" s="426"/>
      <c r="G1542" s="341"/>
      <c r="H1542" s="341"/>
      <c r="I1542" s="417"/>
      <c r="J1542" s="427"/>
      <c r="K1542" s="428"/>
      <c r="L1542" s="429"/>
      <c r="M1542" s="428"/>
      <c r="N1542" s="430"/>
      <c r="O1542" s="431"/>
      <c r="P1542" s="431"/>
      <c r="Q1542" s="300"/>
      <c r="R1542" s="341"/>
    </row>
    <row r="1543" ht="15.75" customHeight="1">
      <c r="A1543" s="361"/>
      <c r="B1543" s="330"/>
      <c r="C1543" s="321"/>
      <c r="D1543" s="361"/>
      <c r="E1543" s="424"/>
      <c r="F1543" s="426"/>
      <c r="G1543" s="341"/>
      <c r="H1543" s="341"/>
      <c r="I1543" s="417"/>
      <c r="J1543" s="427"/>
      <c r="K1543" s="428"/>
      <c r="L1543" s="429"/>
      <c r="M1543" s="428"/>
      <c r="N1543" s="430"/>
      <c r="O1543" s="431"/>
      <c r="P1543" s="431"/>
      <c r="Q1543" s="300"/>
      <c r="R1543" s="341"/>
    </row>
    <row r="1544" ht="15.75" customHeight="1">
      <c r="A1544" s="361"/>
      <c r="B1544" s="330"/>
      <c r="C1544" s="321"/>
      <c r="D1544" s="361"/>
      <c r="E1544" s="424"/>
      <c r="F1544" s="426"/>
      <c r="G1544" s="341"/>
      <c r="H1544" s="341"/>
      <c r="I1544" s="417"/>
      <c r="J1544" s="427"/>
      <c r="K1544" s="428"/>
      <c r="L1544" s="429"/>
      <c r="M1544" s="428"/>
      <c r="N1544" s="430"/>
      <c r="O1544" s="431"/>
      <c r="P1544" s="431"/>
      <c r="Q1544" s="300"/>
      <c r="R1544" s="341"/>
    </row>
    <row r="1545" ht="15.75" customHeight="1">
      <c r="A1545" s="361"/>
      <c r="B1545" s="330"/>
      <c r="C1545" s="321"/>
      <c r="D1545" s="361"/>
      <c r="E1545" s="424"/>
      <c r="F1545" s="426"/>
      <c r="G1545" s="341"/>
      <c r="H1545" s="341"/>
      <c r="I1545" s="417"/>
      <c r="J1545" s="427"/>
      <c r="K1545" s="428"/>
      <c r="L1545" s="429"/>
      <c r="M1545" s="428"/>
      <c r="N1545" s="430"/>
      <c r="O1545" s="431"/>
      <c r="P1545" s="431"/>
      <c r="Q1545" s="300"/>
      <c r="R1545" s="341"/>
    </row>
    <row r="1546" ht="15.75" customHeight="1">
      <c r="A1546" s="361"/>
      <c r="B1546" s="330"/>
      <c r="C1546" s="321"/>
      <c r="D1546" s="361"/>
      <c r="E1546" s="424"/>
      <c r="F1546" s="426"/>
      <c r="G1546" s="341"/>
      <c r="H1546" s="341"/>
      <c r="I1546" s="417"/>
      <c r="J1546" s="427"/>
      <c r="K1546" s="428"/>
      <c r="L1546" s="429"/>
      <c r="M1546" s="428"/>
      <c r="N1546" s="430"/>
      <c r="O1546" s="431"/>
      <c r="P1546" s="431"/>
      <c r="Q1546" s="300"/>
      <c r="R1546" s="341"/>
    </row>
    <row r="1547" ht="15.75" customHeight="1">
      <c r="A1547" s="361"/>
      <c r="B1547" s="330"/>
      <c r="C1547" s="321"/>
      <c r="D1547" s="361"/>
      <c r="E1547" s="424"/>
      <c r="F1547" s="426"/>
      <c r="G1547" s="341"/>
      <c r="H1547" s="341"/>
      <c r="I1547" s="417"/>
      <c r="J1547" s="427"/>
      <c r="K1547" s="428"/>
      <c r="L1547" s="429"/>
      <c r="M1547" s="428"/>
      <c r="N1547" s="430"/>
      <c r="O1547" s="431"/>
      <c r="P1547" s="431"/>
      <c r="Q1547" s="300"/>
      <c r="R1547" s="341"/>
    </row>
    <row r="1548" ht="15.75" customHeight="1">
      <c r="A1548" s="361"/>
      <c r="B1548" s="330"/>
      <c r="C1548" s="321"/>
      <c r="D1548" s="361"/>
      <c r="E1548" s="424"/>
      <c r="F1548" s="426"/>
      <c r="G1548" s="341"/>
      <c r="H1548" s="341"/>
      <c r="I1548" s="417"/>
      <c r="J1548" s="427"/>
      <c r="K1548" s="428"/>
      <c r="L1548" s="429"/>
      <c r="M1548" s="428"/>
      <c r="N1548" s="430"/>
      <c r="O1548" s="431"/>
      <c r="P1548" s="431"/>
      <c r="Q1548" s="300"/>
      <c r="R1548" s="341"/>
    </row>
    <row r="1549" ht="15.75" customHeight="1">
      <c r="A1549" s="361"/>
      <c r="B1549" s="330"/>
      <c r="C1549" s="321"/>
      <c r="D1549" s="361"/>
      <c r="E1549" s="424"/>
      <c r="F1549" s="426"/>
      <c r="G1549" s="341"/>
      <c r="H1549" s="341"/>
      <c r="I1549" s="417"/>
      <c r="J1549" s="427"/>
      <c r="K1549" s="428"/>
      <c r="L1549" s="429"/>
      <c r="M1549" s="428"/>
      <c r="N1549" s="430"/>
      <c r="O1549" s="431"/>
      <c r="P1549" s="431"/>
      <c r="Q1549" s="300"/>
      <c r="R1549" s="341"/>
    </row>
    <row r="1550" ht="15.75" customHeight="1">
      <c r="A1550" s="361"/>
      <c r="B1550" s="330"/>
      <c r="C1550" s="321"/>
      <c r="D1550" s="361"/>
      <c r="E1550" s="424"/>
      <c r="F1550" s="426"/>
      <c r="G1550" s="341"/>
      <c r="H1550" s="341"/>
      <c r="I1550" s="417"/>
      <c r="J1550" s="427"/>
      <c r="K1550" s="428"/>
      <c r="L1550" s="429"/>
      <c r="M1550" s="428"/>
      <c r="N1550" s="430"/>
      <c r="O1550" s="431"/>
      <c r="P1550" s="431"/>
      <c r="Q1550" s="300"/>
      <c r="R1550" s="341"/>
    </row>
    <row r="1551" ht="15.75" customHeight="1">
      <c r="A1551" s="361"/>
      <c r="B1551" s="330"/>
      <c r="C1551" s="321"/>
      <c r="D1551" s="361"/>
      <c r="E1551" s="424"/>
      <c r="F1551" s="426"/>
      <c r="G1551" s="341"/>
      <c r="H1551" s="341"/>
      <c r="I1551" s="417"/>
      <c r="J1551" s="427"/>
      <c r="K1551" s="428"/>
      <c r="L1551" s="429"/>
      <c r="M1551" s="428"/>
      <c r="N1551" s="430"/>
      <c r="O1551" s="431"/>
      <c r="P1551" s="431"/>
      <c r="Q1551" s="300"/>
      <c r="R1551" s="341"/>
    </row>
    <row r="1552" ht="15.75" customHeight="1">
      <c r="A1552" s="361"/>
      <c r="B1552" s="330"/>
      <c r="C1552" s="321"/>
      <c r="D1552" s="361"/>
      <c r="E1552" s="424"/>
      <c r="F1552" s="426"/>
      <c r="G1552" s="341"/>
      <c r="H1552" s="341"/>
      <c r="I1552" s="417"/>
      <c r="J1552" s="427"/>
      <c r="K1552" s="428"/>
      <c r="L1552" s="429"/>
      <c r="M1552" s="428"/>
      <c r="N1552" s="430"/>
      <c r="O1552" s="431"/>
      <c r="P1552" s="431"/>
      <c r="Q1552" s="300"/>
      <c r="R1552" s="341"/>
    </row>
    <row r="1553" ht="15.75" customHeight="1">
      <c r="A1553" s="361"/>
      <c r="B1553" s="330"/>
      <c r="C1553" s="321"/>
      <c r="D1553" s="361"/>
      <c r="E1553" s="424"/>
      <c r="F1553" s="426"/>
      <c r="G1553" s="341"/>
      <c r="H1553" s="341"/>
      <c r="I1553" s="417"/>
      <c r="J1553" s="427"/>
      <c r="K1553" s="428"/>
      <c r="L1553" s="429"/>
      <c r="M1553" s="428"/>
      <c r="N1553" s="430"/>
      <c r="O1553" s="431"/>
      <c r="P1553" s="431"/>
      <c r="Q1553" s="300"/>
      <c r="R1553" s="341"/>
    </row>
    <row r="1554" ht="15.75" customHeight="1">
      <c r="A1554" s="361"/>
      <c r="B1554" s="330"/>
      <c r="C1554" s="321"/>
      <c r="D1554" s="361"/>
      <c r="E1554" s="424"/>
      <c r="F1554" s="426"/>
      <c r="G1554" s="341"/>
      <c r="H1554" s="341"/>
      <c r="I1554" s="417"/>
      <c r="J1554" s="427"/>
      <c r="K1554" s="428"/>
      <c r="L1554" s="429"/>
      <c r="M1554" s="428"/>
      <c r="N1554" s="430"/>
      <c r="O1554" s="431"/>
      <c r="P1554" s="431"/>
      <c r="Q1554" s="300"/>
      <c r="R1554" s="341"/>
    </row>
    <row r="1555" ht="15.75" customHeight="1">
      <c r="A1555" s="361"/>
      <c r="B1555" s="330"/>
      <c r="C1555" s="321"/>
      <c r="D1555" s="361"/>
      <c r="E1555" s="424"/>
      <c r="F1555" s="426"/>
      <c r="G1555" s="341"/>
      <c r="H1555" s="341"/>
      <c r="I1555" s="417"/>
      <c r="J1555" s="427"/>
      <c r="K1555" s="428"/>
      <c r="L1555" s="429"/>
      <c r="M1555" s="428"/>
      <c r="N1555" s="430"/>
      <c r="O1555" s="431"/>
      <c r="P1555" s="431"/>
      <c r="Q1555" s="300"/>
      <c r="R1555" s="341"/>
    </row>
    <row r="1556" ht="15.75" customHeight="1">
      <c r="A1556" s="361"/>
      <c r="B1556" s="330"/>
      <c r="C1556" s="321"/>
      <c r="D1556" s="361"/>
      <c r="E1556" s="424"/>
      <c r="F1556" s="426"/>
      <c r="G1556" s="341"/>
      <c r="H1556" s="341"/>
      <c r="I1556" s="417"/>
      <c r="J1556" s="427"/>
      <c r="K1556" s="428"/>
      <c r="L1556" s="429"/>
      <c r="M1556" s="428"/>
      <c r="N1556" s="430"/>
      <c r="O1556" s="431"/>
      <c r="P1556" s="431"/>
      <c r="Q1556" s="300"/>
      <c r="R1556" s="341"/>
    </row>
    <row r="1557" ht="15.75" customHeight="1">
      <c r="A1557" s="361"/>
      <c r="B1557" s="330"/>
      <c r="C1557" s="321"/>
      <c r="D1557" s="361"/>
      <c r="E1557" s="424"/>
      <c r="F1557" s="426"/>
      <c r="G1557" s="341"/>
      <c r="H1557" s="341"/>
      <c r="I1557" s="417"/>
      <c r="J1557" s="427"/>
      <c r="K1557" s="428"/>
      <c r="L1557" s="429"/>
      <c r="M1557" s="428"/>
      <c r="N1557" s="430"/>
      <c r="O1557" s="431"/>
      <c r="P1557" s="431"/>
      <c r="Q1557" s="300"/>
      <c r="R1557" s="341"/>
    </row>
    <row r="1558" ht="15.75" customHeight="1">
      <c r="A1558" s="361"/>
      <c r="B1558" s="330"/>
      <c r="C1558" s="321"/>
      <c r="D1558" s="361"/>
      <c r="E1558" s="424"/>
      <c r="F1558" s="426"/>
      <c r="G1558" s="341"/>
      <c r="H1558" s="341"/>
      <c r="I1558" s="417"/>
      <c r="J1558" s="427"/>
      <c r="K1558" s="428"/>
      <c r="L1558" s="429"/>
      <c r="M1558" s="428"/>
      <c r="N1558" s="430"/>
      <c r="O1558" s="431"/>
      <c r="P1558" s="431"/>
      <c r="Q1558" s="300"/>
      <c r="R1558" s="341"/>
    </row>
    <row r="1559" ht="15.75" customHeight="1">
      <c r="A1559" s="361"/>
      <c r="B1559" s="330"/>
      <c r="C1559" s="321"/>
      <c r="D1559" s="361"/>
      <c r="E1559" s="424"/>
      <c r="F1559" s="426"/>
      <c r="G1559" s="341"/>
      <c r="H1559" s="341"/>
      <c r="I1559" s="417"/>
      <c r="J1559" s="427"/>
      <c r="K1559" s="428"/>
      <c r="L1559" s="429"/>
      <c r="M1559" s="428"/>
      <c r="N1559" s="430"/>
      <c r="O1559" s="431"/>
      <c r="P1559" s="431"/>
      <c r="Q1559" s="300"/>
      <c r="R1559" s="341"/>
    </row>
    <row r="1560" ht="15.75" customHeight="1">
      <c r="A1560" s="361"/>
      <c r="B1560" s="330"/>
      <c r="C1560" s="321"/>
      <c r="D1560" s="361"/>
      <c r="E1560" s="424"/>
      <c r="F1560" s="426"/>
      <c r="G1560" s="341"/>
      <c r="H1560" s="341"/>
      <c r="I1560" s="417"/>
      <c r="J1560" s="427"/>
      <c r="K1560" s="428"/>
      <c r="L1560" s="429"/>
      <c r="M1560" s="428"/>
      <c r="N1560" s="430"/>
      <c r="O1560" s="431"/>
      <c r="P1560" s="431"/>
      <c r="Q1560" s="300"/>
      <c r="R1560" s="341"/>
    </row>
    <row r="1561" ht="15.75" customHeight="1">
      <c r="A1561" s="361"/>
      <c r="B1561" s="330"/>
      <c r="C1561" s="321"/>
      <c r="D1561" s="361"/>
      <c r="E1561" s="424"/>
      <c r="F1561" s="426"/>
      <c r="G1561" s="341"/>
      <c r="H1561" s="341"/>
      <c r="I1561" s="417"/>
      <c r="J1561" s="427"/>
      <c r="K1561" s="428"/>
      <c r="L1561" s="429"/>
      <c r="M1561" s="428"/>
      <c r="N1561" s="430"/>
      <c r="O1561" s="431"/>
      <c r="P1561" s="431"/>
      <c r="Q1561" s="300"/>
      <c r="R1561" s="341"/>
    </row>
    <row r="1562" ht="15.75" customHeight="1">
      <c r="A1562" s="361"/>
      <c r="B1562" s="330"/>
      <c r="C1562" s="321"/>
      <c r="D1562" s="361"/>
      <c r="E1562" s="424"/>
      <c r="F1562" s="426"/>
      <c r="G1562" s="341"/>
      <c r="H1562" s="341"/>
      <c r="I1562" s="417"/>
      <c r="J1562" s="427"/>
      <c r="K1562" s="428"/>
      <c r="L1562" s="429"/>
      <c r="M1562" s="428"/>
      <c r="N1562" s="430"/>
      <c r="O1562" s="431"/>
      <c r="P1562" s="431"/>
      <c r="Q1562" s="300"/>
      <c r="R1562" s="341"/>
    </row>
    <row r="1563" ht="15.75" customHeight="1">
      <c r="A1563" s="361"/>
      <c r="B1563" s="330"/>
      <c r="C1563" s="321"/>
      <c r="D1563" s="361"/>
      <c r="E1563" s="424"/>
      <c r="F1563" s="426"/>
      <c r="G1563" s="341"/>
      <c r="H1563" s="341"/>
      <c r="I1563" s="417"/>
      <c r="J1563" s="427"/>
      <c r="K1563" s="428"/>
      <c r="L1563" s="429"/>
      <c r="M1563" s="428"/>
      <c r="N1563" s="430"/>
      <c r="O1563" s="431"/>
      <c r="P1563" s="431"/>
      <c r="Q1563" s="300"/>
      <c r="R1563" s="341"/>
    </row>
    <row r="1564" ht="15.75" customHeight="1">
      <c r="A1564" s="361"/>
      <c r="B1564" s="330"/>
      <c r="C1564" s="321"/>
      <c r="D1564" s="361"/>
      <c r="E1564" s="424"/>
      <c r="F1564" s="426"/>
      <c r="G1564" s="341"/>
      <c r="H1564" s="341"/>
      <c r="I1564" s="417"/>
      <c r="J1564" s="427"/>
      <c r="K1564" s="428"/>
      <c r="L1564" s="429"/>
      <c r="M1564" s="428"/>
      <c r="N1564" s="430"/>
      <c r="O1564" s="431"/>
      <c r="P1564" s="431"/>
      <c r="Q1564" s="300"/>
      <c r="R1564" s="341"/>
    </row>
    <row r="1565" ht="15.75" customHeight="1">
      <c r="A1565" s="361"/>
      <c r="B1565" s="330"/>
      <c r="C1565" s="321"/>
      <c r="D1565" s="361"/>
      <c r="E1565" s="424"/>
      <c r="F1565" s="426"/>
      <c r="G1565" s="341"/>
      <c r="H1565" s="341"/>
      <c r="I1565" s="417"/>
      <c r="J1565" s="427"/>
      <c r="K1565" s="428"/>
      <c r="L1565" s="429"/>
      <c r="M1565" s="428"/>
      <c r="N1565" s="430"/>
      <c r="O1565" s="431"/>
      <c r="P1565" s="431"/>
      <c r="Q1565" s="300"/>
      <c r="R1565" s="341"/>
    </row>
    <row r="1566" ht="15.75" customHeight="1">
      <c r="A1566" s="361"/>
      <c r="B1566" s="330"/>
      <c r="C1566" s="321"/>
      <c r="D1566" s="361"/>
      <c r="E1566" s="424"/>
      <c r="F1566" s="426"/>
      <c r="G1566" s="341"/>
      <c r="H1566" s="341"/>
      <c r="I1566" s="417"/>
      <c r="J1566" s="427"/>
      <c r="K1566" s="428"/>
      <c r="L1566" s="429"/>
      <c r="M1566" s="428"/>
      <c r="N1566" s="430"/>
      <c r="O1566" s="431"/>
      <c r="P1566" s="431"/>
      <c r="Q1566" s="300"/>
      <c r="R1566" s="341"/>
    </row>
    <row r="1567" ht="15.75" customHeight="1">
      <c r="A1567" s="361"/>
      <c r="B1567" s="330"/>
      <c r="C1567" s="321"/>
      <c r="D1567" s="361"/>
      <c r="E1567" s="424"/>
      <c r="F1567" s="426"/>
      <c r="G1567" s="341"/>
      <c r="H1567" s="341"/>
      <c r="I1567" s="417"/>
      <c r="J1567" s="427"/>
      <c r="K1567" s="428"/>
      <c r="L1567" s="429"/>
      <c r="M1567" s="428"/>
      <c r="N1567" s="430"/>
      <c r="O1567" s="431"/>
      <c r="P1567" s="431"/>
      <c r="Q1567" s="300"/>
      <c r="R1567" s="341"/>
    </row>
    <row r="1568" ht="15.75" customHeight="1">
      <c r="A1568" s="361"/>
      <c r="B1568" s="330"/>
      <c r="C1568" s="321"/>
      <c r="D1568" s="361"/>
      <c r="E1568" s="424"/>
      <c r="F1568" s="426"/>
      <c r="G1568" s="341"/>
      <c r="H1568" s="341"/>
      <c r="I1568" s="417"/>
      <c r="J1568" s="427"/>
      <c r="K1568" s="428"/>
      <c r="L1568" s="429"/>
      <c r="M1568" s="428"/>
      <c r="N1568" s="430"/>
      <c r="O1568" s="431"/>
      <c r="P1568" s="431"/>
      <c r="Q1568" s="300"/>
      <c r="R1568" s="341"/>
    </row>
    <row r="1569" ht="15.75" customHeight="1">
      <c r="A1569" s="361"/>
      <c r="B1569" s="330"/>
      <c r="C1569" s="321"/>
      <c r="D1569" s="361"/>
      <c r="E1569" s="424"/>
      <c r="F1569" s="426"/>
      <c r="G1569" s="341"/>
      <c r="H1569" s="341"/>
      <c r="I1569" s="417"/>
      <c r="J1569" s="427"/>
      <c r="K1569" s="428"/>
      <c r="L1569" s="429"/>
      <c r="M1569" s="428"/>
      <c r="N1569" s="430"/>
      <c r="O1569" s="431"/>
      <c r="P1569" s="431"/>
      <c r="Q1569" s="300"/>
      <c r="R1569" s="341"/>
    </row>
    <row r="1570" ht="15.75" customHeight="1">
      <c r="A1570" s="361"/>
      <c r="B1570" s="330"/>
      <c r="C1570" s="321"/>
      <c r="D1570" s="361"/>
      <c r="E1570" s="424"/>
      <c r="F1570" s="426"/>
      <c r="G1570" s="341"/>
      <c r="H1570" s="341"/>
      <c r="I1570" s="417"/>
      <c r="J1570" s="427"/>
      <c r="K1570" s="428"/>
      <c r="L1570" s="429"/>
      <c r="M1570" s="428"/>
      <c r="N1570" s="430"/>
      <c r="O1570" s="431"/>
      <c r="P1570" s="431"/>
      <c r="Q1570" s="300"/>
      <c r="R1570" s="341"/>
    </row>
    <row r="1571" ht="15.75" customHeight="1">
      <c r="A1571" s="361"/>
      <c r="B1571" s="330"/>
      <c r="C1571" s="321"/>
      <c r="D1571" s="361"/>
      <c r="E1571" s="424"/>
      <c r="F1571" s="426"/>
      <c r="G1571" s="341"/>
      <c r="H1571" s="341"/>
      <c r="I1571" s="417"/>
      <c r="J1571" s="427"/>
      <c r="K1571" s="428"/>
      <c r="L1571" s="429"/>
      <c r="M1571" s="428"/>
      <c r="N1571" s="430"/>
      <c r="O1571" s="431"/>
      <c r="P1571" s="431"/>
      <c r="Q1571" s="300"/>
      <c r="R1571" s="341"/>
    </row>
    <row r="1572" ht="15.75" customHeight="1">
      <c r="A1572" s="361"/>
      <c r="B1572" s="330"/>
      <c r="C1572" s="321"/>
      <c r="D1572" s="361"/>
      <c r="E1572" s="424"/>
      <c r="F1572" s="426"/>
      <c r="G1572" s="341"/>
      <c r="H1572" s="341"/>
      <c r="I1572" s="417"/>
      <c r="J1572" s="427"/>
      <c r="K1572" s="428"/>
      <c r="L1572" s="429"/>
      <c r="M1572" s="428"/>
      <c r="N1572" s="430"/>
      <c r="O1572" s="431"/>
      <c r="P1572" s="431"/>
      <c r="Q1572" s="300"/>
      <c r="R1572" s="341"/>
    </row>
    <row r="1573" ht="15.75" customHeight="1">
      <c r="A1573" s="361"/>
      <c r="B1573" s="330"/>
      <c r="C1573" s="321"/>
      <c r="D1573" s="361"/>
      <c r="E1573" s="424"/>
      <c r="F1573" s="426"/>
      <c r="G1573" s="341"/>
      <c r="H1573" s="341"/>
      <c r="I1573" s="417"/>
      <c r="J1573" s="427"/>
      <c r="K1573" s="428"/>
      <c r="L1573" s="429"/>
      <c r="M1573" s="428"/>
      <c r="N1573" s="430"/>
      <c r="O1573" s="431"/>
      <c r="P1573" s="431"/>
      <c r="Q1573" s="300"/>
      <c r="R1573" s="341"/>
    </row>
    <row r="1574" ht="15.75" customHeight="1">
      <c r="A1574" s="361"/>
      <c r="B1574" s="330"/>
      <c r="C1574" s="321"/>
      <c r="D1574" s="361"/>
      <c r="E1574" s="424"/>
      <c r="F1574" s="426"/>
      <c r="G1574" s="341"/>
      <c r="H1574" s="341"/>
      <c r="I1574" s="417"/>
      <c r="J1574" s="427"/>
      <c r="K1574" s="428"/>
      <c r="L1574" s="429"/>
      <c r="M1574" s="428"/>
      <c r="N1574" s="430"/>
      <c r="O1574" s="431"/>
      <c r="P1574" s="431"/>
      <c r="Q1574" s="300"/>
      <c r="R1574" s="341"/>
    </row>
    <row r="1575" ht="15.75" customHeight="1">
      <c r="A1575" s="361"/>
      <c r="B1575" s="330"/>
      <c r="C1575" s="321"/>
      <c r="D1575" s="361"/>
      <c r="E1575" s="424"/>
      <c r="F1575" s="426"/>
      <c r="G1575" s="341"/>
      <c r="H1575" s="341"/>
      <c r="I1575" s="417"/>
      <c r="J1575" s="427"/>
      <c r="K1575" s="428"/>
      <c r="L1575" s="429"/>
      <c r="M1575" s="428"/>
      <c r="N1575" s="430"/>
      <c r="O1575" s="431"/>
      <c r="P1575" s="431"/>
      <c r="Q1575" s="300"/>
      <c r="R1575" s="341"/>
    </row>
    <row r="1576" ht="15.75" customHeight="1">
      <c r="A1576" s="361"/>
      <c r="B1576" s="330"/>
      <c r="C1576" s="321"/>
      <c r="D1576" s="361"/>
      <c r="E1576" s="424"/>
      <c r="F1576" s="426"/>
      <c r="G1576" s="341"/>
      <c r="H1576" s="341"/>
      <c r="I1576" s="417"/>
      <c r="J1576" s="427"/>
      <c r="K1576" s="428"/>
      <c r="L1576" s="429"/>
      <c r="M1576" s="428"/>
      <c r="N1576" s="430"/>
      <c r="O1576" s="431"/>
      <c r="P1576" s="431"/>
      <c r="Q1576" s="300"/>
      <c r="R1576" s="341"/>
    </row>
    <row r="1577" ht="15.75" customHeight="1">
      <c r="A1577" s="361"/>
      <c r="B1577" s="330"/>
      <c r="C1577" s="321"/>
      <c r="D1577" s="361"/>
      <c r="E1577" s="424"/>
      <c r="F1577" s="426"/>
      <c r="G1577" s="341"/>
      <c r="H1577" s="341"/>
      <c r="I1577" s="417"/>
      <c r="J1577" s="427"/>
      <c r="K1577" s="428"/>
      <c r="L1577" s="429"/>
      <c r="M1577" s="428"/>
      <c r="N1577" s="430"/>
      <c r="O1577" s="431"/>
      <c r="P1577" s="431"/>
      <c r="Q1577" s="300"/>
      <c r="R1577" s="341"/>
    </row>
    <row r="1578" ht="15.75" customHeight="1">
      <c r="A1578" s="361"/>
      <c r="B1578" s="330"/>
      <c r="C1578" s="321"/>
      <c r="D1578" s="361"/>
      <c r="E1578" s="424"/>
      <c r="F1578" s="426"/>
      <c r="G1578" s="341"/>
      <c r="H1578" s="341"/>
      <c r="I1578" s="417"/>
      <c r="J1578" s="427"/>
      <c r="K1578" s="428"/>
      <c r="L1578" s="429"/>
      <c r="M1578" s="428"/>
      <c r="N1578" s="430"/>
      <c r="O1578" s="431"/>
      <c r="P1578" s="431"/>
      <c r="Q1578" s="300"/>
      <c r="R1578" s="341"/>
    </row>
    <row r="1579" ht="15.75" customHeight="1">
      <c r="A1579" s="361"/>
      <c r="B1579" s="330"/>
      <c r="C1579" s="321"/>
      <c r="D1579" s="361"/>
      <c r="E1579" s="424"/>
      <c r="F1579" s="426"/>
      <c r="G1579" s="341"/>
      <c r="H1579" s="341"/>
      <c r="I1579" s="417"/>
      <c r="J1579" s="427"/>
      <c r="K1579" s="428"/>
      <c r="L1579" s="429"/>
      <c r="M1579" s="428"/>
      <c r="N1579" s="430"/>
      <c r="O1579" s="431"/>
      <c r="P1579" s="431"/>
      <c r="Q1579" s="300"/>
      <c r="R1579" s="341"/>
    </row>
    <row r="1580" ht="15.75" customHeight="1">
      <c r="A1580" s="361"/>
      <c r="B1580" s="330"/>
      <c r="C1580" s="321"/>
      <c r="D1580" s="361"/>
      <c r="E1580" s="424"/>
      <c r="F1580" s="426"/>
      <c r="G1580" s="341"/>
      <c r="H1580" s="341"/>
      <c r="I1580" s="417"/>
      <c r="J1580" s="427"/>
      <c r="K1580" s="428"/>
      <c r="L1580" s="429"/>
      <c r="M1580" s="428"/>
      <c r="N1580" s="430"/>
      <c r="O1580" s="431"/>
      <c r="P1580" s="431"/>
      <c r="Q1580" s="300"/>
      <c r="R1580" s="341"/>
    </row>
    <row r="1581" ht="15.75" customHeight="1">
      <c r="A1581" s="361"/>
      <c r="B1581" s="330"/>
      <c r="C1581" s="321"/>
      <c r="D1581" s="361"/>
      <c r="E1581" s="424"/>
      <c r="F1581" s="426"/>
      <c r="G1581" s="341"/>
      <c r="H1581" s="341"/>
      <c r="I1581" s="417"/>
      <c r="J1581" s="427"/>
      <c r="K1581" s="428"/>
      <c r="L1581" s="429"/>
      <c r="M1581" s="428"/>
      <c r="N1581" s="430"/>
      <c r="O1581" s="431"/>
      <c r="P1581" s="431"/>
      <c r="Q1581" s="300"/>
      <c r="R1581" s="341"/>
    </row>
    <row r="1582" ht="15.75" customHeight="1">
      <c r="A1582" s="361"/>
      <c r="B1582" s="330"/>
      <c r="C1582" s="321"/>
      <c r="D1582" s="361"/>
      <c r="E1582" s="424"/>
      <c r="F1582" s="426"/>
      <c r="G1582" s="341"/>
      <c r="H1582" s="341"/>
      <c r="I1582" s="417"/>
      <c r="J1582" s="427"/>
      <c r="K1582" s="428"/>
      <c r="L1582" s="429"/>
      <c r="M1582" s="428"/>
      <c r="N1582" s="430"/>
      <c r="O1582" s="431"/>
      <c r="P1582" s="431"/>
      <c r="Q1582" s="300"/>
      <c r="R1582" s="341"/>
    </row>
    <row r="1583" ht="15.75" customHeight="1">
      <c r="A1583" s="361"/>
      <c r="B1583" s="330"/>
      <c r="C1583" s="321"/>
      <c r="D1583" s="361"/>
      <c r="E1583" s="424"/>
      <c r="F1583" s="426"/>
      <c r="G1583" s="341"/>
      <c r="H1583" s="341"/>
      <c r="I1583" s="417"/>
      <c r="J1583" s="427"/>
      <c r="K1583" s="428"/>
      <c r="L1583" s="429"/>
      <c r="M1583" s="428"/>
      <c r="N1583" s="430"/>
      <c r="O1583" s="431"/>
      <c r="P1583" s="431"/>
      <c r="Q1583" s="300"/>
      <c r="R1583" s="341"/>
    </row>
    <row r="1584" ht="15.75" customHeight="1">
      <c r="A1584" s="361"/>
      <c r="B1584" s="330"/>
      <c r="C1584" s="321"/>
      <c r="D1584" s="361"/>
      <c r="E1584" s="424"/>
      <c r="F1584" s="426"/>
      <c r="G1584" s="341"/>
      <c r="H1584" s="341"/>
      <c r="I1584" s="417"/>
      <c r="J1584" s="427"/>
      <c r="K1584" s="428"/>
      <c r="L1584" s="429"/>
      <c r="M1584" s="428"/>
      <c r="N1584" s="430"/>
      <c r="O1584" s="431"/>
      <c r="P1584" s="431"/>
      <c r="Q1584" s="300"/>
      <c r="R1584" s="341"/>
    </row>
    <row r="1585" ht="15.75" customHeight="1">
      <c r="A1585" s="361"/>
      <c r="B1585" s="330"/>
      <c r="C1585" s="321"/>
      <c r="D1585" s="361"/>
      <c r="E1585" s="424"/>
      <c r="F1585" s="426"/>
      <c r="G1585" s="341"/>
      <c r="H1585" s="341"/>
      <c r="I1585" s="417"/>
      <c r="J1585" s="427"/>
      <c r="K1585" s="428"/>
      <c r="L1585" s="429"/>
      <c r="M1585" s="428"/>
      <c r="N1585" s="430"/>
      <c r="O1585" s="431"/>
      <c r="P1585" s="431"/>
      <c r="Q1585" s="300"/>
      <c r="R1585" s="341"/>
    </row>
    <row r="1586" ht="15.75" customHeight="1">
      <c r="A1586" s="361"/>
      <c r="B1586" s="330"/>
      <c r="C1586" s="321"/>
      <c r="D1586" s="361"/>
      <c r="E1586" s="424"/>
      <c r="F1586" s="426"/>
      <c r="G1586" s="341"/>
      <c r="H1586" s="341"/>
      <c r="I1586" s="417"/>
      <c r="J1586" s="427"/>
      <c r="K1586" s="428"/>
      <c r="L1586" s="429"/>
      <c r="M1586" s="428"/>
      <c r="N1586" s="430"/>
      <c r="O1586" s="431"/>
      <c r="P1586" s="431"/>
      <c r="Q1586" s="300"/>
      <c r="R1586" s="341"/>
    </row>
    <row r="1587" ht="15.75" customHeight="1">
      <c r="A1587" s="361"/>
      <c r="B1587" s="330"/>
      <c r="C1587" s="321"/>
      <c r="D1587" s="361"/>
      <c r="E1587" s="424"/>
      <c r="F1587" s="426"/>
      <c r="G1587" s="341"/>
      <c r="H1587" s="341"/>
      <c r="I1587" s="417"/>
      <c r="J1587" s="427"/>
      <c r="K1587" s="428"/>
      <c r="L1587" s="429"/>
      <c r="M1587" s="428"/>
      <c r="N1587" s="430"/>
      <c r="O1587" s="431"/>
      <c r="P1587" s="431"/>
      <c r="Q1587" s="300"/>
      <c r="R1587" s="341"/>
    </row>
    <row r="1588" ht="15.75" customHeight="1">
      <c r="A1588" s="361"/>
      <c r="B1588" s="330"/>
      <c r="C1588" s="321"/>
      <c r="D1588" s="361"/>
      <c r="E1588" s="424"/>
      <c r="F1588" s="426"/>
      <c r="G1588" s="341"/>
      <c r="H1588" s="341"/>
      <c r="I1588" s="417"/>
      <c r="J1588" s="427"/>
      <c r="K1588" s="428"/>
      <c r="L1588" s="429"/>
      <c r="M1588" s="428"/>
      <c r="N1588" s="430"/>
      <c r="O1588" s="431"/>
      <c r="P1588" s="431"/>
      <c r="Q1588" s="300"/>
      <c r="R1588" s="341"/>
    </row>
    <row r="1589" ht="15.75" customHeight="1">
      <c r="A1589" s="361"/>
      <c r="B1589" s="330"/>
      <c r="C1589" s="321"/>
      <c r="D1589" s="361"/>
      <c r="E1589" s="424"/>
      <c r="F1589" s="426"/>
      <c r="G1589" s="341"/>
      <c r="H1589" s="341"/>
      <c r="I1589" s="417"/>
      <c r="J1589" s="427"/>
      <c r="K1589" s="428"/>
      <c r="L1589" s="429"/>
      <c r="M1589" s="428"/>
      <c r="N1589" s="430"/>
      <c r="O1589" s="431"/>
      <c r="P1589" s="431"/>
      <c r="Q1589" s="300"/>
      <c r="R1589" s="341"/>
    </row>
    <row r="1590" ht="15.75" customHeight="1">
      <c r="A1590" s="361"/>
      <c r="B1590" s="330"/>
      <c r="C1590" s="321"/>
      <c r="D1590" s="361"/>
      <c r="E1590" s="424"/>
      <c r="F1590" s="426"/>
      <c r="G1590" s="341"/>
      <c r="H1590" s="341"/>
      <c r="I1590" s="417"/>
      <c r="J1590" s="427"/>
      <c r="K1590" s="428"/>
      <c r="L1590" s="429"/>
      <c r="M1590" s="428"/>
      <c r="N1590" s="430"/>
      <c r="O1590" s="431"/>
      <c r="P1590" s="431"/>
      <c r="Q1590" s="300"/>
      <c r="R1590" s="341"/>
    </row>
    <row r="1591" ht="15.75" customHeight="1">
      <c r="A1591" s="361"/>
      <c r="B1591" s="330"/>
      <c r="C1591" s="321"/>
      <c r="D1591" s="361"/>
      <c r="E1591" s="424"/>
      <c r="F1591" s="426"/>
      <c r="G1591" s="341"/>
      <c r="H1591" s="341"/>
      <c r="I1591" s="417"/>
      <c r="J1591" s="427"/>
      <c r="K1591" s="428"/>
      <c r="L1591" s="429"/>
      <c r="M1591" s="428"/>
      <c r="N1591" s="430"/>
      <c r="O1591" s="431"/>
      <c r="P1591" s="431"/>
      <c r="Q1591" s="300"/>
      <c r="R1591" s="341"/>
    </row>
    <row r="1592" ht="15.75" customHeight="1">
      <c r="A1592" s="361"/>
      <c r="B1592" s="330"/>
      <c r="C1592" s="321"/>
      <c r="D1592" s="361"/>
      <c r="E1592" s="424"/>
      <c r="F1592" s="426"/>
      <c r="G1592" s="341"/>
      <c r="H1592" s="341"/>
      <c r="I1592" s="417"/>
      <c r="J1592" s="427"/>
      <c r="K1592" s="428"/>
      <c r="L1592" s="429"/>
      <c r="M1592" s="428"/>
      <c r="N1592" s="430"/>
      <c r="O1592" s="431"/>
      <c r="P1592" s="431"/>
      <c r="Q1592" s="300"/>
      <c r="R1592" s="341"/>
    </row>
    <row r="1593" ht="15.75" customHeight="1">
      <c r="A1593" s="361"/>
      <c r="B1593" s="330"/>
      <c r="C1593" s="321"/>
      <c r="D1593" s="361"/>
      <c r="E1593" s="424"/>
      <c r="F1593" s="426"/>
      <c r="G1593" s="341"/>
      <c r="H1593" s="341"/>
      <c r="I1593" s="417"/>
      <c r="J1593" s="427"/>
      <c r="K1593" s="428"/>
      <c r="L1593" s="429"/>
      <c r="M1593" s="428"/>
      <c r="N1593" s="430"/>
      <c r="O1593" s="431"/>
      <c r="P1593" s="431"/>
      <c r="Q1593" s="300"/>
      <c r="R1593" s="341"/>
    </row>
    <row r="1594" ht="15.75" customHeight="1">
      <c r="A1594" s="361"/>
      <c r="B1594" s="330"/>
      <c r="C1594" s="321"/>
      <c r="D1594" s="361"/>
      <c r="E1594" s="424"/>
      <c r="F1594" s="426"/>
      <c r="G1594" s="341"/>
      <c r="H1594" s="341"/>
      <c r="I1594" s="417"/>
      <c r="J1594" s="427"/>
      <c r="K1594" s="428"/>
      <c r="L1594" s="429"/>
      <c r="M1594" s="428"/>
      <c r="N1594" s="430"/>
      <c r="O1594" s="431"/>
      <c r="P1594" s="431"/>
      <c r="Q1594" s="300"/>
      <c r="R1594" s="341"/>
    </row>
    <row r="1595" ht="15.75" customHeight="1">
      <c r="A1595" s="361"/>
      <c r="B1595" s="330"/>
      <c r="C1595" s="321"/>
      <c r="D1595" s="361"/>
      <c r="E1595" s="424"/>
      <c r="F1595" s="426"/>
      <c r="G1595" s="341"/>
      <c r="H1595" s="341"/>
      <c r="I1595" s="417"/>
      <c r="J1595" s="427"/>
      <c r="K1595" s="428"/>
      <c r="L1595" s="429"/>
      <c r="M1595" s="428"/>
      <c r="N1595" s="430"/>
      <c r="O1595" s="431"/>
      <c r="P1595" s="431"/>
      <c r="Q1595" s="300"/>
      <c r="R1595" s="341"/>
    </row>
    <row r="1596" ht="15.75" customHeight="1">
      <c r="A1596" s="361"/>
      <c r="B1596" s="330"/>
      <c r="C1596" s="321"/>
      <c r="D1596" s="361"/>
      <c r="E1596" s="424"/>
      <c r="F1596" s="426"/>
      <c r="G1596" s="341"/>
      <c r="H1596" s="341"/>
      <c r="I1596" s="417"/>
      <c r="J1596" s="427"/>
      <c r="K1596" s="428"/>
      <c r="L1596" s="429"/>
      <c r="M1596" s="428"/>
      <c r="N1596" s="430"/>
      <c r="O1596" s="431"/>
      <c r="P1596" s="431"/>
      <c r="Q1596" s="300"/>
      <c r="R1596" s="341"/>
    </row>
    <row r="1597" ht="15.75" customHeight="1">
      <c r="A1597" s="361"/>
      <c r="B1597" s="330"/>
      <c r="C1597" s="321"/>
      <c r="D1597" s="361"/>
      <c r="E1597" s="424"/>
      <c r="F1597" s="426"/>
      <c r="G1597" s="341"/>
      <c r="H1597" s="341"/>
      <c r="I1597" s="417"/>
      <c r="J1597" s="427"/>
      <c r="K1597" s="428"/>
      <c r="L1597" s="429"/>
      <c r="M1597" s="428"/>
      <c r="N1597" s="430"/>
      <c r="O1597" s="431"/>
      <c r="P1597" s="431"/>
      <c r="Q1597" s="300"/>
      <c r="R1597" s="341"/>
    </row>
    <row r="1598" ht="15.75" customHeight="1">
      <c r="A1598" s="361"/>
      <c r="B1598" s="330"/>
      <c r="C1598" s="321"/>
      <c r="D1598" s="361"/>
      <c r="E1598" s="424"/>
      <c r="F1598" s="426"/>
      <c r="G1598" s="341"/>
      <c r="H1598" s="341"/>
      <c r="I1598" s="417"/>
      <c r="J1598" s="427"/>
      <c r="K1598" s="428"/>
      <c r="L1598" s="429"/>
      <c r="M1598" s="428"/>
      <c r="N1598" s="430"/>
      <c r="O1598" s="431"/>
      <c r="P1598" s="431"/>
      <c r="Q1598" s="300"/>
      <c r="R1598" s="341"/>
    </row>
    <row r="1599" ht="15.75" customHeight="1">
      <c r="A1599" s="361"/>
      <c r="B1599" s="330"/>
      <c r="C1599" s="321"/>
      <c r="D1599" s="361"/>
      <c r="E1599" s="424"/>
      <c r="F1599" s="426"/>
      <c r="G1599" s="341"/>
      <c r="H1599" s="341"/>
      <c r="I1599" s="417"/>
      <c r="J1599" s="427"/>
      <c r="K1599" s="428"/>
      <c r="L1599" s="429"/>
      <c r="M1599" s="428"/>
      <c r="N1599" s="430"/>
      <c r="O1599" s="431"/>
      <c r="P1599" s="431"/>
      <c r="Q1599" s="300"/>
      <c r="R1599" s="341"/>
    </row>
    <row r="1600" ht="15.75" customHeight="1">
      <c r="A1600" s="361"/>
      <c r="B1600" s="330"/>
      <c r="C1600" s="321"/>
      <c r="D1600" s="361"/>
      <c r="E1600" s="424"/>
      <c r="F1600" s="426"/>
      <c r="G1600" s="341"/>
      <c r="H1600" s="341"/>
      <c r="I1600" s="417"/>
      <c r="J1600" s="427"/>
      <c r="K1600" s="428"/>
      <c r="L1600" s="429"/>
      <c r="M1600" s="428"/>
      <c r="N1600" s="430"/>
      <c r="O1600" s="431"/>
      <c r="P1600" s="431"/>
      <c r="Q1600" s="300"/>
      <c r="R1600" s="341"/>
    </row>
    <row r="1601" ht="15.75" customHeight="1">
      <c r="A1601" s="361"/>
      <c r="B1601" s="330"/>
      <c r="C1601" s="321"/>
      <c r="D1601" s="361"/>
      <c r="E1601" s="424"/>
      <c r="F1601" s="426"/>
      <c r="G1601" s="341"/>
      <c r="H1601" s="341"/>
      <c r="I1601" s="417"/>
      <c r="J1601" s="427"/>
      <c r="K1601" s="428"/>
      <c r="L1601" s="429"/>
      <c r="M1601" s="428"/>
      <c r="N1601" s="430"/>
      <c r="O1601" s="431"/>
      <c r="P1601" s="431"/>
      <c r="Q1601" s="300"/>
      <c r="R1601" s="341"/>
    </row>
    <row r="1602" ht="15.75" customHeight="1">
      <c r="A1602" s="361"/>
      <c r="B1602" s="330"/>
      <c r="C1602" s="321"/>
      <c r="D1602" s="361"/>
      <c r="E1602" s="424"/>
      <c r="F1602" s="426"/>
      <c r="G1602" s="341"/>
      <c r="H1602" s="341"/>
      <c r="I1602" s="417"/>
      <c r="J1602" s="427"/>
      <c r="K1602" s="428"/>
      <c r="L1602" s="429"/>
      <c r="M1602" s="428"/>
      <c r="N1602" s="430"/>
      <c r="O1602" s="431"/>
      <c r="P1602" s="431"/>
      <c r="Q1602" s="300"/>
      <c r="R1602" s="341"/>
    </row>
    <row r="1603" ht="15.75" customHeight="1">
      <c r="A1603" s="361"/>
      <c r="B1603" s="330"/>
      <c r="C1603" s="321"/>
      <c r="D1603" s="361"/>
      <c r="E1603" s="424"/>
      <c r="F1603" s="426"/>
      <c r="G1603" s="341"/>
      <c r="H1603" s="341"/>
      <c r="I1603" s="417"/>
      <c r="J1603" s="427"/>
      <c r="K1603" s="428"/>
      <c r="L1603" s="429"/>
      <c r="M1603" s="428"/>
      <c r="N1603" s="430"/>
      <c r="O1603" s="431"/>
      <c r="P1603" s="431"/>
      <c r="Q1603" s="300"/>
      <c r="R1603" s="341"/>
    </row>
    <row r="1604" ht="15.75" customHeight="1">
      <c r="A1604" s="361"/>
      <c r="B1604" s="330"/>
      <c r="C1604" s="321"/>
      <c r="D1604" s="361"/>
      <c r="E1604" s="424"/>
      <c r="F1604" s="426"/>
      <c r="G1604" s="341"/>
      <c r="H1604" s="341"/>
      <c r="I1604" s="417"/>
      <c r="J1604" s="427"/>
      <c r="K1604" s="428"/>
      <c r="L1604" s="429"/>
      <c r="M1604" s="428"/>
      <c r="N1604" s="430"/>
      <c r="O1604" s="431"/>
      <c r="P1604" s="431"/>
      <c r="Q1604" s="300"/>
      <c r="R1604" s="341"/>
    </row>
    <row r="1605" ht="15.75" customHeight="1">
      <c r="A1605" s="361"/>
      <c r="B1605" s="330"/>
      <c r="C1605" s="321"/>
      <c r="D1605" s="361"/>
      <c r="E1605" s="424"/>
      <c r="F1605" s="426"/>
      <c r="G1605" s="341"/>
      <c r="H1605" s="341"/>
      <c r="I1605" s="417"/>
      <c r="J1605" s="427"/>
      <c r="K1605" s="428"/>
      <c r="L1605" s="429"/>
      <c r="M1605" s="428"/>
      <c r="N1605" s="430"/>
      <c r="O1605" s="431"/>
      <c r="P1605" s="431"/>
      <c r="Q1605" s="300"/>
      <c r="R1605" s="341"/>
    </row>
    <row r="1606" ht="15.75" customHeight="1">
      <c r="A1606" s="361"/>
      <c r="B1606" s="330"/>
      <c r="C1606" s="321"/>
      <c r="D1606" s="361"/>
      <c r="E1606" s="424"/>
      <c r="F1606" s="426"/>
      <c r="G1606" s="341"/>
      <c r="H1606" s="341"/>
      <c r="I1606" s="417"/>
      <c r="J1606" s="427"/>
      <c r="K1606" s="428"/>
      <c r="L1606" s="429"/>
      <c r="M1606" s="428"/>
      <c r="N1606" s="430"/>
      <c r="O1606" s="431"/>
      <c r="P1606" s="431"/>
      <c r="Q1606" s="300"/>
      <c r="R1606" s="341"/>
    </row>
    <row r="1607" ht="15.75" customHeight="1">
      <c r="A1607" s="361"/>
      <c r="B1607" s="330"/>
      <c r="C1607" s="321"/>
      <c r="D1607" s="361"/>
      <c r="E1607" s="424"/>
      <c r="F1607" s="426"/>
      <c r="G1607" s="341"/>
      <c r="H1607" s="341"/>
      <c r="I1607" s="417"/>
      <c r="J1607" s="427"/>
      <c r="K1607" s="428"/>
      <c r="L1607" s="429"/>
      <c r="M1607" s="428"/>
      <c r="N1607" s="430"/>
      <c r="O1607" s="431"/>
      <c r="P1607" s="431"/>
      <c r="Q1607" s="300"/>
      <c r="R1607" s="341"/>
    </row>
    <row r="1608" ht="15.75" customHeight="1">
      <c r="A1608" s="361"/>
      <c r="B1608" s="330"/>
      <c r="C1608" s="321"/>
      <c r="D1608" s="361"/>
      <c r="E1608" s="424"/>
      <c r="F1608" s="426"/>
      <c r="G1608" s="341"/>
      <c r="H1608" s="341"/>
      <c r="I1608" s="417"/>
      <c r="J1608" s="427"/>
      <c r="K1608" s="428"/>
      <c r="L1608" s="429"/>
      <c r="M1608" s="428"/>
      <c r="N1608" s="430"/>
      <c r="O1608" s="431"/>
      <c r="P1608" s="431"/>
      <c r="Q1608" s="300"/>
      <c r="R1608" s="341"/>
    </row>
    <row r="1609" ht="15.75" customHeight="1">
      <c r="A1609" s="361"/>
      <c r="B1609" s="330"/>
      <c r="C1609" s="321"/>
      <c r="D1609" s="361"/>
      <c r="E1609" s="424"/>
      <c r="F1609" s="426"/>
      <c r="G1609" s="341"/>
      <c r="H1609" s="341"/>
      <c r="I1609" s="417"/>
      <c r="J1609" s="427"/>
      <c r="K1609" s="428"/>
      <c r="L1609" s="429"/>
      <c r="M1609" s="428"/>
      <c r="N1609" s="430"/>
      <c r="O1609" s="431"/>
      <c r="P1609" s="431"/>
      <c r="Q1609" s="300"/>
      <c r="R1609" s="341"/>
    </row>
    <row r="1610" ht="15.75" customHeight="1">
      <c r="A1610" s="361"/>
      <c r="B1610" s="330"/>
      <c r="C1610" s="321"/>
      <c r="D1610" s="361"/>
      <c r="E1610" s="424"/>
      <c r="F1610" s="426"/>
      <c r="G1610" s="341"/>
      <c r="H1610" s="341"/>
      <c r="I1610" s="417"/>
      <c r="J1610" s="427"/>
      <c r="K1610" s="428"/>
      <c r="L1610" s="429"/>
      <c r="M1610" s="428"/>
      <c r="N1610" s="430"/>
      <c r="O1610" s="431"/>
      <c r="P1610" s="431"/>
      <c r="Q1610" s="300"/>
      <c r="R1610" s="341"/>
    </row>
    <row r="1611" ht="15.75" customHeight="1">
      <c r="A1611" s="361"/>
      <c r="B1611" s="330"/>
      <c r="C1611" s="321"/>
      <c r="D1611" s="361"/>
      <c r="E1611" s="424"/>
      <c r="F1611" s="426"/>
      <c r="G1611" s="341"/>
      <c r="H1611" s="341"/>
      <c r="I1611" s="417"/>
      <c r="J1611" s="427"/>
      <c r="K1611" s="428"/>
      <c r="L1611" s="429"/>
      <c r="M1611" s="428"/>
      <c r="N1611" s="430"/>
      <c r="O1611" s="431"/>
      <c r="P1611" s="431"/>
      <c r="Q1611" s="300"/>
      <c r="R1611" s="341"/>
    </row>
    <row r="1612" ht="15.75" customHeight="1">
      <c r="A1612" s="361"/>
      <c r="B1612" s="330"/>
      <c r="C1612" s="321"/>
      <c r="D1612" s="361"/>
      <c r="E1612" s="424"/>
      <c r="F1612" s="426"/>
      <c r="G1612" s="341"/>
      <c r="H1612" s="341"/>
      <c r="I1612" s="417"/>
      <c r="J1612" s="427"/>
      <c r="K1612" s="428"/>
      <c r="L1612" s="429"/>
      <c r="M1612" s="428"/>
      <c r="N1612" s="430"/>
      <c r="O1612" s="431"/>
      <c r="P1612" s="431"/>
      <c r="Q1612" s="300"/>
      <c r="R1612" s="341"/>
    </row>
    <row r="1613" ht="15.75" customHeight="1">
      <c r="A1613" s="361"/>
      <c r="B1613" s="330"/>
      <c r="C1613" s="321"/>
      <c r="D1613" s="361"/>
      <c r="E1613" s="424"/>
      <c r="F1613" s="426"/>
      <c r="G1613" s="341"/>
      <c r="H1613" s="341"/>
      <c r="I1613" s="417"/>
      <c r="J1613" s="427"/>
      <c r="K1613" s="428"/>
      <c r="L1613" s="429"/>
      <c r="M1613" s="428"/>
      <c r="N1613" s="430"/>
      <c r="O1613" s="431"/>
      <c r="P1613" s="431"/>
      <c r="Q1613" s="300"/>
      <c r="R1613" s="341"/>
    </row>
    <row r="1614" ht="15.75" customHeight="1">
      <c r="A1614" s="361"/>
      <c r="B1614" s="330"/>
      <c r="C1614" s="321"/>
      <c r="D1614" s="361"/>
      <c r="E1614" s="424"/>
      <c r="F1614" s="426"/>
      <c r="G1614" s="341"/>
      <c r="H1614" s="341"/>
      <c r="I1614" s="417"/>
      <c r="J1614" s="427"/>
      <c r="K1614" s="428"/>
      <c r="L1614" s="429"/>
      <c r="M1614" s="428"/>
      <c r="N1614" s="430"/>
      <c r="O1614" s="431"/>
      <c r="P1614" s="431"/>
      <c r="Q1614" s="300"/>
      <c r="R1614" s="341"/>
    </row>
    <row r="1615" ht="15.75" customHeight="1">
      <c r="A1615" s="361"/>
      <c r="B1615" s="330"/>
      <c r="C1615" s="321"/>
      <c r="D1615" s="361"/>
      <c r="E1615" s="424"/>
      <c r="F1615" s="426"/>
      <c r="G1615" s="341"/>
      <c r="H1615" s="341"/>
      <c r="I1615" s="417"/>
      <c r="J1615" s="427"/>
      <c r="K1615" s="428"/>
      <c r="L1615" s="429"/>
      <c r="M1615" s="428"/>
      <c r="N1615" s="430"/>
      <c r="O1615" s="431"/>
      <c r="P1615" s="431"/>
      <c r="Q1615" s="300"/>
      <c r="R1615" s="341"/>
    </row>
    <row r="1616" ht="15.75" customHeight="1">
      <c r="A1616" s="361"/>
      <c r="B1616" s="330"/>
      <c r="C1616" s="321"/>
      <c r="D1616" s="361"/>
      <c r="E1616" s="424"/>
      <c r="F1616" s="426"/>
      <c r="G1616" s="341"/>
      <c r="H1616" s="341"/>
      <c r="I1616" s="417"/>
      <c r="J1616" s="427"/>
      <c r="K1616" s="428"/>
      <c r="L1616" s="429"/>
      <c r="M1616" s="428"/>
      <c r="N1616" s="430"/>
      <c r="O1616" s="431"/>
      <c r="P1616" s="431"/>
      <c r="Q1616" s="300"/>
      <c r="R1616" s="341"/>
    </row>
    <row r="1617" ht="15.75" customHeight="1">
      <c r="A1617" s="361"/>
      <c r="B1617" s="330"/>
      <c r="C1617" s="321"/>
      <c r="D1617" s="361"/>
      <c r="E1617" s="424"/>
      <c r="F1617" s="426"/>
      <c r="G1617" s="341"/>
      <c r="H1617" s="341"/>
      <c r="I1617" s="417"/>
      <c r="J1617" s="427"/>
      <c r="K1617" s="428"/>
      <c r="L1617" s="429"/>
      <c r="M1617" s="428"/>
      <c r="N1617" s="430"/>
      <c r="O1617" s="431"/>
      <c r="P1617" s="431"/>
      <c r="Q1617" s="300"/>
      <c r="R1617" s="341"/>
    </row>
    <row r="1618" ht="15.75" customHeight="1">
      <c r="A1618" s="361"/>
      <c r="B1618" s="330"/>
      <c r="C1618" s="321"/>
      <c r="D1618" s="361"/>
      <c r="E1618" s="424"/>
      <c r="F1618" s="426"/>
      <c r="G1618" s="341"/>
      <c r="H1618" s="341"/>
      <c r="I1618" s="417"/>
      <c r="J1618" s="427"/>
      <c r="K1618" s="428"/>
      <c r="L1618" s="429"/>
      <c r="M1618" s="428"/>
      <c r="N1618" s="430"/>
      <c r="O1618" s="431"/>
      <c r="P1618" s="431"/>
      <c r="Q1618" s="300"/>
      <c r="R1618" s="341"/>
    </row>
    <row r="1619" ht="15.75" customHeight="1">
      <c r="A1619" s="361"/>
      <c r="B1619" s="330"/>
      <c r="C1619" s="321"/>
      <c r="D1619" s="361"/>
      <c r="E1619" s="424"/>
      <c r="F1619" s="426"/>
      <c r="G1619" s="341"/>
      <c r="H1619" s="341"/>
      <c r="I1619" s="417"/>
      <c r="J1619" s="427"/>
      <c r="K1619" s="428"/>
      <c r="L1619" s="429"/>
      <c r="M1619" s="428"/>
      <c r="N1619" s="430"/>
      <c r="O1619" s="431"/>
      <c r="P1619" s="431"/>
      <c r="Q1619" s="300"/>
      <c r="R1619" s="341"/>
    </row>
    <row r="1620" ht="15.75" customHeight="1">
      <c r="A1620" s="361"/>
      <c r="B1620" s="330"/>
      <c r="C1620" s="321"/>
      <c r="D1620" s="361"/>
      <c r="E1620" s="424"/>
      <c r="F1620" s="426"/>
      <c r="G1620" s="341"/>
      <c r="H1620" s="341"/>
      <c r="I1620" s="417"/>
      <c r="J1620" s="427"/>
      <c r="K1620" s="428"/>
      <c r="L1620" s="429"/>
      <c r="M1620" s="428"/>
      <c r="N1620" s="430"/>
      <c r="O1620" s="431"/>
      <c r="P1620" s="431"/>
      <c r="Q1620" s="300"/>
      <c r="R1620" s="341"/>
    </row>
    <row r="1621" ht="15.75" customHeight="1">
      <c r="A1621" s="361"/>
      <c r="B1621" s="330"/>
      <c r="C1621" s="321"/>
      <c r="D1621" s="361"/>
      <c r="E1621" s="424"/>
      <c r="F1621" s="426"/>
      <c r="G1621" s="341"/>
      <c r="H1621" s="341"/>
      <c r="I1621" s="417"/>
      <c r="J1621" s="427"/>
      <c r="K1621" s="428"/>
      <c r="L1621" s="429"/>
      <c r="M1621" s="428"/>
      <c r="N1621" s="430"/>
      <c r="O1621" s="431"/>
      <c r="P1621" s="431"/>
      <c r="Q1621" s="300"/>
      <c r="R1621" s="341"/>
    </row>
    <row r="1622" ht="15.75" customHeight="1">
      <c r="A1622" s="361"/>
      <c r="B1622" s="330"/>
      <c r="C1622" s="321"/>
      <c r="D1622" s="361"/>
      <c r="E1622" s="424"/>
      <c r="F1622" s="426"/>
      <c r="G1622" s="341"/>
      <c r="H1622" s="341"/>
      <c r="I1622" s="417"/>
      <c r="J1622" s="427"/>
      <c r="K1622" s="428"/>
      <c r="L1622" s="429"/>
      <c r="M1622" s="428"/>
      <c r="N1622" s="430"/>
      <c r="O1622" s="431"/>
      <c r="P1622" s="431"/>
      <c r="Q1622" s="300"/>
      <c r="R1622" s="341"/>
    </row>
    <row r="1623" ht="15.75" customHeight="1">
      <c r="A1623" s="361"/>
      <c r="B1623" s="330"/>
      <c r="C1623" s="321"/>
      <c r="D1623" s="361"/>
      <c r="E1623" s="424"/>
      <c r="F1623" s="426"/>
      <c r="G1623" s="341"/>
      <c r="H1623" s="341"/>
      <c r="I1623" s="417"/>
      <c r="J1623" s="427"/>
      <c r="K1623" s="428"/>
      <c r="L1623" s="429"/>
      <c r="M1623" s="428"/>
      <c r="N1623" s="430"/>
      <c r="O1623" s="431"/>
      <c r="P1623" s="431"/>
      <c r="Q1623" s="300"/>
      <c r="R1623" s="341"/>
    </row>
    <row r="1624" ht="15.75" customHeight="1">
      <c r="A1624" s="361"/>
      <c r="B1624" s="330"/>
      <c r="C1624" s="321"/>
      <c r="D1624" s="361"/>
      <c r="E1624" s="424"/>
      <c r="F1624" s="426"/>
      <c r="G1624" s="341"/>
      <c r="H1624" s="341"/>
      <c r="I1624" s="417"/>
      <c r="J1624" s="427"/>
      <c r="K1624" s="428"/>
      <c r="L1624" s="429"/>
      <c r="M1624" s="428"/>
      <c r="N1624" s="430"/>
      <c r="O1624" s="431"/>
      <c r="P1624" s="431"/>
      <c r="Q1624" s="300"/>
      <c r="R1624" s="341"/>
    </row>
    <row r="1625" ht="15.75" customHeight="1">
      <c r="A1625" s="361"/>
      <c r="B1625" s="330"/>
      <c r="C1625" s="321"/>
      <c r="D1625" s="361"/>
      <c r="E1625" s="424"/>
      <c r="F1625" s="426"/>
      <c r="G1625" s="341"/>
      <c r="H1625" s="341"/>
      <c r="I1625" s="417"/>
      <c r="J1625" s="427"/>
      <c r="K1625" s="428"/>
      <c r="L1625" s="429"/>
      <c r="M1625" s="428"/>
      <c r="N1625" s="430"/>
      <c r="O1625" s="431"/>
      <c r="P1625" s="431"/>
      <c r="Q1625" s="300"/>
      <c r="R1625" s="341"/>
    </row>
    <row r="1626" ht="15.75" customHeight="1">
      <c r="A1626" s="361"/>
      <c r="B1626" s="330"/>
      <c r="C1626" s="321"/>
      <c r="D1626" s="361"/>
      <c r="E1626" s="424"/>
      <c r="F1626" s="426"/>
      <c r="G1626" s="341"/>
      <c r="H1626" s="341"/>
      <c r="I1626" s="417"/>
      <c r="J1626" s="427"/>
      <c r="K1626" s="428"/>
      <c r="L1626" s="429"/>
      <c r="M1626" s="428"/>
      <c r="N1626" s="430"/>
      <c r="O1626" s="431"/>
      <c r="P1626" s="431"/>
      <c r="Q1626" s="300"/>
      <c r="R1626" s="341"/>
    </row>
    <row r="1627" ht="15.75" customHeight="1">
      <c r="A1627" s="361"/>
      <c r="B1627" s="330"/>
      <c r="C1627" s="321"/>
      <c r="D1627" s="361"/>
      <c r="E1627" s="424"/>
      <c r="F1627" s="426"/>
      <c r="G1627" s="341"/>
      <c r="H1627" s="341"/>
      <c r="I1627" s="417"/>
      <c r="J1627" s="427"/>
      <c r="K1627" s="428"/>
      <c r="L1627" s="429"/>
      <c r="M1627" s="428"/>
      <c r="N1627" s="430"/>
      <c r="O1627" s="431"/>
      <c r="P1627" s="431"/>
      <c r="Q1627" s="300"/>
      <c r="R1627" s="341"/>
    </row>
    <row r="1628" ht="15.75" customHeight="1">
      <c r="A1628" s="361"/>
      <c r="B1628" s="330"/>
      <c r="C1628" s="321"/>
      <c r="D1628" s="361"/>
      <c r="E1628" s="424"/>
      <c r="F1628" s="426"/>
      <c r="G1628" s="341"/>
      <c r="H1628" s="341"/>
      <c r="I1628" s="417"/>
      <c r="J1628" s="427"/>
      <c r="K1628" s="428"/>
      <c r="L1628" s="429"/>
      <c r="M1628" s="428"/>
      <c r="N1628" s="430"/>
      <c r="O1628" s="431"/>
      <c r="P1628" s="431"/>
      <c r="Q1628" s="300"/>
      <c r="R1628" s="341"/>
    </row>
    <row r="1629" ht="15.75" customHeight="1">
      <c r="A1629" s="361"/>
      <c r="B1629" s="330"/>
      <c r="C1629" s="321"/>
      <c r="D1629" s="361"/>
      <c r="E1629" s="424"/>
      <c r="F1629" s="426"/>
      <c r="G1629" s="341"/>
      <c r="H1629" s="341"/>
      <c r="I1629" s="417"/>
      <c r="J1629" s="427"/>
      <c r="K1629" s="428"/>
      <c r="L1629" s="429"/>
      <c r="M1629" s="428"/>
      <c r="N1629" s="430"/>
      <c r="O1629" s="431"/>
      <c r="P1629" s="431"/>
      <c r="Q1629" s="300"/>
      <c r="R1629" s="341"/>
    </row>
    <row r="1630" ht="15.75" customHeight="1">
      <c r="A1630" s="361"/>
      <c r="B1630" s="330"/>
      <c r="C1630" s="321"/>
      <c r="D1630" s="361"/>
      <c r="E1630" s="424"/>
      <c r="F1630" s="426"/>
      <c r="G1630" s="341"/>
      <c r="H1630" s="341"/>
      <c r="I1630" s="417"/>
      <c r="J1630" s="427"/>
      <c r="K1630" s="428"/>
      <c r="L1630" s="429"/>
      <c r="M1630" s="428"/>
      <c r="N1630" s="430"/>
      <c r="O1630" s="431"/>
      <c r="P1630" s="431"/>
      <c r="Q1630" s="300"/>
      <c r="R1630" s="341"/>
    </row>
    <row r="1631" ht="15.75" customHeight="1">
      <c r="A1631" s="361"/>
      <c r="B1631" s="330"/>
      <c r="C1631" s="321"/>
      <c r="D1631" s="361"/>
      <c r="E1631" s="424"/>
      <c r="F1631" s="426"/>
      <c r="G1631" s="341"/>
      <c r="H1631" s="341"/>
      <c r="I1631" s="417"/>
      <c r="J1631" s="427"/>
      <c r="K1631" s="428"/>
      <c r="L1631" s="429"/>
      <c r="M1631" s="428"/>
      <c r="N1631" s="430"/>
      <c r="O1631" s="431"/>
      <c r="P1631" s="431"/>
      <c r="Q1631" s="300"/>
      <c r="R1631" s="341"/>
    </row>
    <row r="1632" ht="15.75" customHeight="1">
      <c r="A1632" s="361"/>
      <c r="B1632" s="330"/>
      <c r="C1632" s="321"/>
      <c r="D1632" s="361"/>
      <c r="E1632" s="424"/>
      <c r="F1632" s="426"/>
      <c r="G1632" s="341"/>
      <c r="H1632" s="341"/>
      <c r="I1632" s="417"/>
      <c r="J1632" s="427"/>
      <c r="K1632" s="428"/>
      <c r="L1632" s="429"/>
      <c r="M1632" s="428"/>
      <c r="N1632" s="430"/>
      <c r="O1632" s="431"/>
      <c r="P1632" s="431"/>
      <c r="Q1632" s="300"/>
      <c r="R1632" s="341"/>
    </row>
    <row r="1633" ht="15.75" customHeight="1">
      <c r="A1633" s="361"/>
      <c r="B1633" s="330"/>
      <c r="C1633" s="321"/>
      <c r="D1633" s="361"/>
      <c r="E1633" s="424"/>
      <c r="F1633" s="426"/>
      <c r="G1633" s="341"/>
      <c r="H1633" s="341"/>
      <c r="I1633" s="417"/>
      <c r="J1633" s="427"/>
      <c r="K1633" s="428"/>
      <c r="L1633" s="429"/>
      <c r="M1633" s="428"/>
      <c r="N1633" s="430"/>
      <c r="O1633" s="431"/>
      <c r="P1633" s="431"/>
      <c r="Q1633" s="300"/>
      <c r="R1633" s="341"/>
    </row>
    <row r="1634" ht="15.75" customHeight="1">
      <c r="A1634" s="361"/>
      <c r="B1634" s="330"/>
      <c r="C1634" s="321"/>
      <c r="D1634" s="361"/>
      <c r="E1634" s="424"/>
      <c r="F1634" s="426"/>
      <c r="G1634" s="341"/>
      <c r="H1634" s="341"/>
      <c r="I1634" s="417"/>
      <c r="J1634" s="427"/>
      <c r="K1634" s="428"/>
      <c r="L1634" s="429"/>
      <c r="M1634" s="428"/>
      <c r="N1634" s="430"/>
      <c r="O1634" s="431"/>
      <c r="P1634" s="431"/>
      <c r="Q1634" s="300"/>
      <c r="R1634" s="341"/>
    </row>
    <row r="1635" ht="15.75" customHeight="1">
      <c r="A1635" s="361"/>
      <c r="B1635" s="330"/>
      <c r="C1635" s="321"/>
      <c r="D1635" s="361"/>
      <c r="E1635" s="424"/>
      <c r="F1635" s="426"/>
      <c r="G1635" s="341"/>
      <c r="H1635" s="341"/>
      <c r="I1635" s="417"/>
      <c r="J1635" s="427"/>
      <c r="K1635" s="428"/>
      <c r="L1635" s="429"/>
      <c r="M1635" s="428"/>
      <c r="N1635" s="430"/>
      <c r="O1635" s="431"/>
      <c r="P1635" s="431"/>
      <c r="Q1635" s="300"/>
      <c r="R1635" s="341"/>
    </row>
    <row r="1636" ht="15.75" customHeight="1">
      <c r="A1636" s="361"/>
      <c r="B1636" s="330"/>
      <c r="C1636" s="321"/>
      <c r="D1636" s="361"/>
      <c r="E1636" s="424"/>
      <c r="F1636" s="426"/>
      <c r="G1636" s="341"/>
      <c r="H1636" s="341"/>
      <c r="I1636" s="417"/>
      <c r="J1636" s="427"/>
      <c r="K1636" s="428"/>
      <c r="L1636" s="429"/>
      <c r="M1636" s="428"/>
      <c r="N1636" s="430"/>
      <c r="O1636" s="431"/>
      <c r="P1636" s="431"/>
      <c r="Q1636" s="300"/>
      <c r="R1636" s="341"/>
    </row>
    <row r="1637" ht="15.75" customHeight="1">
      <c r="A1637" s="361"/>
      <c r="B1637" s="330"/>
      <c r="C1637" s="321"/>
      <c r="D1637" s="361"/>
      <c r="E1637" s="424"/>
      <c r="F1637" s="426"/>
      <c r="G1637" s="341"/>
      <c r="H1637" s="341"/>
      <c r="I1637" s="417"/>
      <c r="J1637" s="427"/>
      <c r="K1637" s="428"/>
      <c r="L1637" s="429"/>
      <c r="M1637" s="428"/>
      <c r="N1637" s="430"/>
      <c r="O1637" s="431"/>
      <c r="P1637" s="431"/>
      <c r="Q1637" s="300"/>
      <c r="R1637" s="341"/>
    </row>
    <row r="1638" ht="15.75" customHeight="1">
      <c r="A1638" s="361"/>
      <c r="B1638" s="330"/>
      <c r="C1638" s="321"/>
      <c r="D1638" s="361"/>
      <c r="E1638" s="424"/>
      <c r="F1638" s="426"/>
      <c r="G1638" s="341"/>
      <c r="H1638" s="341"/>
      <c r="I1638" s="417"/>
      <c r="J1638" s="427"/>
      <c r="K1638" s="428"/>
      <c r="L1638" s="429"/>
      <c r="M1638" s="428"/>
      <c r="N1638" s="430"/>
      <c r="O1638" s="431"/>
      <c r="P1638" s="431"/>
      <c r="Q1638" s="300"/>
      <c r="R1638" s="341"/>
    </row>
    <row r="1639" ht="15.75" customHeight="1">
      <c r="A1639" s="361"/>
      <c r="B1639" s="330"/>
      <c r="C1639" s="321"/>
      <c r="D1639" s="361"/>
      <c r="E1639" s="424"/>
      <c r="F1639" s="426"/>
      <c r="G1639" s="341"/>
      <c r="H1639" s="341"/>
      <c r="I1639" s="417"/>
      <c r="J1639" s="427"/>
      <c r="K1639" s="428"/>
      <c r="L1639" s="429"/>
      <c r="M1639" s="428"/>
      <c r="N1639" s="430"/>
      <c r="O1639" s="431"/>
      <c r="P1639" s="431"/>
      <c r="Q1639" s="300"/>
      <c r="R1639" s="341"/>
    </row>
    <row r="1640" ht="15.75" customHeight="1">
      <c r="A1640" s="361"/>
      <c r="B1640" s="330"/>
      <c r="C1640" s="321"/>
      <c r="D1640" s="361"/>
      <c r="E1640" s="424"/>
      <c r="F1640" s="426"/>
      <c r="G1640" s="341"/>
      <c r="H1640" s="341"/>
      <c r="I1640" s="417"/>
      <c r="J1640" s="427"/>
      <c r="K1640" s="428"/>
      <c r="L1640" s="429"/>
      <c r="M1640" s="428"/>
      <c r="N1640" s="430"/>
      <c r="O1640" s="431"/>
      <c r="P1640" s="431"/>
      <c r="Q1640" s="300"/>
      <c r="R1640" s="341"/>
    </row>
    <row r="1641" ht="15.75" customHeight="1">
      <c r="A1641" s="361"/>
      <c r="B1641" s="330"/>
      <c r="C1641" s="321"/>
      <c r="D1641" s="361"/>
      <c r="E1641" s="424"/>
      <c r="F1641" s="426"/>
      <c r="G1641" s="341"/>
      <c r="H1641" s="341"/>
      <c r="I1641" s="417"/>
      <c r="J1641" s="427"/>
      <c r="K1641" s="428"/>
      <c r="L1641" s="429"/>
      <c r="M1641" s="428"/>
      <c r="N1641" s="430"/>
      <c r="O1641" s="431"/>
      <c r="P1641" s="431"/>
      <c r="Q1641" s="300"/>
      <c r="R1641" s="341"/>
    </row>
    <row r="1642" ht="15.75" customHeight="1">
      <c r="A1642" s="361"/>
      <c r="B1642" s="330"/>
      <c r="C1642" s="321"/>
      <c r="D1642" s="361"/>
      <c r="E1642" s="424"/>
      <c r="F1642" s="426"/>
      <c r="G1642" s="341"/>
      <c r="H1642" s="341"/>
      <c r="I1642" s="417"/>
      <c r="J1642" s="427"/>
      <c r="K1642" s="428"/>
      <c r="L1642" s="429"/>
      <c r="M1642" s="428"/>
      <c r="N1642" s="430"/>
      <c r="O1642" s="431"/>
      <c r="P1642" s="431"/>
      <c r="Q1642" s="300"/>
      <c r="R1642" s="341"/>
    </row>
    <row r="1643" ht="15.75" customHeight="1">
      <c r="A1643" s="361"/>
      <c r="B1643" s="330"/>
      <c r="C1643" s="321"/>
      <c r="D1643" s="361"/>
      <c r="E1643" s="424"/>
      <c r="F1643" s="426"/>
      <c r="G1643" s="341"/>
      <c r="H1643" s="341"/>
      <c r="I1643" s="417"/>
      <c r="J1643" s="427"/>
      <c r="K1643" s="428"/>
      <c r="L1643" s="429"/>
      <c r="M1643" s="428"/>
      <c r="N1643" s="430"/>
      <c r="O1643" s="431"/>
      <c r="P1643" s="431"/>
      <c r="Q1643" s="300"/>
      <c r="R1643" s="341"/>
    </row>
    <row r="1644" ht="15.75" customHeight="1">
      <c r="A1644" s="361"/>
      <c r="B1644" s="330"/>
      <c r="C1644" s="321"/>
      <c r="D1644" s="361"/>
      <c r="E1644" s="424"/>
      <c r="F1644" s="426"/>
      <c r="G1644" s="341"/>
      <c r="H1644" s="341"/>
      <c r="I1644" s="417"/>
      <c r="J1644" s="427"/>
      <c r="K1644" s="428"/>
      <c r="L1644" s="429"/>
      <c r="M1644" s="428"/>
      <c r="N1644" s="430"/>
      <c r="O1644" s="431"/>
      <c r="P1644" s="431"/>
      <c r="Q1644" s="300"/>
      <c r="R1644" s="341"/>
    </row>
    <row r="1645" ht="15.75" customHeight="1">
      <c r="A1645" s="361"/>
      <c r="B1645" s="330"/>
      <c r="C1645" s="321"/>
      <c r="D1645" s="361"/>
      <c r="E1645" s="424"/>
      <c r="F1645" s="426"/>
      <c r="G1645" s="341"/>
      <c r="H1645" s="341"/>
      <c r="I1645" s="417"/>
      <c r="J1645" s="427"/>
      <c r="K1645" s="428"/>
      <c r="L1645" s="429"/>
      <c r="M1645" s="428"/>
      <c r="N1645" s="430"/>
      <c r="O1645" s="431"/>
      <c r="P1645" s="431"/>
      <c r="Q1645" s="300"/>
      <c r="R1645" s="341"/>
    </row>
    <row r="1646" ht="15.75" customHeight="1">
      <c r="A1646" s="361"/>
      <c r="B1646" s="330"/>
      <c r="C1646" s="321"/>
      <c r="D1646" s="361"/>
      <c r="E1646" s="424"/>
      <c r="F1646" s="426"/>
      <c r="G1646" s="341"/>
      <c r="H1646" s="341"/>
      <c r="I1646" s="417"/>
      <c r="J1646" s="427"/>
      <c r="K1646" s="428"/>
      <c r="L1646" s="429"/>
      <c r="M1646" s="428"/>
      <c r="N1646" s="430"/>
      <c r="O1646" s="431"/>
      <c r="P1646" s="431"/>
      <c r="Q1646" s="300"/>
      <c r="R1646" s="341"/>
    </row>
  </sheetData>
  <autoFilter ref="$A$1:$P$1"/>
  <customSheetViews>
    <customSheetView guid="{762F393F-F76E-4137-AA51-845FC01BD281}" filter="1" showAutoFilter="1">
      <autoFilter ref="$E$1:$E$1646">
        <filterColumn colId="0">
          <filters>
            <filter val="Самара"/>
            <filter val="Ижевск"/>
            <filter val="Сургут/Нижневартовск"/>
            <filter val="Тюмень"/>
          </filters>
        </filterColumn>
      </autoFilter>
      <extLst>
        <ext uri="GoogleSheetsCustomDataVersion1">
          <go:sheetsCustomData xmlns:go="http://customooxmlschemas.google.com/" filterViewId="931019192"/>
        </ext>
      </extLst>
    </customSheetView>
  </customSheetViews>
  <mergeCells count="612">
    <mergeCell ref="C13:C15"/>
    <mergeCell ref="D13:D14"/>
    <mergeCell ref="C8:C11"/>
    <mergeCell ref="C17:C20"/>
    <mergeCell ref="A3:A7"/>
    <mergeCell ref="A8:A12"/>
    <mergeCell ref="B8:B11"/>
    <mergeCell ref="D8:D11"/>
    <mergeCell ref="A13:A16"/>
    <mergeCell ref="B13:B14"/>
    <mergeCell ref="A17:A21"/>
    <mergeCell ref="C43:C46"/>
    <mergeCell ref="C48:C51"/>
    <mergeCell ref="D48:D51"/>
    <mergeCell ref="C53:C56"/>
    <mergeCell ref="D53:D56"/>
    <mergeCell ref="C58:C61"/>
    <mergeCell ref="C63:C66"/>
    <mergeCell ref="D63:D66"/>
    <mergeCell ref="A23:A27"/>
    <mergeCell ref="C23:C26"/>
    <mergeCell ref="A28:A32"/>
    <mergeCell ref="C28:C31"/>
    <mergeCell ref="A33:A37"/>
    <mergeCell ref="C33:C36"/>
    <mergeCell ref="C38:C41"/>
    <mergeCell ref="A38:A42"/>
    <mergeCell ref="A43:A47"/>
    <mergeCell ref="A48:A52"/>
    <mergeCell ref="A53:A57"/>
    <mergeCell ref="A58:A62"/>
    <mergeCell ref="A63:A67"/>
    <mergeCell ref="B63:B66"/>
    <mergeCell ref="C123:C126"/>
    <mergeCell ref="C128:C131"/>
    <mergeCell ref="A103:A107"/>
    <mergeCell ref="C103:C106"/>
    <mergeCell ref="A108:A112"/>
    <mergeCell ref="C108:C111"/>
    <mergeCell ref="A113:A117"/>
    <mergeCell ref="C113:C116"/>
    <mergeCell ref="C118:C121"/>
    <mergeCell ref="C138:C141"/>
    <mergeCell ref="C143:C146"/>
    <mergeCell ref="A118:A122"/>
    <mergeCell ref="A123:A127"/>
    <mergeCell ref="A128:A132"/>
    <mergeCell ref="A133:A137"/>
    <mergeCell ref="C133:C136"/>
    <mergeCell ref="A138:A142"/>
    <mergeCell ref="A143:A147"/>
    <mergeCell ref="A148:A152"/>
    <mergeCell ref="C148:C151"/>
    <mergeCell ref="A153:A157"/>
    <mergeCell ref="C153:C156"/>
    <mergeCell ref="B158:B161"/>
    <mergeCell ref="C158:C161"/>
    <mergeCell ref="D158:D161"/>
    <mergeCell ref="C168:C171"/>
    <mergeCell ref="C173:C176"/>
    <mergeCell ref="A158:A162"/>
    <mergeCell ref="A163:A167"/>
    <mergeCell ref="B163:B166"/>
    <mergeCell ref="C163:C166"/>
    <mergeCell ref="D163:D166"/>
    <mergeCell ref="A168:A172"/>
    <mergeCell ref="A173:A177"/>
    <mergeCell ref="C273:C276"/>
    <mergeCell ref="D273:D276"/>
    <mergeCell ref="A68:A72"/>
    <mergeCell ref="B68:B71"/>
    <mergeCell ref="C68:C71"/>
    <mergeCell ref="D68:D71"/>
    <mergeCell ref="A73:A77"/>
    <mergeCell ref="B73:B76"/>
    <mergeCell ref="C73:C76"/>
    <mergeCell ref="D73:D76"/>
    <mergeCell ref="B78:B81"/>
    <mergeCell ref="C78:C81"/>
    <mergeCell ref="D78:D81"/>
    <mergeCell ref="C93:C96"/>
    <mergeCell ref="C98:C101"/>
    <mergeCell ref="A78:A82"/>
    <mergeCell ref="A83:A87"/>
    <mergeCell ref="C83:C86"/>
    <mergeCell ref="A88:A92"/>
    <mergeCell ref="C88:C91"/>
    <mergeCell ref="A93:A97"/>
    <mergeCell ref="A98:A102"/>
    <mergeCell ref="A178:A182"/>
    <mergeCell ref="C178:C181"/>
    <mergeCell ref="A183:A187"/>
    <mergeCell ref="C183:C186"/>
    <mergeCell ref="A188:A192"/>
    <mergeCell ref="B188:B191"/>
    <mergeCell ref="C188:C191"/>
    <mergeCell ref="A193:A197"/>
    <mergeCell ref="B193:B196"/>
    <mergeCell ref="C193:C196"/>
    <mergeCell ref="A198:A202"/>
    <mergeCell ref="B198:B201"/>
    <mergeCell ref="C198:C201"/>
    <mergeCell ref="C203:C206"/>
    <mergeCell ref="C218:C221"/>
    <mergeCell ref="C223:C226"/>
    <mergeCell ref="A203:A207"/>
    <mergeCell ref="A208:A212"/>
    <mergeCell ref="C208:C211"/>
    <mergeCell ref="A213:A217"/>
    <mergeCell ref="C213:C216"/>
    <mergeCell ref="A218:A222"/>
    <mergeCell ref="A223:A227"/>
    <mergeCell ref="A228:A232"/>
    <mergeCell ref="C228:C231"/>
    <mergeCell ref="D228:D231"/>
    <mergeCell ref="A233:A237"/>
    <mergeCell ref="B233:B236"/>
    <mergeCell ref="C233:C236"/>
    <mergeCell ref="D233:D236"/>
    <mergeCell ref="A238:A242"/>
    <mergeCell ref="B238:B241"/>
    <mergeCell ref="C238:C241"/>
    <mergeCell ref="D238:D241"/>
    <mergeCell ref="B243:B246"/>
    <mergeCell ref="C243:C246"/>
    <mergeCell ref="D243:D246"/>
    <mergeCell ref="C253:C256"/>
    <mergeCell ref="D253:D256"/>
    <mergeCell ref="A243:A247"/>
    <mergeCell ref="A248:A252"/>
    <mergeCell ref="B248:B251"/>
    <mergeCell ref="C248:C251"/>
    <mergeCell ref="D248:D251"/>
    <mergeCell ref="A253:A257"/>
    <mergeCell ref="B253:B256"/>
    <mergeCell ref="A258:A262"/>
    <mergeCell ref="B258:B261"/>
    <mergeCell ref="C258:C261"/>
    <mergeCell ref="D258:D261"/>
    <mergeCell ref="B263:B266"/>
    <mergeCell ref="C263:C266"/>
    <mergeCell ref="D263:D266"/>
    <mergeCell ref="A263:A267"/>
    <mergeCell ref="A268:A272"/>
    <mergeCell ref="B268:B271"/>
    <mergeCell ref="C268:C271"/>
    <mergeCell ref="D268:D271"/>
    <mergeCell ref="A273:A277"/>
    <mergeCell ref="B273:B276"/>
    <mergeCell ref="A278:A282"/>
    <mergeCell ref="C278:C281"/>
    <mergeCell ref="A283:A287"/>
    <mergeCell ref="C283:C286"/>
    <mergeCell ref="B288:B291"/>
    <mergeCell ref="C288:C291"/>
    <mergeCell ref="D288:D291"/>
    <mergeCell ref="C298:C301"/>
    <mergeCell ref="C303:C306"/>
    <mergeCell ref="A288:A292"/>
    <mergeCell ref="A293:A297"/>
    <mergeCell ref="B293:B296"/>
    <mergeCell ref="C293:C296"/>
    <mergeCell ref="D293:D296"/>
    <mergeCell ref="A298:A302"/>
    <mergeCell ref="A303:A307"/>
    <mergeCell ref="C323:C326"/>
    <mergeCell ref="D323:D326"/>
    <mergeCell ref="A308:A312"/>
    <mergeCell ref="C308:C311"/>
    <mergeCell ref="A313:A317"/>
    <mergeCell ref="C313:C316"/>
    <mergeCell ref="A318:A322"/>
    <mergeCell ref="C318:C321"/>
    <mergeCell ref="A323:A327"/>
    <mergeCell ref="C634:C637"/>
    <mergeCell ref="B639:B642"/>
    <mergeCell ref="C639:C642"/>
    <mergeCell ref="D639:D642"/>
    <mergeCell ref="C644:C647"/>
    <mergeCell ref="C649:C652"/>
    <mergeCell ref="D649:D652"/>
    <mergeCell ref="B649:B652"/>
    <mergeCell ref="B654:B657"/>
    <mergeCell ref="C654:C657"/>
    <mergeCell ref="D654:D657"/>
    <mergeCell ref="C659:C662"/>
    <mergeCell ref="D659:D662"/>
    <mergeCell ref="C664:C667"/>
    <mergeCell ref="C534:C537"/>
    <mergeCell ref="C539:C542"/>
    <mergeCell ref="D539:D542"/>
    <mergeCell ref="C544:C547"/>
    <mergeCell ref="D544:D547"/>
    <mergeCell ref="C549:C552"/>
    <mergeCell ref="D549:D552"/>
    <mergeCell ref="C554:C557"/>
    <mergeCell ref="D554:D557"/>
    <mergeCell ref="C559:C562"/>
    <mergeCell ref="D559:D562"/>
    <mergeCell ref="C564:C567"/>
    <mergeCell ref="D564:D567"/>
    <mergeCell ref="D569:D572"/>
    <mergeCell ref="B584:B587"/>
    <mergeCell ref="B594:B597"/>
    <mergeCell ref="C569:C572"/>
    <mergeCell ref="C574:C577"/>
    <mergeCell ref="D574:D577"/>
    <mergeCell ref="C584:C587"/>
    <mergeCell ref="D584:D587"/>
    <mergeCell ref="C589:C592"/>
    <mergeCell ref="D589:D592"/>
    <mergeCell ref="C594:C597"/>
    <mergeCell ref="D594:D597"/>
    <mergeCell ref="C599:C602"/>
    <mergeCell ref="D599:D602"/>
    <mergeCell ref="C604:C607"/>
    <mergeCell ref="D604:D607"/>
    <mergeCell ref="D609:D612"/>
    <mergeCell ref="C609:C612"/>
    <mergeCell ref="C614:C617"/>
    <mergeCell ref="D614:D617"/>
    <mergeCell ref="C619:C622"/>
    <mergeCell ref="D619:D622"/>
    <mergeCell ref="C624:C627"/>
    <mergeCell ref="C629:C632"/>
    <mergeCell ref="B659:B662"/>
    <mergeCell ref="B669:B672"/>
    <mergeCell ref="C669:C672"/>
    <mergeCell ref="D669:D672"/>
    <mergeCell ref="A378:A382"/>
    <mergeCell ref="A383:A387"/>
    <mergeCell ref="A388:A391"/>
    <mergeCell ref="B388:B390"/>
    <mergeCell ref="C388:C390"/>
    <mergeCell ref="D388:D390"/>
    <mergeCell ref="D392:D395"/>
    <mergeCell ref="A392:A396"/>
    <mergeCell ref="A397:A399"/>
    <mergeCell ref="B397:B399"/>
    <mergeCell ref="C397:C399"/>
    <mergeCell ref="D397:D399"/>
    <mergeCell ref="A401:A405"/>
    <mergeCell ref="C401:C404"/>
    <mergeCell ref="A406:A409"/>
    <mergeCell ref="B406:B409"/>
    <mergeCell ref="C406:C409"/>
    <mergeCell ref="D406:D409"/>
    <mergeCell ref="B410:B413"/>
    <mergeCell ref="C410:C413"/>
    <mergeCell ref="D410:D413"/>
    <mergeCell ref="A410:A413"/>
    <mergeCell ref="A414:A417"/>
    <mergeCell ref="B414:B417"/>
    <mergeCell ref="C414:C417"/>
    <mergeCell ref="D414:D417"/>
    <mergeCell ref="A418:A421"/>
    <mergeCell ref="B418:B421"/>
    <mergeCell ref="B427:B430"/>
    <mergeCell ref="C427:C430"/>
    <mergeCell ref="C418:C421"/>
    <mergeCell ref="D418:D421"/>
    <mergeCell ref="A422:A426"/>
    <mergeCell ref="B422:B425"/>
    <mergeCell ref="C422:C425"/>
    <mergeCell ref="D422:D425"/>
    <mergeCell ref="D427:D430"/>
    <mergeCell ref="C338:C341"/>
    <mergeCell ref="C343:C346"/>
    <mergeCell ref="C348:C351"/>
    <mergeCell ref="A328:A332"/>
    <mergeCell ref="C328:C331"/>
    <mergeCell ref="D328:D331"/>
    <mergeCell ref="A333:A337"/>
    <mergeCell ref="C333:C336"/>
    <mergeCell ref="A338:A342"/>
    <mergeCell ref="A343:A347"/>
    <mergeCell ref="C358:C361"/>
    <mergeCell ref="C363:C366"/>
    <mergeCell ref="A348:A352"/>
    <mergeCell ref="B348:B356"/>
    <mergeCell ref="D348:D356"/>
    <mergeCell ref="A353:A357"/>
    <mergeCell ref="C353:C356"/>
    <mergeCell ref="A358:A362"/>
    <mergeCell ref="A363:A367"/>
    <mergeCell ref="A368:A372"/>
    <mergeCell ref="B368:B371"/>
    <mergeCell ref="C368:C371"/>
    <mergeCell ref="D368:D371"/>
    <mergeCell ref="A373:A377"/>
    <mergeCell ref="C373:C376"/>
    <mergeCell ref="C378:C381"/>
    <mergeCell ref="C383:C386"/>
    <mergeCell ref="B392:B395"/>
    <mergeCell ref="C392:C395"/>
    <mergeCell ref="A427:A431"/>
    <mergeCell ref="A432:A435"/>
    <mergeCell ref="B432:B435"/>
    <mergeCell ref="C432:C435"/>
    <mergeCell ref="D432:D435"/>
    <mergeCell ref="A436:A439"/>
    <mergeCell ref="B436:B439"/>
    <mergeCell ref="A452:A457"/>
    <mergeCell ref="A459:A461"/>
    <mergeCell ref="B459:B461"/>
    <mergeCell ref="C459:C461"/>
    <mergeCell ref="D459:D461"/>
    <mergeCell ref="A463:A464"/>
    <mergeCell ref="A465:A469"/>
    <mergeCell ref="A470:A473"/>
    <mergeCell ref="B470:B473"/>
    <mergeCell ref="C470:C473"/>
    <mergeCell ref="D470:D473"/>
    <mergeCell ref="A477:A481"/>
    <mergeCell ref="C477:C480"/>
    <mergeCell ref="C482:C485"/>
    <mergeCell ref="C436:C439"/>
    <mergeCell ref="D436:D439"/>
    <mergeCell ref="D440:D441"/>
    <mergeCell ref="D442:D443"/>
    <mergeCell ref="D444:D445"/>
    <mergeCell ref="B446:B447"/>
    <mergeCell ref="B448:B449"/>
    <mergeCell ref="D446:D447"/>
    <mergeCell ref="D448:D449"/>
    <mergeCell ref="A450:A451"/>
    <mergeCell ref="B450:B451"/>
    <mergeCell ref="C450:C451"/>
    <mergeCell ref="D450:D451"/>
    <mergeCell ref="C452:C456"/>
    <mergeCell ref="C463:C464"/>
    <mergeCell ref="D463:D464"/>
    <mergeCell ref="B463:B464"/>
    <mergeCell ref="B465:B468"/>
    <mergeCell ref="C465:C468"/>
    <mergeCell ref="D465:D468"/>
    <mergeCell ref="C486:C489"/>
    <mergeCell ref="C490:C493"/>
    <mergeCell ref="C494:C497"/>
    <mergeCell ref="C504:C507"/>
    <mergeCell ref="C509:C512"/>
    <mergeCell ref="D509:D512"/>
    <mergeCell ref="D514:D517"/>
    <mergeCell ref="C514:C517"/>
    <mergeCell ref="C519:C522"/>
    <mergeCell ref="D519:D522"/>
    <mergeCell ref="C524:C527"/>
    <mergeCell ref="D524:D527"/>
    <mergeCell ref="C529:C532"/>
    <mergeCell ref="D529:D532"/>
    <mergeCell ref="C679:C682"/>
    <mergeCell ref="D679:D682"/>
    <mergeCell ref="A684:A688"/>
    <mergeCell ref="B684:B687"/>
    <mergeCell ref="C684:C687"/>
    <mergeCell ref="D684:D687"/>
    <mergeCell ref="B689:B692"/>
    <mergeCell ref="C689:C692"/>
    <mergeCell ref="D689:D692"/>
    <mergeCell ref="D694:D697"/>
    <mergeCell ref="D699:D702"/>
    <mergeCell ref="D704:D707"/>
    <mergeCell ref="D709:D712"/>
    <mergeCell ref="D714:D717"/>
    <mergeCell ref="D779:D782"/>
    <mergeCell ref="D784:D787"/>
    <mergeCell ref="D829:D832"/>
    <mergeCell ref="D834:D837"/>
    <mergeCell ref="D794:D797"/>
    <mergeCell ref="D799:D802"/>
    <mergeCell ref="D804:D807"/>
    <mergeCell ref="D809:D812"/>
    <mergeCell ref="D814:D817"/>
    <mergeCell ref="D819:D822"/>
    <mergeCell ref="D824:D827"/>
    <mergeCell ref="B804:B807"/>
    <mergeCell ref="C804:C807"/>
    <mergeCell ref="A794:A798"/>
    <mergeCell ref="B794:B797"/>
    <mergeCell ref="C794:C797"/>
    <mergeCell ref="A799:A803"/>
    <mergeCell ref="B799:B802"/>
    <mergeCell ref="C799:C802"/>
    <mergeCell ref="A804:A808"/>
    <mergeCell ref="B819:B822"/>
    <mergeCell ref="C819:C822"/>
    <mergeCell ref="A809:A813"/>
    <mergeCell ref="B809:B812"/>
    <mergeCell ref="C809:C812"/>
    <mergeCell ref="A814:A818"/>
    <mergeCell ref="B814:B817"/>
    <mergeCell ref="C814:C817"/>
    <mergeCell ref="A819:A823"/>
    <mergeCell ref="B834:B837"/>
    <mergeCell ref="C834:C837"/>
    <mergeCell ref="A854:A858"/>
    <mergeCell ref="A859:A863"/>
    <mergeCell ref="A864:A868"/>
    <mergeCell ref="A869:A873"/>
    <mergeCell ref="A874:A878"/>
    <mergeCell ref="A879:A883"/>
    <mergeCell ref="A884:A888"/>
    <mergeCell ref="C939:C942"/>
    <mergeCell ref="C944:C947"/>
    <mergeCell ref="A919:A923"/>
    <mergeCell ref="C919:C922"/>
    <mergeCell ref="A924:A928"/>
    <mergeCell ref="C924:C927"/>
    <mergeCell ref="A929:A933"/>
    <mergeCell ref="C929:C932"/>
    <mergeCell ref="C934:C937"/>
    <mergeCell ref="C954:C957"/>
    <mergeCell ref="C959:C962"/>
    <mergeCell ref="A934:A938"/>
    <mergeCell ref="A939:A943"/>
    <mergeCell ref="A944:A948"/>
    <mergeCell ref="A949:A953"/>
    <mergeCell ref="C949:C952"/>
    <mergeCell ref="A954:A958"/>
    <mergeCell ref="A959:A963"/>
    <mergeCell ref="A964:A968"/>
    <mergeCell ref="C964:C967"/>
    <mergeCell ref="A969:A973"/>
    <mergeCell ref="C969:C972"/>
    <mergeCell ref="A974:A978"/>
    <mergeCell ref="C974:C977"/>
    <mergeCell ref="A979:A983"/>
    <mergeCell ref="A984:A988"/>
    <mergeCell ref="C984:C987"/>
    <mergeCell ref="A989:A993"/>
    <mergeCell ref="C989:C992"/>
    <mergeCell ref="A994:A998"/>
    <mergeCell ref="C994:C997"/>
    <mergeCell ref="A999:A1003"/>
    <mergeCell ref="A1004:A1008"/>
    <mergeCell ref="C1004:C1007"/>
    <mergeCell ref="A1009:A1013"/>
    <mergeCell ref="C1009:C1012"/>
    <mergeCell ref="A1014:A1018"/>
    <mergeCell ref="C1014:C1017"/>
    <mergeCell ref="C1019:C1022"/>
    <mergeCell ref="A1427:A1430"/>
    <mergeCell ref="B1427:B1430"/>
    <mergeCell ref="C1427:C1430"/>
    <mergeCell ref="D1427:D1430"/>
    <mergeCell ref="A1431:A1434"/>
    <mergeCell ref="B1431:B1434"/>
    <mergeCell ref="C1431:C1434"/>
    <mergeCell ref="D1431:D1434"/>
    <mergeCell ref="C1024:C1027"/>
    <mergeCell ref="C1029:C1032"/>
    <mergeCell ref="C1034:C1037"/>
    <mergeCell ref="C1039:C1042"/>
    <mergeCell ref="C1044:C1047"/>
    <mergeCell ref="C1049:C1052"/>
    <mergeCell ref="C1054:C1057"/>
    <mergeCell ref="A482:A485"/>
    <mergeCell ref="A486:A489"/>
    <mergeCell ref="A490:A493"/>
    <mergeCell ref="A494:A498"/>
    <mergeCell ref="A504:A508"/>
    <mergeCell ref="A509:A513"/>
    <mergeCell ref="A514:A518"/>
    <mergeCell ref="A519:A523"/>
    <mergeCell ref="A524:A528"/>
    <mergeCell ref="A529:A533"/>
    <mergeCell ref="A534:A538"/>
    <mergeCell ref="A539:A543"/>
    <mergeCell ref="A544:A548"/>
    <mergeCell ref="A549:A553"/>
    <mergeCell ref="A554:A558"/>
    <mergeCell ref="A559:A563"/>
    <mergeCell ref="A564:A568"/>
    <mergeCell ref="A569:A573"/>
    <mergeCell ref="A574:A578"/>
    <mergeCell ref="A579:A583"/>
    <mergeCell ref="A584:A588"/>
    <mergeCell ref="A589:A593"/>
    <mergeCell ref="A594:A598"/>
    <mergeCell ref="A599:A603"/>
    <mergeCell ref="A604:A608"/>
    <mergeCell ref="A609:A613"/>
    <mergeCell ref="A614:A618"/>
    <mergeCell ref="A619:A623"/>
    <mergeCell ref="A624:A628"/>
    <mergeCell ref="A629:A633"/>
    <mergeCell ref="A634:A638"/>
    <mergeCell ref="A639:A643"/>
    <mergeCell ref="A644:A648"/>
    <mergeCell ref="A649:A653"/>
    <mergeCell ref="A654:A658"/>
    <mergeCell ref="A659:A663"/>
    <mergeCell ref="A664:A668"/>
    <mergeCell ref="A669:A673"/>
    <mergeCell ref="A674:A678"/>
    <mergeCell ref="C674:C677"/>
    <mergeCell ref="A679:A683"/>
    <mergeCell ref="B679:B682"/>
    <mergeCell ref="A689:A693"/>
    <mergeCell ref="A694:A698"/>
    <mergeCell ref="B694:B697"/>
    <mergeCell ref="C694:C697"/>
    <mergeCell ref="A699:A703"/>
    <mergeCell ref="B699:B702"/>
    <mergeCell ref="C699:C702"/>
    <mergeCell ref="B714:B717"/>
    <mergeCell ref="C714:C717"/>
    <mergeCell ref="A704:A708"/>
    <mergeCell ref="B704:B707"/>
    <mergeCell ref="C704:C707"/>
    <mergeCell ref="A709:A713"/>
    <mergeCell ref="B709:B712"/>
    <mergeCell ref="C709:C712"/>
    <mergeCell ref="A714:A718"/>
    <mergeCell ref="A719:A723"/>
    <mergeCell ref="C719:C722"/>
    <mergeCell ref="A724:A728"/>
    <mergeCell ref="C724:C727"/>
    <mergeCell ref="A729:A733"/>
    <mergeCell ref="C729:C732"/>
    <mergeCell ref="C734:C737"/>
    <mergeCell ref="A734:A738"/>
    <mergeCell ref="A739:A743"/>
    <mergeCell ref="A744:A748"/>
    <mergeCell ref="A749:A753"/>
    <mergeCell ref="A754:A758"/>
    <mergeCell ref="A759:A763"/>
    <mergeCell ref="A764:A768"/>
    <mergeCell ref="C774:C777"/>
    <mergeCell ref="C779:C782"/>
    <mergeCell ref="C784:C787"/>
    <mergeCell ref="C789:C792"/>
    <mergeCell ref="C739:C742"/>
    <mergeCell ref="C744:C747"/>
    <mergeCell ref="C749:C752"/>
    <mergeCell ref="C754:C757"/>
    <mergeCell ref="C759:C762"/>
    <mergeCell ref="C764:C767"/>
    <mergeCell ref="C769:C772"/>
    <mergeCell ref="A769:A773"/>
    <mergeCell ref="A774:A778"/>
    <mergeCell ref="A779:A783"/>
    <mergeCell ref="B779:B782"/>
    <mergeCell ref="A784:A788"/>
    <mergeCell ref="B784:B787"/>
    <mergeCell ref="A789:A793"/>
    <mergeCell ref="A824:A828"/>
    <mergeCell ref="B824:B827"/>
    <mergeCell ref="C824:C827"/>
    <mergeCell ref="A829:A833"/>
    <mergeCell ref="B829:B832"/>
    <mergeCell ref="C829:C832"/>
    <mergeCell ref="A834:A838"/>
    <mergeCell ref="A839:A843"/>
    <mergeCell ref="C839:C842"/>
    <mergeCell ref="A844:A848"/>
    <mergeCell ref="C844:C847"/>
    <mergeCell ref="A849:A853"/>
    <mergeCell ref="C849:C852"/>
    <mergeCell ref="C854:C857"/>
    <mergeCell ref="C894:C897"/>
    <mergeCell ref="C899:C902"/>
    <mergeCell ref="C859:C862"/>
    <mergeCell ref="C864:C867"/>
    <mergeCell ref="C869:C872"/>
    <mergeCell ref="C874:C877"/>
    <mergeCell ref="C879:C882"/>
    <mergeCell ref="C884:C887"/>
    <mergeCell ref="C889:C892"/>
    <mergeCell ref="C909:C912"/>
    <mergeCell ref="C914:C917"/>
    <mergeCell ref="A889:A893"/>
    <mergeCell ref="A894:A898"/>
    <mergeCell ref="A899:A903"/>
    <mergeCell ref="A904:A908"/>
    <mergeCell ref="C904:C907"/>
    <mergeCell ref="A909:A913"/>
    <mergeCell ref="A914:A918"/>
    <mergeCell ref="A1019:A1023"/>
    <mergeCell ref="A1024:A1028"/>
    <mergeCell ref="A1029:A1033"/>
    <mergeCell ref="A1034:A1038"/>
    <mergeCell ref="A1039:A1043"/>
    <mergeCell ref="A1044:A1048"/>
    <mergeCell ref="A1049:A1053"/>
    <mergeCell ref="A1085:A1088"/>
    <mergeCell ref="A1089:A1092"/>
    <mergeCell ref="A1054:A1058"/>
    <mergeCell ref="A1059:A1063"/>
    <mergeCell ref="A1064:A1068"/>
    <mergeCell ref="A1069:A1072"/>
    <mergeCell ref="A1073:A1076"/>
    <mergeCell ref="A1077:A1080"/>
    <mergeCell ref="A1081:A1084"/>
    <mergeCell ref="C1077:C1080"/>
    <mergeCell ref="D1077:D1080"/>
    <mergeCell ref="C1059:C1062"/>
    <mergeCell ref="C1064:C1067"/>
    <mergeCell ref="C1069:C1072"/>
    <mergeCell ref="B1073:B1076"/>
    <mergeCell ref="C1073:C1076"/>
    <mergeCell ref="D1073:D1076"/>
    <mergeCell ref="B1077:B1080"/>
    <mergeCell ref="C1089:C1092"/>
    <mergeCell ref="D1089:D1092"/>
    <mergeCell ref="B1081:B1084"/>
    <mergeCell ref="C1081:C1084"/>
    <mergeCell ref="D1081:D1084"/>
    <mergeCell ref="B1085:B1088"/>
    <mergeCell ref="C1085:C1088"/>
    <mergeCell ref="D1085:D1088"/>
    <mergeCell ref="B1089:B1092"/>
  </mergeCells>
  <conditionalFormatting sqref="O2:O382 O388:O1646 P193:P212 P504:P533 P1094:P1110">
    <cfRule type="containsText" dxfId="1" priority="1" operator="containsText" text="да">
      <formula>NOT(ISERROR(SEARCH(("да"),(O2))))</formula>
    </cfRule>
  </conditionalFormatting>
  <conditionalFormatting sqref="K1 K8:K1646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O1:P382 O388:P1646">
    <cfRule type="containsText" dxfId="0" priority="3" operator="containsText" text="нет">
      <formula>NOT(ISERROR(SEARCH(("нет"),(O1))))</formula>
    </cfRule>
  </conditionalFormatting>
  <conditionalFormatting sqref="P1:P382 P388:P1646">
    <cfRule type="containsText" dxfId="1" priority="4" operator="containsText" text="да">
      <formula>NOT(ISERROR(SEARCH(("да"),(P1))))</formula>
    </cfRule>
  </conditionalFormatting>
  <dataValidations>
    <dataValidation type="list" allowBlank="1" showErrorMessage="1" sqref="E1:E1646">
      <formula1>"Ижевск,Самара,Сургут/Нижневартовск,Тюмень,Москва"</formula1>
    </dataValidation>
    <dataValidation type="list" allowBlank="1" showErrorMessage="1" sqref="O2:P21 O22 O23:P382 P383:P387 O388:P1646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0"/>
    <col customWidth="1" min="2" max="2" width="26.0"/>
    <col customWidth="1" min="3" max="3" width="29.71"/>
    <col customWidth="1" min="4" max="4" width="57.43"/>
    <col customWidth="1" min="5" max="5" width="19.29"/>
    <col customWidth="1" min="6" max="6" width="14.43"/>
  </cols>
  <sheetData>
    <row r="1" ht="31.5" customHeight="1">
      <c r="A1" s="277" t="s">
        <v>498</v>
      </c>
      <c r="B1" s="278" t="s">
        <v>953</v>
      </c>
      <c r="C1" s="277" t="s">
        <v>500</v>
      </c>
      <c r="D1" s="278" t="s">
        <v>501</v>
      </c>
      <c r="E1" s="279" t="s">
        <v>509</v>
      </c>
      <c r="F1" s="432" t="s">
        <v>96</v>
      </c>
      <c r="G1" s="281" t="s">
        <v>502</v>
      </c>
      <c r="H1" s="281" t="s">
        <v>503</v>
      </c>
      <c r="I1" s="282" t="s">
        <v>504</v>
      </c>
      <c r="J1" s="283" t="s">
        <v>99</v>
      </c>
      <c r="K1" s="284" t="s">
        <v>100</v>
      </c>
      <c r="L1" s="285" t="s">
        <v>466</v>
      </c>
      <c r="M1" s="286" t="s">
        <v>102</v>
      </c>
      <c r="N1" s="287" t="s">
        <v>505</v>
      </c>
      <c r="O1" s="285" t="s">
        <v>506</v>
      </c>
      <c r="P1" s="285" t="s">
        <v>507</v>
      </c>
      <c r="Q1" s="280"/>
      <c r="R1" s="281"/>
    </row>
    <row r="2" hidden="1">
      <c r="A2" s="433"/>
      <c r="B2" s="434"/>
      <c r="C2" s="435"/>
      <c r="D2" s="291"/>
      <c r="E2" s="436"/>
      <c r="F2" s="437"/>
      <c r="G2" s="438"/>
      <c r="H2" s="438"/>
      <c r="I2" s="439"/>
      <c r="J2" s="440"/>
      <c r="K2" s="441"/>
      <c r="L2" s="438"/>
      <c r="M2" s="441"/>
      <c r="N2" s="438"/>
      <c r="O2" s="441"/>
      <c r="P2" s="441"/>
      <c r="Q2" s="442"/>
      <c r="R2" s="443"/>
    </row>
    <row r="3" hidden="1">
      <c r="A3" s="288" t="s">
        <v>508</v>
      </c>
      <c r="B3" s="434"/>
      <c r="C3" s="435"/>
      <c r="D3" s="291"/>
      <c r="E3" s="444" t="s">
        <v>159</v>
      </c>
      <c r="F3" s="437"/>
      <c r="G3" s="438"/>
      <c r="H3" s="438"/>
      <c r="I3" s="439"/>
      <c r="J3" s="440"/>
      <c r="K3" s="441"/>
      <c r="L3" s="438"/>
      <c r="M3" s="441"/>
      <c r="N3" s="438"/>
      <c r="O3" s="441"/>
      <c r="P3" s="441"/>
      <c r="Q3" s="442"/>
      <c r="R3" s="443"/>
    </row>
    <row r="4" hidden="1">
      <c r="B4" s="434"/>
      <c r="C4" s="435"/>
      <c r="D4" s="291"/>
      <c r="E4" s="444" t="s">
        <v>160</v>
      </c>
      <c r="F4" s="445"/>
      <c r="G4" s="438"/>
      <c r="H4" s="438"/>
      <c r="I4" s="439"/>
      <c r="J4" s="440"/>
      <c r="K4" s="441"/>
      <c r="L4" s="438"/>
      <c r="M4" s="441"/>
      <c r="N4" s="438"/>
      <c r="O4" s="441"/>
      <c r="P4" s="441"/>
      <c r="Q4" s="442"/>
      <c r="R4" s="443"/>
    </row>
    <row r="5">
      <c r="B5" s="434"/>
      <c r="C5" s="435"/>
      <c r="D5" s="291"/>
      <c r="E5" s="444" t="s">
        <v>509</v>
      </c>
      <c r="F5" s="437"/>
      <c r="G5" s="438"/>
      <c r="H5" s="438"/>
      <c r="I5" s="439"/>
      <c r="J5" s="440"/>
      <c r="K5" s="441"/>
      <c r="L5" s="438"/>
      <c r="M5" s="441"/>
      <c r="N5" s="438"/>
      <c r="O5" s="441"/>
      <c r="P5" s="441"/>
      <c r="Q5" s="442"/>
      <c r="R5" s="443"/>
    </row>
    <row r="6" hidden="1">
      <c r="B6" s="434"/>
      <c r="C6" s="435"/>
      <c r="D6" s="291"/>
      <c r="E6" s="444" t="s">
        <v>510</v>
      </c>
      <c r="F6" s="437"/>
      <c r="G6" s="438"/>
      <c r="H6" s="438"/>
      <c r="I6" s="439"/>
      <c r="J6" s="440"/>
      <c r="K6" s="441"/>
      <c r="L6" s="438"/>
      <c r="M6" s="441"/>
      <c r="N6" s="438"/>
      <c r="O6" s="441"/>
      <c r="P6" s="441"/>
      <c r="Q6" s="442"/>
      <c r="R6" s="443"/>
    </row>
    <row r="7" hidden="1">
      <c r="A7" s="288" t="s">
        <v>511</v>
      </c>
      <c r="B7" s="434"/>
      <c r="C7" s="446" t="s">
        <v>511</v>
      </c>
      <c r="D7" s="291"/>
      <c r="E7" s="444" t="s">
        <v>159</v>
      </c>
      <c r="F7" s="437"/>
      <c r="G7" s="438"/>
      <c r="H7" s="438"/>
      <c r="I7" s="441"/>
      <c r="J7" s="440"/>
      <c r="K7" s="441"/>
      <c r="L7" s="438"/>
      <c r="M7" s="441"/>
      <c r="N7" s="438"/>
      <c r="O7" s="435"/>
      <c r="P7" s="435"/>
      <c r="Q7" s="442"/>
      <c r="R7" s="438"/>
    </row>
    <row r="8" hidden="1">
      <c r="D8" s="305"/>
      <c r="E8" s="444" t="s">
        <v>160</v>
      </c>
      <c r="F8" s="445"/>
      <c r="G8" s="438"/>
      <c r="H8" s="438"/>
      <c r="I8" s="441"/>
      <c r="J8" s="440"/>
      <c r="K8" s="441"/>
      <c r="L8" s="438"/>
      <c r="M8" s="441"/>
      <c r="N8" s="438"/>
      <c r="O8" s="435"/>
      <c r="P8" s="435"/>
      <c r="Q8" s="442"/>
      <c r="R8" s="438"/>
    </row>
    <row r="9">
      <c r="D9" s="305"/>
      <c r="E9" s="444" t="s">
        <v>509</v>
      </c>
      <c r="F9" s="437"/>
      <c r="G9" s="438"/>
      <c r="H9" s="438"/>
      <c r="I9" s="441"/>
      <c r="J9" s="440"/>
      <c r="K9" s="441"/>
      <c r="L9" s="438"/>
      <c r="M9" s="441"/>
      <c r="N9" s="438"/>
      <c r="O9" s="435"/>
      <c r="P9" s="435"/>
      <c r="Q9" s="442"/>
      <c r="R9" s="438"/>
    </row>
    <row r="10" hidden="1">
      <c r="D10" s="305"/>
      <c r="E10" s="444" t="s">
        <v>510</v>
      </c>
      <c r="F10" s="437"/>
      <c r="G10" s="438"/>
      <c r="H10" s="438"/>
      <c r="I10" s="441"/>
      <c r="J10" s="440"/>
      <c r="K10" s="441"/>
      <c r="L10" s="438"/>
      <c r="M10" s="441"/>
      <c r="N10" s="438"/>
      <c r="O10" s="435"/>
      <c r="P10" s="435"/>
      <c r="Q10" s="442"/>
      <c r="R10" s="438"/>
    </row>
    <row r="11" hidden="1">
      <c r="A11" s="307" t="s">
        <v>513</v>
      </c>
      <c r="B11" s="447"/>
      <c r="C11" s="448" t="s">
        <v>513</v>
      </c>
      <c r="D11" s="449"/>
      <c r="E11" s="450" t="s">
        <v>159</v>
      </c>
      <c r="F11" s="310">
        <v>500.0</v>
      </c>
      <c r="G11" s="311">
        <v>269.0</v>
      </c>
      <c r="H11" s="311">
        <v>269.0</v>
      </c>
      <c r="I11" s="312" t="str">
        <f t="shared" ref="I11:I12" si="1">G11/R11</f>
        <v>#DIV/0!</v>
      </c>
      <c r="J11" s="313">
        <v>17.0</v>
      </c>
      <c r="K11" s="451">
        <f t="shared" ref="K11:K14" si="2">J11/G11</f>
        <v>0.06319702602</v>
      </c>
      <c r="L11" s="315">
        <f t="shared" ref="L11:L14" si="3">Q11-J11</f>
        <v>-17</v>
      </c>
      <c r="M11" s="316">
        <f t="shared" ref="M11:M14" si="4">Q11/J11-1</f>
        <v>-1</v>
      </c>
      <c r="N11" s="452"/>
      <c r="O11" s="318" t="s">
        <v>112</v>
      </c>
      <c r="P11" s="318" t="s">
        <v>112</v>
      </c>
      <c r="Q11" s="442"/>
      <c r="R11" s="443"/>
    </row>
    <row r="12">
      <c r="D12" s="305"/>
      <c r="E12" s="450" t="s">
        <v>509</v>
      </c>
      <c r="F12" s="310">
        <v>500.0</v>
      </c>
      <c r="G12" s="311">
        <v>289.0</v>
      </c>
      <c r="H12" s="311">
        <v>289.0</v>
      </c>
      <c r="I12" s="312" t="str">
        <f t="shared" si="1"/>
        <v>#DIV/0!</v>
      </c>
      <c r="J12" s="313">
        <v>17.0</v>
      </c>
      <c r="K12" s="453">
        <f t="shared" si="2"/>
        <v>0.05882352941</v>
      </c>
      <c r="L12" s="315">
        <f t="shared" si="3"/>
        <v>-17</v>
      </c>
      <c r="M12" s="316">
        <f t="shared" si="4"/>
        <v>-1</v>
      </c>
      <c r="N12" s="452"/>
      <c r="O12" s="454"/>
      <c r="P12" s="454"/>
      <c r="Q12" s="442"/>
      <c r="R12" s="443"/>
    </row>
    <row r="13" hidden="1">
      <c r="B13" s="447"/>
      <c r="D13" s="449"/>
      <c r="E13" s="450" t="s">
        <v>510</v>
      </c>
      <c r="F13" s="310">
        <v>500.0</v>
      </c>
      <c r="G13" s="311">
        <v>289.0</v>
      </c>
      <c r="H13" s="311">
        <v>289.0</v>
      </c>
      <c r="I13" s="455"/>
      <c r="J13" s="313">
        <v>26.0</v>
      </c>
      <c r="K13" s="456">
        <f t="shared" si="2"/>
        <v>0.08996539792</v>
      </c>
      <c r="L13" s="315">
        <f t="shared" si="3"/>
        <v>-26</v>
      </c>
      <c r="M13" s="316">
        <f t="shared" si="4"/>
        <v>-1</v>
      </c>
      <c r="N13" s="452"/>
      <c r="O13" s="454"/>
      <c r="P13" s="454"/>
      <c r="Q13" s="442"/>
      <c r="R13" s="443"/>
    </row>
    <row r="14" hidden="1">
      <c r="A14" s="307" t="s">
        <v>515</v>
      </c>
      <c r="B14" s="447"/>
      <c r="C14" s="448" t="s">
        <v>515</v>
      </c>
      <c r="D14" s="449"/>
      <c r="E14" s="450" t="s">
        <v>160</v>
      </c>
      <c r="F14" s="310">
        <v>500.0</v>
      </c>
      <c r="G14" s="301">
        <v>269.0</v>
      </c>
      <c r="H14" s="301">
        <v>259.0</v>
      </c>
      <c r="I14" s="301">
        <v>249.0</v>
      </c>
      <c r="J14" s="313">
        <v>17.0</v>
      </c>
      <c r="K14" s="451">
        <f t="shared" si="2"/>
        <v>0.06319702602</v>
      </c>
      <c r="L14" s="315">
        <f t="shared" si="3"/>
        <v>-17</v>
      </c>
      <c r="M14" s="316">
        <f t="shared" si="4"/>
        <v>-1</v>
      </c>
      <c r="N14" s="452"/>
      <c r="O14" s="318" t="s">
        <v>112</v>
      </c>
      <c r="P14" s="319">
        <v>249.0</v>
      </c>
      <c r="Q14" s="457"/>
      <c r="R14" s="457"/>
    </row>
    <row r="15" hidden="1">
      <c r="A15" s="288" t="s">
        <v>516</v>
      </c>
      <c r="B15" s="434"/>
      <c r="C15" s="446" t="s">
        <v>516</v>
      </c>
      <c r="D15" s="291"/>
      <c r="E15" s="450" t="s">
        <v>159</v>
      </c>
      <c r="F15" s="458"/>
      <c r="G15" s="438"/>
      <c r="H15" s="438"/>
      <c r="I15" s="441"/>
      <c r="J15" s="440"/>
      <c r="K15" s="441"/>
      <c r="L15" s="438"/>
      <c r="M15" s="441"/>
      <c r="N15" s="438"/>
      <c r="O15" s="441"/>
      <c r="P15" s="441"/>
      <c r="Q15" s="442"/>
      <c r="R15" s="443"/>
    </row>
    <row r="16" hidden="1">
      <c r="B16" s="434"/>
      <c r="D16" s="291"/>
      <c r="E16" s="450" t="s">
        <v>160</v>
      </c>
      <c r="F16" s="459"/>
      <c r="G16" s="438"/>
      <c r="H16" s="438"/>
      <c r="I16" s="441"/>
      <c r="J16" s="440"/>
      <c r="K16" s="441"/>
      <c r="L16" s="438"/>
      <c r="M16" s="441"/>
      <c r="N16" s="438"/>
      <c r="O16" s="441"/>
      <c r="P16" s="441"/>
      <c r="Q16" s="442"/>
      <c r="R16" s="443"/>
    </row>
    <row r="17">
      <c r="B17" s="434"/>
      <c r="D17" s="291"/>
      <c r="E17" s="450" t="s">
        <v>509</v>
      </c>
      <c r="F17" s="458"/>
      <c r="G17" s="438"/>
      <c r="H17" s="438"/>
      <c r="I17" s="441"/>
      <c r="J17" s="440"/>
      <c r="K17" s="441"/>
      <c r="L17" s="438"/>
      <c r="M17" s="441"/>
      <c r="N17" s="438"/>
      <c r="O17" s="441"/>
      <c r="P17" s="441"/>
      <c r="Q17" s="442"/>
      <c r="R17" s="443"/>
    </row>
    <row r="18" hidden="1">
      <c r="B18" s="434"/>
      <c r="D18" s="291"/>
      <c r="E18" s="450" t="s">
        <v>510</v>
      </c>
      <c r="F18" s="458"/>
      <c r="G18" s="438"/>
      <c r="H18" s="438"/>
      <c r="I18" s="441"/>
      <c r="J18" s="440"/>
      <c r="K18" s="441"/>
      <c r="L18" s="438"/>
      <c r="M18" s="441"/>
      <c r="N18" s="438"/>
      <c r="O18" s="441"/>
      <c r="P18" s="441"/>
      <c r="Q18" s="442"/>
      <c r="R18" s="443"/>
    </row>
    <row r="19" hidden="1">
      <c r="A19" s="307" t="s">
        <v>518</v>
      </c>
      <c r="B19" s="460"/>
      <c r="C19" s="448" t="s">
        <v>518</v>
      </c>
      <c r="D19" s="449"/>
      <c r="E19" s="450" t="s">
        <v>159</v>
      </c>
      <c r="F19" s="310">
        <v>500.0</v>
      </c>
      <c r="G19" s="311">
        <v>269.0</v>
      </c>
      <c r="H19" s="311">
        <v>269.0</v>
      </c>
      <c r="I19" s="312" t="str">
        <f>G19/R19</f>
        <v>#DIV/0!</v>
      </c>
      <c r="J19" s="313">
        <v>17.0</v>
      </c>
      <c r="K19" s="451">
        <f t="shared" ref="K19:K26" si="5">J19/G19</f>
        <v>0.06319702602</v>
      </c>
      <c r="L19" s="315">
        <f t="shared" ref="L19:L26" si="6">Q19-J19</f>
        <v>-17</v>
      </c>
      <c r="M19" s="316">
        <f t="shared" ref="M19:M26" si="7">Q19/J19-1</f>
        <v>-1</v>
      </c>
      <c r="N19" s="452"/>
      <c r="O19" s="318" t="s">
        <v>112</v>
      </c>
      <c r="P19" s="318" t="s">
        <v>112</v>
      </c>
      <c r="Q19" s="442"/>
      <c r="R19" s="443"/>
    </row>
    <row r="20" hidden="1">
      <c r="B20" s="460"/>
      <c r="D20" s="449"/>
      <c r="E20" s="450" t="s">
        <v>160</v>
      </c>
      <c r="F20" s="310">
        <v>500.0</v>
      </c>
      <c r="G20" s="311">
        <v>269.0</v>
      </c>
      <c r="H20" s="311">
        <v>259.0</v>
      </c>
      <c r="I20" s="455"/>
      <c r="J20" s="313">
        <v>17.0</v>
      </c>
      <c r="K20" s="451">
        <f t="shared" si="5"/>
        <v>0.06319702602</v>
      </c>
      <c r="L20" s="315">
        <f t="shared" si="6"/>
        <v>-17</v>
      </c>
      <c r="M20" s="316">
        <f t="shared" si="7"/>
        <v>-1</v>
      </c>
      <c r="N20" s="452"/>
      <c r="O20" s="454"/>
      <c r="P20" s="454"/>
      <c r="Q20" s="442"/>
      <c r="R20" s="443"/>
    </row>
    <row r="21" ht="15.75" customHeight="1">
      <c r="B21" s="460"/>
      <c r="D21" s="449"/>
      <c r="E21" s="450" t="s">
        <v>509</v>
      </c>
      <c r="F21" s="310">
        <v>500.0</v>
      </c>
      <c r="G21" s="311">
        <v>289.0</v>
      </c>
      <c r="H21" s="311">
        <v>279.0</v>
      </c>
      <c r="I21" s="455"/>
      <c r="J21" s="313">
        <v>17.0</v>
      </c>
      <c r="K21" s="453">
        <f t="shared" si="5"/>
        <v>0.05882352941</v>
      </c>
      <c r="L21" s="315">
        <f t="shared" si="6"/>
        <v>-17</v>
      </c>
      <c r="M21" s="316">
        <f t="shared" si="7"/>
        <v>-1</v>
      </c>
      <c r="N21" s="452"/>
      <c r="O21" s="454"/>
      <c r="P21" s="454"/>
      <c r="Q21" s="442"/>
      <c r="R21" s="443"/>
    </row>
    <row r="22" ht="15.75" hidden="1" customHeight="1">
      <c r="B22" s="460"/>
      <c r="D22" s="449"/>
      <c r="E22" s="450" t="s">
        <v>510</v>
      </c>
      <c r="F22" s="310">
        <v>500.0</v>
      </c>
      <c r="G22" s="311">
        <v>289.0</v>
      </c>
      <c r="H22" s="311">
        <v>289.0</v>
      </c>
      <c r="I22" s="455"/>
      <c r="J22" s="313">
        <v>26.0</v>
      </c>
      <c r="K22" s="456">
        <f t="shared" si="5"/>
        <v>0.08996539792</v>
      </c>
      <c r="L22" s="315">
        <f t="shared" si="6"/>
        <v>-26</v>
      </c>
      <c r="M22" s="316">
        <f t="shared" si="7"/>
        <v>-1</v>
      </c>
      <c r="N22" s="452"/>
      <c r="O22" s="454"/>
      <c r="P22" s="454"/>
      <c r="Q22" s="442"/>
      <c r="R22" s="443"/>
    </row>
    <row r="23" ht="15.75" hidden="1" customHeight="1">
      <c r="A23" s="307" t="s">
        <v>519</v>
      </c>
      <c r="B23" s="447"/>
      <c r="C23" s="448" t="s">
        <v>519</v>
      </c>
      <c r="D23" s="449"/>
      <c r="E23" s="450" t="s">
        <v>159</v>
      </c>
      <c r="F23" s="310">
        <v>500.0</v>
      </c>
      <c r="G23" s="311">
        <v>269.0</v>
      </c>
      <c r="H23" s="311">
        <v>269.0</v>
      </c>
      <c r="I23" s="312" t="str">
        <f>G23/R23</f>
        <v>#DIV/0!</v>
      </c>
      <c r="J23" s="313">
        <v>17.0</v>
      </c>
      <c r="K23" s="451">
        <f t="shared" si="5"/>
        <v>0.06319702602</v>
      </c>
      <c r="L23" s="315">
        <f t="shared" si="6"/>
        <v>-17</v>
      </c>
      <c r="M23" s="316">
        <f t="shared" si="7"/>
        <v>-1</v>
      </c>
      <c r="N23" s="452"/>
      <c r="O23" s="318" t="s">
        <v>112</v>
      </c>
      <c r="P23" s="318" t="s">
        <v>112</v>
      </c>
      <c r="Q23" s="442"/>
      <c r="R23" s="443"/>
    </row>
    <row r="24" ht="15.75" hidden="1" customHeight="1">
      <c r="B24" s="447"/>
      <c r="D24" s="449"/>
      <c r="E24" s="450" t="s">
        <v>160</v>
      </c>
      <c r="F24" s="310">
        <v>500.0</v>
      </c>
      <c r="G24" s="311">
        <v>269.0</v>
      </c>
      <c r="H24" s="311">
        <v>259.0</v>
      </c>
      <c r="I24" s="455"/>
      <c r="J24" s="313">
        <v>17.0</v>
      </c>
      <c r="K24" s="451">
        <f t="shared" si="5"/>
        <v>0.06319702602</v>
      </c>
      <c r="L24" s="315">
        <f t="shared" si="6"/>
        <v>-17</v>
      </c>
      <c r="M24" s="316">
        <f t="shared" si="7"/>
        <v>-1</v>
      </c>
      <c r="N24" s="452"/>
      <c r="O24" s="454"/>
      <c r="P24" s="454"/>
      <c r="Q24" s="442"/>
      <c r="R24" s="443"/>
    </row>
    <row r="25" ht="15.75" customHeight="1">
      <c r="B25" s="447"/>
      <c r="D25" s="449"/>
      <c r="E25" s="450" t="s">
        <v>509</v>
      </c>
      <c r="F25" s="310">
        <v>500.0</v>
      </c>
      <c r="G25" s="311">
        <v>289.0</v>
      </c>
      <c r="H25" s="311">
        <v>279.0</v>
      </c>
      <c r="I25" s="455"/>
      <c r="J25" s="313">
        <v>17.0</v>
      </c>
      <c r="K25" s="453">
        <f t="shared" si="5"/>
        <v>0.05882352941</v>
      </c>
      <c r="L25" s="315">
        <f t="shared" si="6"/>
        <v>-17</v>
      </c>
      <c r="M25" s="316">
        <f t="shared" si="7"/>
        <v>-1</v>
      </c>
      <c r="N25" s="452"/>
      <c r="O25" s="454"/>
      <c r="P25" s="454"/>
      <c r="Q25" s="442"/>
      <c r="R25" s="443"/>
    </row>
    <row r="26" ht="15.75" hidden="1" customHeight="1">
      <c r="B26" s="447"/>
      <c r="D26" s="449"/>
      <c r="E26" s="450" t="s">
        <v>510</v>
      </c>
      <c r="F26" s="310">
        <v>500.0</v>
      </c>
      <c r="G26" s="311">
        <v>289.0</v>
      </c>
      <c r="H26" s="311">
        <v>289.0</v>
      </c>
      <c r="I26" s="455"/>
      <c r="J26" s="313">
        <v>26.0</v>
      </c>
      <c r="K26" s="456">
        <f t="shared" si="5"/>
        <v>0.08996539792</v>
      </c>
      <c r="L26" s="315">
        <f t="shared" si="6"/>
        <v>-26</v>
      </c>
      <c r="M26" s="316">
        <f t="shared" si="7"/>
        <v>-1</v>
      </c>
      <c r="N26" s="452"/>
      <c r="O26" s="454"/>
      <c r="P26" s="454"/>
      <c r="Q26" s="442"/>
      <c r="R26" s="443"/>
    </row>
    <row r="27" ht="15.75" hidden="1" customHeight="1">
      <c r="A27" s="448"/>
      <c r="B27" s="447"/>
      <c r="C27" s="448"/>
      <c r="D27" s="449"/>
      <c r="E27" s="450"/>
      <c r="F27" s="310"/>
      <c r="G27" s="311"/>
      <c r="H27" s="311"/>
      <c r="I27" s="455"/>
      <c r="J27" s="313"/>
      <c r="K27" s="456"/>
      <c r="L27" s="315"/>
      <c r="M27" s="316"/>
      <c r="N27" s="452"/>
      <c r="O27" s="454"/>
      <c r="P27" s="454"/>
      <c r="Q27" s="442"/>
      <c r="R27" s="443"/>
    </row>
    <row r="28" ht="15.75" hidden="1" customHeight="1">
      <c r="A28" s="288" t="s">
        <v>528</v>
      </c>
      <c r="B28" s="434"/>
      <c r="C28" s="446" t="s">
        <v>528</v>
      </c>
      <c r="D28" s="291"/>
      <c r="E28" s="450" t="s">
        <v>159</v>
      </c>
      <c r="F28" s="458"/>
      <c r="G28" s="438"/>
      <c r="H28" s="438"/>
      <c r="I28" s="441"/>
      <c r="J28" s="440"/>
      <c r="K28" s="441"/>
      <c r="L28" s="438"/>
      <c r="M28" s="441"/>
      <c r="N28" s="438"/>
      <c r="O28" s="441"/>
      <c r="P28" s="441"/>
      <c r="Q28" s="442"/>
      <c r="R28" s="443"/>
    </row>
    <row r="29" ht="15.75" hidden="1" customHeight="1">
      <c r="B29" s="434"/>
      <c r="D29" s="291"/>
      <c r="E29" s="450" t="s">
        <v>160</v>
      </c>
      <c r="F29" s="459"/>
      <c r="G29" s="438"/>
      <c r="H29" s="438"/>
      <c r="I29" s="441"/>
      <c r="J29" s="440"/>
      <c r="K29" s="441"/>
      <c r="L29" s="438"/>
      <c r="M29" s="441"/>
      <c r="N29" s="438"/>
      <c r="O29" s="441"/>
      <c r="P29" s="441"/>
      <c r="Q29" s="442"/>
      <c r="R29" s="443"/>
    </row>
    <row r="30" ht="15.75" customHeight="1">
      <c r="B30" s="434"/>
      <c r="D30" s="291"/>
      <c r="E30" s="450" t="s">
        <v>509</v>
      </c>
      <c r="F30" s="458"/>
      <c r="G30" s="438"/>
      <c r="H30" s="438"/>
      <c r="I30" s="441"/>
      <c r="J30" s="440"/>
      <c r="K30" s="441"/>
      <c r="L30" s="438"/>
      <c r="M30" s="441"/>
      <c r="N30" s="438"/>
      <c r="O30" s="441"/>
      <c r="P30" s="441"/>
      <c r="Q30" s="442"/>
      <c r="R30" s="443"/>
    </row>
    <row r="31" ht="15.75" hidden="1" customHeight="1">
      <c r="B31" s="434"/>
      <c r="D31" s="291"/>
      <c r="E31" s="450" t="s">
        <v>510</v>
      </c>
      <c r="F31" s="458"/>
      <c r="G31" s="438"/>
      <c r="H31" s="438"/>
      <c r="I31" s="441"/>
      <c r="J31" s="440"/>
      <c r="K31" s="441"/>
      <c r="L31" s="438"/>
      <c r="M31" s="441"/>
      <c r="N31" s="438"/>
      <c r="O31" s="441"/>
      <c r="P31" s="441"/>
      <c r="Q31" s="442"/>
      <c r="R31" s="443"/>
    </row>
    <row r="32" ht="15.75" hidden="1" customHeight="1">
      <c r="A32" s="329" t="s">
        <v>533</v>
      </c>
      <c r="B32" s="330" t="s">
        <v>534</v>
      </c>
      <c r="C32" s="461" t="s">
        <v>533</v>
      </c>
      <c r="D32" s="330" t="s">
        <v>534</v>
      </c>
      <c r="E32" s="450" t="s">
        <v>159</v>
      </c>
      <c r="F32" s="310">
        <v>500.0</v>
      </c>
      <c r="G32" s="311">
        <v>369.0</v>
      </c>
      <c r="H32" s="311">
        <v>329.0</v>
      </c>
      <c r="I32" s="312" t="str">
        <f>G32/R32</f>
        <v>#DIV/0!</v>
      </c>
      <c r="J32" s="313">
        <v>43.96</v>
      </c>
      <c r="K32" s="410">
        <f t="shared" ref="K32:K39" si="8">J32/G32</f>
        <v>0.1191327913</v>
      </c>
      <c r="L32" s="315">
        <f t="shared" ref="L32:L39" si="9">Q32-J32</f>
        <v>-43.96</v>
      </c>
      <c r="M32" s="316">
        <f t="shared" ref="M32:M39" si="10">Q32/J32-1</f>
        <v>-1</v>
      </c>
      <c r="N32" s="442"/>
      <c r="O32" s="373" t="s">
        <v>112</v>
      </c>
      <c r="P32" s="373" t="s">
        <v>112</v>
      </c>
      <c r="Q32" s="442"/>
      <c r="R32" s="443"/>
    </row>
    <row r="33" ht="15.75" hidden="1" customHeight="1">
      <c r="E33" s="450" t="s">
        <v>160</v>
      </c>
      <c r="F33" s="310">
        <v>500.0</v>
      </c>
      <c r="G33" s="311">
        <v>369.0</v>
      </c>
      <c r="H33" s="311">
        <v>299.0</v>
      </c>
      <c r="I33" s="455"/>
      <c r="J33" s="313">
        <v>43.96</v>
      </c>
      <c r="K33" s="410">
        <f t="shared" si="8"/>
        <v>0.1191327913</v>
      </c>
      <c r="L33" s="315">
        <f t="shared" si="9"/>
        <v>-43.96</v>
      </c>
      <c r="M33" s="316">
        <f t="shared" si="10"/>
        <v>-1</v>
      </c>
      <c r="N33" s="442"/>
      <c r="O33" s="462"/>
      <c r="P33" s="462"/>
      <c r="Q33" s="442"/>
      <c r="R33" s="443"/>
    </row>
    <row r="34" ht="15.75" customHeight="1">
      <c r="E34" s="450" t="s">
        <v>509</v>
      </c>
      <c r="F34" s="310">
        <v>500.0</v>
      </c>
      <c r="G34" s="311">
        <v>389.0</v>
      </c>
      <c r="H34" s="311">
        <v>339.0</v>
      </c>
      <c r="I34" s="455"/>
      <c r="J34" s="313">
        <v>43.96</v>
      </c>
      <c r="K34" s="463">
        <f t="shared" si="8"/>
        <v>0.1130077121</v>
      </c>
      <c r="L34" s="315">
        <f t="shared" si="9"/>
        <v>-43.96</v>
      </c>
      <c r="M34" s="316">
        <f t="shared" si="10"/>
        <v>-1</v>
      </c>
      <c r="N34" s="442"/>
      <c r="O34" s="462"/>
      <c r="P34" s="462"/>
      <c r="Q34" s="442"/>
      <c r="R34" s="443"/>
    </row>
    <row r="35" ht="15.75" hidden="1" customHeight="1">
      <c r="E35" s="450" t="s">
        <v>510</v>
      </c>
      <c r="F35" s="310">
        <v>500.0</v>
      </c>
      <c r="G35" s="311">
        <v>389.0</v>
      </c>
      <c r="H35" s="311">
        <v>389.0</v>
      </c>
      <c r="I35" s="455"/>
      <c r="J35" s="313">
        <v>43.96</v>
      </c>
      <c r="K35" s="463">
        <f t="shared" si="8"/>
        <v>0.1130077121</v>
      </c>
      <c r="L35" s="315">
        <f t="shared" si="9"/>
        <v>-43.96</v>
      </c>
      <c r="M35" s="316">
        <f t="shared" si="10"/>
        <v>-1</v>
      </c>
      <c r="N35" s="442"/>
      <c r="O35" s="462"/>
      <c r="P35" s="462"/>
      <c r="Q35" s="442"/>
      <c r="R35" s="443"/>
    </row>
    <row r="36" ht="15.75" hidden="1" customHeight="1">
      <c r="A36" s="327" t="s">
        <v>536</v>
      </c>
      <c r="B36" s="327" t="s">
        <v>537</v>
      </c>
      <c r="C36" s="464" t="s">
        <v>536</v>
      </c>
      <c r="D36" s="327" t="s">
        <v>537</v>
      </c>
      <c r="E36" s="450" t="s">
        <v>159</v>
      </c>
      <c r="F36" s="310">
        <v>500.0</v>
      </c>
      <c r="G36" s="311">
        <v>369.0</v>
      </c>
      <c r="H36" s="311">
        <v>329.0</v>
      </c>
      <c r="I36" s="312" t="str">
        <f>G36/R36</f>
        <v>#DIV/0!</v>
      </c>
      <c r="J36" s="313">
        <v>45.15</v>
      </c>
      <c r="K36" s="465">
        <f t="shared" si="8"/>
        <v>0.1223577236</v>
      </c>
      <c r="L36" s="315">
        <f t="shared" si="9"/>
        <v>-45.15</v>
      </c>
      <c r="M36" s="316">
        <f t="shared" si="10"/>
        <v>-1</v>
      </c>
      <c r="N36" s="452"/>
      <c r="O36" s="318" t="s">
        <v>112</v>
      </c>
      <c r="P36" s="318" t="s">
        <v>112</v>
      </c>
      <c r="Q36" s="442"/>
      <c r="R36" s="443"/>
    </row>
    <row r="37" ht="15.75" hidden="1" customHeight="1">
      <c r="E37" s="450" t="s">
        <v>160</v>
      </c>
      <c r="F37" s="310">
        <v>500.0</v>
      </c>
      <c r="G37" s="311">
        <v>369.0</v>
      </c>
      <c r="H37" s="311">
        <v>299.0</v>
      </c>
      <c r="I37" s="455"/>
      <c r="J37" s="313">
        <v>45.15</v>
      </c>
      <c r="K37" s="465">
        <f t="shared" si="8"/>
        <v>0.1223577236</v>
      </c>
      <c r="L37" s="315">
        <f t="shared" si="9"/>
        <v>-45.15</v>
      </c>
      <c r="M37" s="316">
        <f t="shared" si="10"/>
        <v>-1</v>
      </c>
      <c r="N37" s="452"/>
      <c r="O37" s="454"/>
      <c r="P37" s="454"/>
      <c r="Q37" s="442"/>
      <c r="R37" s="443"/>
    </row>
    <row r="38" ht="15.75" customHeight="1">
      <c r="E38" s="450" t="s">
        <v>509</v>
      </c>
      <c r="F38" s="310">
        <v>500.0</v>
      </c>
      <c r="G38" s="311">
        <v>389.0</v>
      </c>
      <c r="H38" s="311">
        <v>339.0</v>
      </c>
      <c r="I38" s="455"/>
      <c r="J38" s="313">
        <v>45.15</v>
      </c>
      <c r="K38" s="466">
        <f t="shared" si="8"/>
        <v>0.116066838</v>
      </c>
      <c r="L38" s="315">
        <f t="shared" si="9"/>
        <v>-45.15</v>
      </c>
      <c r="M38" s="316">
        <f t="shared" si="10"/>
        <v>-1</v>
      </c>
      <c r="N38" s="452"/>
      <c r="O38" s="454"/>
      <c r="P38" s="454"/>
      <c r="Q38" s="442"/>
      <c r="R38" s="443"/>
    </row>
    <row r="39" ht="15.75" hidden="1" customHeight="1">
      <c r="E39" s="450" t="s">
        <v>510</v>
      </c>
      <c r="F39" s="310">
        <v>500.0</v>
      </c>
      <c r="G39" s="311">
        <v>389.0</v>
      </c>
      <c r="H39" s="311">
        <v>389.0</v>
      </c>
      <c r="I39" s="455"/>
      <c r="J39" s="313">
        <v>45.15</v>
      </c>
      <c r="K39" s="466">
        <f t="shared" si="8"/>
        <v>0.116066838</v>
      </c>
      <c r="L39" s="315">
        <f t="shared" si="9"/>
        <v>-45.15</v>
      </c>
      <c r="M39" s="316">
        <f t="shared" si="10"/>
        <v>-1</v>
      </c>
      <c r="N39" s="452"/>
      <c r="O39" s="454"/>
      <c r="P39" s="454"/>
      <c r="Q39" s="442"/>
      <c r="R39" s="443"/>
    </row>
    <row r="40" ht="15.75" hidden="1" customHeight="1">
      <c r="A40" s="288" t="s">
        <v>555</v>
      </c>
      <c r="B40" s="434"/>
      <c r="C40" s="446" t="s">
        <v>555</v>
      </c>
      <c r="D40" s="291"/>
      <c r="E40" s="450" t="s">
        <v>159</v>
      </c>
      <c r="F40" s="458"/>
      <c r="G40" s="438"/>
      <c r="H40" s="438"/>
      <c r="I40" s="441"/>
      <c r="J40" s="440"/>
      <c r="K40" s="441"/>
      <c r="L40" s="438"/>
      <c r="M40" s="441"/>
      <c r="N40" s="438"/>
      <c r="O40" s="441"/>
      <c r="P40" s="441"/>
      <c r="Q40" s="442"/>
      <c r="R40" s="438"/>
    </row>
    <row r="41" ht="15.75" hidden="1" customHeight="1">
      <c r="B41" s="434"/>
      <c r="D41" s="291"/>
      <c r="E41" s="450" t="s">
        <v>160</v>
      </c>
      <c r="F41" s="459"/>
      <c r="G41" s="438"/>
      <c r="H41" s="438"/>
      <c r="I41" s="441"/>
      <c r="J41" s="440"/>
      <c r="K41" s="441"/>
      <c r="L41" s="438"/>
      <c r="M41" s="441"/>
      <c r="N41" s="438"/>
      <c r="O41" s="441"/>
      <c r="P41" s="441"/>
      <c r="Q41" s="442"/>
      <c r="R41" s="438"/>
    </row>
    <row r="42" ht="15.75" customHeight="1">
      <c r="B42" s="434"/>
      <c r="D42" s="291"/>
      <c r="E42" s="450" t="s">
        <v>509</v>
      </c>
      <c r="F42" s="458"/>
      <c r="G42" s="438"/>
      <c r="H42" s="438"/>
      <c r="I42" s="441"/>
      <c r="J42" s="440"/>
      <c r="K42" s="441"/>
      <c r="L42" s="438"/>
      <c r="M42" s="441"/>
      <c r="N42" s="438"/>
      <c r="O42" s="441"/>
      <c r="P42" s="441"/>
      <c r="Q42" s="442"/>
      <c r="R42" s="438"/>
    </row>
    <row r="43" ht="15.75" hidden="1" customHeight="1">
      <c r="B43" s="434"/>
      <c r="D43" s="291"/>
      <c r="E43" s="450" t="s">
        <v>510</v>
      </c>
      <c r="F43" s="458"/>
      <c r="G43" s="438"/>
      <c r="H43" s="438"/>
      <c r="I43" s="441"/>
      <c r="J43" s="440"/>
      <c r="K43" s="441"/>
      <c r="L43" s="438"/>
      <c r="M43" s="441"/>
      <c r="N43" s="438"/>
      <c r="O43" s="441"/>
      <c r="P43" s="441"/>
      <c r="Q43" s="442"/>
      <c r="R43" s="438"/>
    </row>
    <row r="44" ht="15.75" hidden="1" customHeight="1">
      <c r="A44" s="327"/>
      <c r="B44" s="460"/>
      <c r="C44" s="464"/>
      <c r="D44" s="342"/>
      <c r="E44" s="450" t="s">
        <v>510</v>
      </c>
      <c r="F44" s="337">
        <v>60.0</v>
      </c>
      <c r="G44" s="301">
        <v>229.0</v>
      </c>
      <c r="H44" s="301">
        <v>229.0</v>
      </c>
      <c r="I44" s="455"/>
      <c r="J44" s="313">
        <v>22.0</v>
      </c>
      <c r="K44" s="467">
        <f t="shared" ref="K44:K68" si="11">J44/G44</f>
        <v>0.096069869</v>
      </c>
      <c r="L44" s="315">
        <f t="shared" ref="L44:L68" si="12">Q44-J44</f>
        <v>-22</v>
      </c>
      <c r="M44" s="316">
        <f t="shared" ref="M44:M68" si="13">Q44/J44-1</f>
        <v>-1</v>
      </c>
      <c r="N44" s="442"/>
      <c r="O44" s="454"/>
      <c r="P44" s="454"/>
      <c r="Q44" s="442"/>
      <c r="R44" s="443"/>
    </row>
    <row r="45" ht="15.75" hidden="1" customHeight="1">
      <c r="A45" s="327" t="s">
        <v>560</v>
      </c>
      <c r="B45" s="460"/>
      <c r="C45" s="464" t="s">
        <v>560</v>
      </c>
      <c r="D45" s="342"/>
      <c r="E45" s="450" t="s">
        <v>159</v>
      </c>
      <c r="F45" s="339">
        <v>180.0</v>
      </c>
      <c r="G45" s="301">
        <v>179.0</v>
      </c>
      <c r="H45" s="301">
        <v>149.0</v>
      </c>
      <c r="I45" s="312" t="str">
        <f>G45/R45</f>
        <v>#DIV/0!</v>
      </c>
      <c r="J45" s="313">
        <v>18.0</v>
      </c>
      <c r="K45" s="468">
        <f t="shared" si="11"/>
        <v>0.1005586592</v>
      </c>
      <c r="L45" s="315">
        <f t="shared" si="12"/>
        <v>-18</v>
      </c>
      <c r="M45" s="316">
        <f t="shared" si="13"/>
        <v>-1</v>
      </c>
      <c r="N45" s="452"/>
      <c r="O45" s="318" t="s">
        <v>112</v>
      </c>
      <c r="P45" s="318" t="s">
        <v>112</v>
      </c>
      <c r="Q45" s="442"/>
      <c r="R45" s="443"/>
    </row>
    <row r="46" ht="15.75" hidden="1" customHeight="1">
      <c r="B46" s="460"/>
      <c r="D46" s="342"/>
      <c r="E46" s="450" t="s">
        <v>160</v>
      </c>
      <c r="F46" s="469">
        <v>180.0</v>
      </c>
      <c r="G46" s="301">
        <v>179.0</v>
      </c>
      <c r="H46" s="301">
        <v>139.0</v>
      </c>
      <c r="I46" s="455"/>
      <c r="J46" s="313">
        <v>28.0</v>
      </c>
      <c r="K46" s="470">
        <f t="shared" si="11"/>
        <v>0.156424581</v>
      </c>
      <c r="L46" s="315">
        <f t="shared" si="12"/>
        <v>-28</v>
      </c>
      <c r="M46" s="316">
        <f t="shared" si="13"/>
        <v>-1</v>
      </c>
      <c r="N46" s="452"/>
      <c r="O46" s="454"/>
      <c r="P46" s="454"/>
      <c r="Q46" s="442"/>
      <c r="R46" s="443"/>
    </row>
    <row r="47" ht="15.75" customHeight="1">
      <c r="B47" s="460"/>
      <c r="D47" s="342"/>
      <c r="E47" s="450" t="s">
        <v>509</v>
      </c>
      <c r="F47" s="339">
        <v>180.0</v>
      </c>
      <c r="G47" s="301">
        <v>189.0</v>
      </c>
      <c r="H47" s="301">
        <v>179.0</v>
      </c>
      <c r="I47" s="455"/>
      <c r="J47" s="313">
        <v>22.0</v>
      </c>
      <c r="K47" s="466">
        <f t="shared" si="11"/>
        <v>0.1164021164</v>
      </c>
      <c r="L47" s="315">
        <f t="shared" si="12"/>
        <v>-22</v>
      </c>
      <c r="M47" s="316">
        <f t="shared" si="13"/>
        <v>-1</v>
      </c>
      <c r="N47" s="452"/>
      <c r="O47" s="454"/>
      <c r="P47" s="454"/>
      <c r="Q47" s="442"/>
      <c r="R47" s="443"/>
    </row>
    <row r="48" ht="15.75" hidden="1" customHeight="1">
      <c r="B48" s="460"/>
      <c r="D48" s="342"/>
      <c r="E48" s="450" t="s">
        <v>510</v>
      </c>
      <c r="F48" s="339">
        <v>180.0</v>
      </c>
      <c r="G48" s="301">
        <v>189.0</v>
      </c>
      <c r="H48" s="301">
        <v>159.0</v>
      </c>
      <c r="I48" s="455"/>
      <c r="J48" s="313">
        <v>20.0</v>
      </c>
      <c r="K48" s="471">
        <f t="shared" si="11"/>
        <v>0.1058201058</v>
      </c>
      <c r="L48" s="315">
        <f t="shared" si="12"/>
        <v>-20</v>
      </c>
      <c r="M48" s="316">
        <f t="shared" si="13"/>
        <v>-1</v>
      </c>
      <c r="N48" s="452"/>
      <c r="O48" s="454"/>
      <c r="P48" s="454"/>
      <c r="Q48" s="442"/>
      <c r="R48" s="443"/>
    </row>
    <row r="49" ht="15.75" hidden="1" customHeight="1">
      <c r="A49" s="327" t="s">
        <v>562</v>
      </c>
      <c r="B49" s="460"/>
      <c r="C49" s="464" t="s">
        <v>562</v>
      </c>
      <c r="D49" s="342"/>
      <c r="E49" s="450" t="s">
        <v>159</v>
      </c>
      <c r="F49" s="339">
        <v>340.0</v>
      </c>
      <c r="G49" s="301">
        <v>279.0</v>
      </c>
      <c r="H49" s="301">
        <v>249.0</v>
      </c>
      <c r="I49" s="312" t="str">
        <f>G49/R49</f>
        <v>#DIV/0!</v>
      </c>
      <c r="J49" s="313">
        <v>24.0</v>
      </c>
      <c r="K49" s="472">
        <f t="shared" si="11"/>
        <v>0.08602150538</v>
      </c>
      <c r="L49" s="315">
        <f t="shared" si="12"/>
        <v>-24</v>
      </c>
      <c r="M49" s="316">
        <f t="shared" si="13"/>
        <v>-1</v>
      </c>
      <c r="N49" s="452"/>
      <c r="O49" s="318" t="s">
        <v>112</v>
      </c>
      <c r="P49" s="318" t="s">
        <v>112</v>
      </c>
      <c r="Q49" s="442"/>
      <c r="R49" s="443"/>
    </row>
    <row r="50" ht="15.75" hidden="1" customHeight="1">
      <c r="B50" s="460"/>
      <c r="D50" s="342"/>
      <c r="E50" s="450" t="s">
        <v>160</v>
      </c>
      <c r="F50" s="469">
        <v>340.0</v>
      </c>
      <c r="G50" s="301">
        <v>279.0</v>
      </c>
      <c r="H50" s="301">
        <v>239.0</v>
      </c>
      <c r="I50" s="455"/>
      <c r="J50" s="313">
        <v>39.0</v>
      </c>
      <c r="K50" s="473">
        <f t="shared" si="11"/>
        <v>0.1397849462</v>
      </c>
      <c r="L50" s="315">
        <f t="shared" si="12"/>
        <v>-39</v>
      </c>
      <c r="M50" s="316">
        <f t="shared" si="13"/>
        <v>-1</v>
      </c>
      <c r="N50" s="452"/>
      <c r="O50" s="454"/>
      <c r="P50" s="454"/>
      <c r="Q50" s="442"/>
      <c r="R50" s="443"/>
    </row>
    <row r="51" ht="15.75" customHeight="1">
      <c r="B51" s="460"/>
      <c r="D51" s="342"/>
      <c r="E51" s="450" t="s">
        <v>509</v>
      </c>
      <c r="F51" s="339">
        <v>340.0</v>
      </c>
      <c r="G51" s="301">
        <v>289.0</v>
      </c>
      <c r="H51" s="301">
        <v>279.0</v>
      </c>
      <c r="I51" s="455"/>
      <c r="J51" s="313">
        <v>30.0</v>
      </c>
      <c r="K51" s="474">
        <f t="shared" si="11"/>
        <v>0.1038062284</v>
      </c>
      <c r="L51" s="315">
        <f t="shared" si="12"/>
        <v>-30</v>
      </c>
      <c r="M51" s="316">
        <f t="shared" si="13"/>
        <v>-1</v>
      </c>
      <c r="N51" s="452"/>
      <c r="O51" s="454"/>
      <c r="P51" s="454"/>
      <c r="Q51" s="442"/>
      <c r="R51" s="443"/>
    </row>
    <row r="52" ht="15.75" hidden="1" customHeight="1">
      <c r="B52" s="460"/>
      <c r="D52" s="342"/>
      <c r="E52" s="450" t="s">
        <v>510</v>
      </c>
      <c r="F52" s="339">
        <v>340.0</v>
      </c>
      <c r="G52" s="301">
        <v>289.0</v>
      </c>
      <c r="H52" s="301">
        <v>259.0</v>
      </c>
      <c r="I52" s="455"/>
      <c r="J52" s="313">
        <v>29.0</v>
      </c>
      <c r="K52" s="468">
        <f t="shared" si="11"/>
        <v>0.1003460208</v>
      </c>
      <c r="L52" s="315">
        <f t="shared" si="12"/>
        <v>-29</v>
      </c>
      <c r="M52" s="316">
        <f t="shared" si="13"/>
        <v>-1</v>
      </c>
      <c r="N52" s="452"/>
      <c r="O52" s="454"/>
      <c r="P52" s="454"/>
      <c r="Q52" s="442"/>
      <c r="R52" s="443"/>
    </row>
    <row r="53" ht="15.75" hidden="1" customHeight="1">
      <c r="A53" s="327" t="s">
        <v>568</v>
      </c>
      <c r="B53" s="460"/>
      <c r="C53" s="464" t="s">
        <v>568</v>
      </c>
      <c r="D53" s="342"/>
      <c r="E53" s="450" t="s">
        <v>159</v>
      </c>
      <c r="F53" s="339">
        <v>200.0</v>
      </c>
      <c r="G53" s="301">
        <v>239.0</v>
      </c>
      <c r="H53" s="301">
        <v>189.0</v>
      </c>
      <c r="I53" s="312" t="str">
        <f>G53/R53</f>
        <v>#DIV/0!</v>
      </c>
      <c r="J53" s="313">
        <v>37.0</v>
      </c>
      <c r="K53" s="475">
        <f t="shared" si="11"/>
        <v>0.1548117155</v>
      </c>
      <c r="L53" s="315">
        <f t="shared" si="12"/>
        <v>-37</v>
      </c>
      <c r="M53" s="316">
        <f t="shared" si="13"/>
        <v>-1</v>
      </c>
      <c r="N53" s="452"/>
      <c r="O53" s="318" t="s">
        <v>112</v>
      </c>
      <c r="P53" s="318" t="s">
        <v>112</v>
      </c>
      <c r="Q53" s="442"/>
      <c r="R53" s="443"/>
    </row>
    <row r="54" ht="15.75" hidden="1" customHeight="1">
      <c r="B54" s="460"/>
      <c r="D54" s="342"/>
      <c r="E54" s="450" t="s">
        <v>160</v>
      </c>
      <c r="F54" s="469">
        <v>200.0</v>
      </c>
      <c r="G54" s="301">
        <v>239.0</v>
      </c>
      <c r="H54" s="301">
        <v>169.0</v>
      </c>
      <c r="I54" s="455"/>
      <c r="J54" s="313">
        <v>45.0</v>
      </c>
      <c r="K54" s="476">
        <f t="shared" si="11"/>
        <v>0.1882845188</v>
      </c>
      <c r="L54" s="315">
        <f t="shared" si="12"/>
        <v>-45</v>
      </c>
      <c r="M54" s="316">
        <f t="shared" si="13"/>
        <v>-1</v>
      </c>
      <c r="N54" s="452"/>
      <c r="O54" s="454"/>
      <c r="P54" s="454"/>
      <c r="Q54" s="442"/>
      <c r="R54" s="443"/>
    </row>
    <row r="55" ht="15.75" customHeight="1">
      <c r="B55" s="460"/>
      <c r="D55" s="342"/>
      <c r="E55" s="450" t="s">
        <v>509</v>
      </c>
      <c r="F55" s="339">
        <v>200.0</v>
      </c>
      <c r="G55" s="301">
        <v>249.0</v>
      </c>
      <c r="H55" s="301">
        <v>219.0</v>
      </c>
      <c r="I55" s="455"/>
      <c r="J55" s="313">
        <v>42.0</v>
      </c>
      <c r="K55" s="477">
        <f t="shared" si="11"/>
        <v>0.1686746988</v>
      </c>
      <c r="L55" s="315">
        <f t="shared" si="12"/>
        <v>-42</v>
      </c>
      <c r="M55" s="316">
        <f t="shared" si="13"/>
        <v>-1</v>
      </c>
      <c r="N55" s="452"/>
      <c r="O55" s="454"/>
      <c r="P55" s="454"/>
      <c r="Q55" s="442"/>
      <c r="R55" s="443"/>
    </row>
    <row r="56" ht="15.75" hidden="1" customHeight="1">
      <c r="B56" s="460"/>
      <c r="D56" s="342"/>
      <c r="E56" s="450" t="s">
        <v>510</v>
      </c>
      <c r="F56" s="339">
        <v>200.0</v>
      </c>
      <c r="G56" s="301">
        <v>249.0</v>
      </c>
      <c r="H56" s="301">
        <v>199.0</v>
      </c>
      <c r="I56" s="455"/>
      <c r="J56" s="313">
        <v>39.0</v>
      </c>
      <c r="K56" s="478">
        <f t="shared" si="11"/>
        <v>0.156626506</v>
      </c>
      <c r="L56" s="315">
        <f t="shared" si="12"/>
        <v>-39</v>
      </c>
      <c r="M56" s="316">
        <f t="shared" si="13"/>
        <v>-1</v>
      </c>
      <c r="N56" s="452"/>
      <c r="O56" s="454"/>
      <c r="P56" s="454"/>
      <c r="Q56" s="442"/>
      <c r="R56" s="443"/>
    </row>
    <row r="57" ht="15.75" hidden="1" customHeight="1">
      <c r="A57" s="327" t="s">
        <v>570</v>
      </c>
      <c r="B57" s="460"/>
      <c r="C57" s="464" t="s">
        <v>570</v>
      </c>
      <c r="D57" s="342"/>
      <c r="E57" s="450" t="s">
        <v>159</v>
      </c>
      <c r="F57" s="339">
        <v>400.0</v>
      </c>
      <c r="G57" s="301">
        <v>359.0</v>
      </c>
      <c r="H57" s="301">
        <v>299.0</v>
      </c>
      <c r="I57" s="312" t="str">
        <f>G57/R57</f>
        <v>#DIV/0!</v>
      </c>
      <c r="J57" s="313">
        <v>54.0</v>
      </c>
      <c r="K57" s="479">
        <f t="shared" si="11"/>
        <v>0.1504178273</v>
      </c>
      <c r="L57" s="315">
        <f t="shared" si="12"/>
        <v>-54</v>
      </c>
      <c r="M57" s="316">
        <f t="shared" si="13"/>
        <v>-1</v>
      </c>
      <c r="N57" s="452"/>
      <c r="O57" s="318" t="s">
        <v>112</v>
      </c>
      <c r="P57" s="318" t="s">
        <v>112</v>
      </c>
      <c r="Q57" s="442"/>
      <c r="R57" s="443"/>
    </row>
    <row r="58" ht="15.75" hidden="1" customHeight="1">
      <c r="B58" s="460"/>
      <c r="D58" s="342"/>
      <c r="E58" s="450" t="s">
        <v>160</v>
      </c>
      <c r="F58" s="469">
        <v>400.0</v>
      </c>
      <c r="G58" s="301">
        <v>359.0</v>
      </c>
      <c r="H58" s="301">
        <v>289.0</v>
      </c>
      <c r="I58" s="455"/>
      <c r="J58" s="313">
        <v>67.0</v>
      </c>
      <c r="K58" s="480">
        <f t="shared" si="11"/>
        <v>0.1866295265</v>
      </c>
      <c r="L58" s="315">
        <f t="shared" si="12"/>
        <v>-67</v>
      </c>
      <c r="M58" s="316">
        <f t="shared" si="13"/>
        <v>-1</v>
      </c>
      <c r="N58" s="452"/>
      <c r="O58" s="454"/>
      <c r="P58" s="454"/>
      <c r="Q58" s="442"/>
      <c r="R58" s="443"/>
    </row>
    <row r="59" ht="15.75" customHeight="1">
      <c r="B59" s="460"/>
      <c r="D59" s="342"/>
      <c r="E59" s="450" t="s">
        <v>509</v>
      </c>
      <c r="F59" s="339">
        <v>400.0</v>
      </c>
      <c r="G59" s="301">
        <v>379.0</v>
      </c>
      <c r="H59" s="301">
        <v>349.0</v>
      </c>
      <c r="I59" s="455"/>
      <c r="J59" s="313">
        <v>62.0</v>
      </c>
      <c r="K59" s="481">
        <f t="shared" si="11"/>
        <v>0.1635883905</v>
      </c>
      <c r="L59" s="315">
        <f t="shared" si="12"/>
        <v>-62</v>
      </c>
      <c r="M59" s="316">
        <f t="shared" si="13"/>
        <v>-1</v>
      </c>
      <c r="N59" s="452"/>
      <c r="O59" s="454"/>
      <c r="P59" s="454"/>
      <c r="Q59" s="442"/>
      <c r="R59" s="443"/>
    </row>
    <row r="60" ht="15.75" hidden="1" customHeight="1">
      <c r="B60" s="460"/>
      <c r="D60" s="342"/>
      <c r="E60" s="450" t="s">
        <v>510</v>
      </c>
      <c r="F60" s="339">
        <v>400.0</v>
      </c>
      <c r="G60" s="301">
        <v>379.0</v>
      </c>
      <c r="H60" s="301">
        <v>329.0</v>
      </c>
      <c r="I60" s="455"/>
      <c r="J60" s="313">
        <v>58.0</v>
      </c>
      <c r="K60" s="482">
        <f t="shared" si="11"/>
        <v>0.1530343008</v>
      </c>
      <c r="L60" s="315">
        <f t="shared" si="12"/>
        <v>-58</v>
      </c>
      <c r="M60" s="316">
        <f t="shared" si="13"/>
        <v>-1</v>
      </c>
      <c r="N60" s="452"/>
      <c r="O60" s="454"/>
      <c r="P60" s="454"/>
      <c r="Q60" s="442"/>
      <c r="R60" s="443"/>
    </row>
    <row r="61" ht="15.75" hidden="1" customHeight="1">
      <c r="A61" s="327" t="s">
        <v>571</v>
      </c>
      <c r="B61" s="460"/>
      <c r="C61" s="464" t="s">
        <v>571</v>
      </c>
      <c r="D61" s="342"/>
      <c r="E61" s="450" t="s">
        <v>159</v>
      </c>
      <c r="F61" s="339">
        <v>200.0</v>
      </c>
      <c r="G61" s="301">
        <v>329.0</v>
      </c>
      <c r="H61" s="301">
        <v>289.0</v>
      </c>
      <c r="I61" s="312" t="str">
        <f>G61/R61</f>
        <v>#DIV/0!</v>
      </c>
      <c r="J61" s="313">
        <v>58.0</v>
      </c>
      <c r="K61" s="483">
        <f t="shared" si="11"/>
        <v>0.1762917933</v>
      </c>
      <c r="L61" s="315">
        <f t="shared" si="12"/>
        <v>-58</v>
      </c>
      <c r="M61" s="316">
        <f t="shared" si="13"/>
        <v>-1</v>
      </c>
      <c r="N61" s="452"/>
      <c r="O61" s="318" t="s">
        <v>112</v>
      </c>
      <c r="P61" s="318" t="s">
        <v>112</v>
      </c>
      <c r="Q61" s="442"/>
      <c r="R61" s="443"/>
    </row>
    <row r="62" ht="15.75" hidden="1" customHeight="1">
      <c r="B62" s="460"/>
      <c r="D62" s="342"/>
      <c r="E62" s="450" t="s">
        <v>160</v>
      </c>
      <c r="F62" s="469">
        <v>200.0</v>
      </c>
      <c r="G62" s="301">
        <v>329.0</v>
      </c>
      <c r="H62" s="301">
        <v>279.0</v>
      </c>
      <c r="I62" s="455"/>
      <c r="J62" s="313">
        <v>71.0</v>
      </c>
      <c r="K62" s="484">
        <f t="shared" si="11"/>
        <v>0.2158054711</v>
      </c>
      <c r="L62" s="315">
        <f t="shared" si="12"/>
        <v>-71</v>
      </c>
      <c r="M62" s="316">
        <f t="shared" si="13"/>
        <v>-1</v>
      </c>
      <c r="N62" s="452"/>
      <c r="O62" s="454"/>
      <c r="P62" s="454"/>
      <c r="Q62" s="442"/>
      <c r="R62" s="443"/>
    </row>
    <row r="63" ht="15.75" customHeight="1">
      <c r="B63" s="460"/>
      <c r="D63" s="342"/>
      <c r="E63" s="450" t="s">
        <v>509</v>
      </c>
      <c r="F63" s="339">
        <v>200.0</v>
      </c>
      <c r="G63" s="301">
        <v>349.0</v>
      </c>
      <c r="H63" s="301">
        <v>319.0</v>
      </c>
      <c r="I63" s="455"/>
      <c r="J63" s="313">
        <v>63.0</v>
      </c>
      <c r="K63" s="485">
        <f t="shared" si="11"/>
        <v>0.1805157593</v>
      </c>
      <c r="L63" s="315">
        <f t="shared" si="12"/>
        <v>-63</v>
      </c>
      <c r="M63" s="316">
        <f t="shared" si="13"/>
        <v>-1</v>
      </c>
      <c r="N63" s="452"/>
      <c r="O63" s="454"/>
      <c r="P63" s="454"/>
      <c r="Q63" s="442"/>
      <c r="R63" s="443"/>
    </row>
    <row r="64" ht="15.75" hidden="1" customHeight="1">
      <c r="B64" s="460"/>
      <c r="D64" s="342"/>
      <c r="E64" s="450" t="s">
        <v>510</v>
      </c>
      <c r="F64" s="339">
        <v>200.0</v>
      </c>
      <c r="G64" s="301">
        <v>349.0</v>
      </c>
      <c r="H64" s="301">
        <v>299.0</v>
      </c>
      <c r="I64" s="455"/>
      <c r="J64" s="313">
        <v>61.0</v>
      </c>
      <c r="K64" s="316">
        <f t="shared" si="11"/>
        <v>0.1747851003</v>
      </c>
      <c r="L64" s="315">
        <f t="shared" si="12"/>
        <v>-61</v>
      </c>
      <c r="M64" s="316">
        <f t="shared" si="13"/>
        <v>-1</v>
      </c>
      <c r="N64" s="452"/>
      <c r="O64" s="454"/>
      <c r="P64" s="454"/>
      <c r="Q64" s="442"/>
      <c r="R64" s="443"/>
    </row>
    <row r="65" ht="15.75" hidden="1" customHeight="1">
      <c r="A65" s="327" t="s">
        <v>573</v>
      </c>
      <c r="B65" s="460"/>
      <c r="C65" s="464" t="s">
        <v>573</v>
      </c>
      <c r="D65" s="342"/>
      <c r="E65" s="450" t="s">
        <v>159</v>
      </c>
      <c r="F65" s="339">
        <v>400.0</v>
      </c>
      <c r="G65" s="311">
        <v>469.0</v>
      </c>
      <c r="H65" s="311">
        <v>439.0</v>
      </c>
      <c r="I65" s="312" t="str">
        <f>G65/R65</f>
        <v>#DIV/0!</v>
      </c>
      <c r="J65" s="313">
        <v>100.0</v>
      </c>
      <c r="K65" s="486">
        <f t="shared" si="11"/>
        <v>0.2132196162</v>
      </c>
      <c r="L65" s="315">
        <f t="shared" si="12"/>
        <v>-100</v>
      </c>
      <c r="M65" s="316">
        <f t="shared" si="13"/>
        <v>-1</v>
      </c>
      <c r="N65" s="452"/>
      <c r="O65" s="318" t="s">
        <v>112</v>
      </c>
      <c r="P65" s="318" t="s">
        <v>112</v>
      </c>
      <c r="Q65" s="442"/>
      <c r="R65" s="443"/>
    </row>
    <row r="66" ht="15.75" hidden="1" customHeight="1">
      <c r="B66" s="460"/>
      <c r="D66" s="342"/>
      <c r="E66" s="450" t="s">
        <v>160</v>
      </c>
      <c r="F66" s="469">
        <v>400.0</v>
      </c>
      <c r="G66" s="311">
        <v>469.0</v>
      </c>
      <c r="H66" s="311">
        <v>429.0</v>
      </c>
      <c r="I66" s="455"/>
      <c r="J66" s="313">
        <v>123.0</v>
      </c>
      <c r="K66" s="487">
        <f t="shared" si="11"/>
        <v>0.2622601279</v>
      </c>
      <c r="L66" s="315">
        <f t="shared" si="12"/>
        <v>-123</v>
      </c>
      <c r="M66" s="316">
        <f t="shared" si="13"/>
        <v>-1</v>
      </c>
      <c r="N66" s="452"/>
      <c r="O66" s="454"/>
      <c r="P66" s="454"/>
      <c r="Q66" s="442"/>
      <c r="R66" s="443"/>
    </row>
    <row r="67" ht="15.75" customHeight="1">
      <c r="B67" s="460"/>
      <c r="D67" s="342"/>
      <c r="E67" s="450" t="s">
        <v>509</v>
      </c>
      <c r="F67" s="339">
        <v>400.0</v>
      </c>
      <c r="G67" s="311">
        <v>489.0</v>
      </c>
      <c r="H67" s="311">
        <v>469.0</v>
      </c>
      <c r="I67" s="455"/>
      <c r="J67" s="313">
        <v>108.0</v>
      </c>
      <c r="K67" s="488">
        <f t="shared" si="11"/>
        <v>0.2208588957</v>
      </c>
      <c r="L67" s="315">
        <f t="shared" si="12"/>
        <v>-108</v>
      </c>
      <c r="M67" s="316">
        <f t="shared" si="13"/>
        <v>-1</v>
      </c>
      <c r="N67" s="452"/>
      <c r="O67" s="454"/>
      <c r="P67" s="454"/>
      <c r="Q67" s="442"/>
      <c r="R67" s="443"/>
    </row>
    <row r="68" ht="15.75" hidden="1" customHeight="1">
      <c r="B68" s="460"/>
      <c r="D68" s="342"/>
      <c r="E68" s="450" t="s">
        <v>510</v>
      </c>
      <c r="F68" s="339">
        <v>400.0</v>
      </c>
      <c r="G68" s="311">
        <v>489.0</v>
      </c>
      <c r="H68" s="311">
        <v>449.0</v>
      </c>
      <c r="I68" s="455"/>
      <c r="J68" s="313">
        <v>106.0</v>
      </c>
      <c r="K68" s="489">
        <f t="shared" si="11"/>
        <v>0.2167689162</v>
      </c>
      <c r="L68" s="315">
        <f t="shared" si="12"/>
        <v>-106</v>
      </c>
      <c r="M68" s="316">
        <f t="shared" si="13"/>
        <v>-1</v>
      </c>
      <c r="N68" s="452"/>
      <c r="O68" s="454"/>
      <c r="P68" s="454"/>
      <c r="Q68" s="442"/>
      <c r="R68" s="443"/>
    </row>
    <row r="69" ht="15.75" hidden="1" customHeight="1">
      <c r="A69" s="288" t="s">
        <v>584</v>
      </c>
      <c r="B69" s="434"/>
      <c r="C69" s="446" t="s">
        <v>954</v>
      </c>
      <c r="D69" s="291"/>
      <c r="E69" s="450" t="s">
        <v>159</v>
      </c>
      <c r="F69" s="458"/>
      <c r="G69" s="438"/>
      <c r="H69" s="438"/>
      <c r="I69" s="441"/>
      <c r="J69" s="440"/>
      <c r="K69" s="441"/>
      <c r="L69" s="438"/>
      <c r="M69" s="441"/>
      <c r="N69" s="438"/>
      <c r="O69" s="435"/>
      <c r="P69" s="435"/>
      <c r="Q69" s="442"/>
      <c r="R69" s="438"/>
    </row>
    <row r="70" ht="15.75" hidden="1" customHeight="1">
      <c r="B70" s="434"/>
      <c r="D70" s="291"/>
      <c r="E70" s="450" t="s">
        <v>160</v>
      </c>
      <c r="F70" s="459"/>
      <c r="G70" s="438"/>
      <c r="H70" s="438"/>
      <c r="I70" s="441"/>
      <c r="J70" s="440"/>
      <c r="K70" s="441"/>
      <c r="L70" s="438"/>
      <c r="M70" s="441"/>
      <c r="N70" s="438"/>
      <c r="O70" s="435"/>
      <c r="P70" s="435"/>
      <c r="Q70" s="442"/>
      <c r="R70" s="438"/>
    </row>
    <row r="71" ht="15.75" customHeight="1">
      <c r="B71" s="434"/>
      <c r="D71" s="291"/>
      <c r="E71" s="450" t="s">
        <v>509</v>
      </c>
      <c r="F71" s="458"/>
      <c r="G71" s="438"/>
      <c r="H71" s="438"/>
      <c r="I71" s="441"/>
      <c r="J71" s="440"/>
      <c r="K71" s="441"/>
      <c r="L71" s="438"/>
      <c r="M71" s="441"/>
      <c r="N71" s="438"/>
      <c r="O71" s="435"/>
      <c r="P71" s="435"/>
      <c r="Q71" s="442"/>
      <c r="R71" s="438"/>
    </row>
    <row r="72" ht="15.75" hidden="1" customHeight="1">
      <c r="B72" s="434"/>
      <c r="D72" s="291"/>
      <c r="E72" s="450" t="s">
        <v>510</v>
      </c>
      <c r="F72" s="458"/>
      <c r="G72" s="438"/>
      <c r="H72" s="438"/>
      <c r="I72" s="441"/>
      <c r="J72" s="440"/>
      <c r="K72" s="441"/>
      <c r="L72" s="438"/>
      <c r="M72" s="441"/>
      <c r="N72" s="438"/>
      <c r="O72" s="435"/>
      <c r="P72" s="435"/>
      <c r="Q72" s="442"/>
      <c r="R72" s="438"/>
    </row>
    <row r="73" ht="15.75" hidden="1" customHeight="1">
      <c r="A73" s="327" t="s">
        <v>591</v>
      </c>
      <c r="B73" s="327" t="s">
        <v>590</v>
      </c>
      <c r="C73" s="464" t="s">
        <v>591</v>
      </c>
      <c r="D73" s="327" t="s">
        <v>590</v>
      </c>
      <c r="E73" s="490" t="s">
        <v>159</v>
      </c>
      <c r="F73" s="337">
        <v>700.0</v>
      </c>
      <c r="G73" s="341">
        <v>499.0</v>
      </c>
      <c r="H73" s="341">
        <v>229.0</v>
      </c>
      <c r="I73" s="286" t="str">
        <f>G73/R73</f>
        <v>#DIV/0!</v>
      </c>
      <c r="J73" s="335">
        <v>59.0</v>
      </c>
      <c r="K73" s="332">
        <f t="shared" ref="K73:K84" si="14">J73/G73</f>
        <v>0.1182364729</v>
      </c>
      <c r="L73" s="319">
        <f t="shared" ref="L73:L84" si="15">Q73-J73</f>
        <v>-59</v>
      </c>
      <c r="M73" s="332">
        <f t="shared" ref="M73:M84" si="16">Q73/J73-1</f>
        <v>-1</v>
      </c>
      <c r="N73" s="331">
        <v>259.0</v>
      </c>
      <c r="O73" s="491"/>
      <c r="P73" s="285" t="s">
        <v>111</v>
      </c>
      <c r="Q73" s="442"/>
      <c r="R73" s="442"/>
      <c r="S73" s="57"/>
      <c r="T73" s="57"/>
      <c r="U73" s="57"/>
      <c r="V73" s="57"/>
      <c r="W73" s="57"/>
      <c r="X73" s="57"/>
      <c r="Y73" s="57"/>
    </row>
    <row r="74" ht="15.75" hidden="1" customHeight="1">
      <c r="E74" s="490" t="s">
        <v>160</v>
      </c>
      <c r="F74" s="492">
        <v>700.0</v>
      </c>
      <c r="G74" s="341">
        <v>499.0</v>
      </c>
      <c r="H74" s="442"/>
      <c r="I74" s="462"/>
      <c r="J74" s="335">
        <v>59.0</v>
      </c>
      <c r="K74" s="332">
        <f t="shared" si="14"/>
        <v>0.1182364729</v>
      </c>
      <c r="L74" s="319">
        <f t="shared" si="15"/>
        <v>-59</v>
      </c>
      <c r="M74" s="332">
        <f t="shared" si="16"/>
        <v>-1</v>
      </c>
      <c r="N74" s="442"/>
      <c r="O74" s="491"/>
      <c r="P74" s="491"/>
      <c r="Q74" s="442"/>
      <c r="R74" s="442"/>
      <c r="S74" s="57"/>
      <c r="T74" s="57"/>
      <c r="U74" s="57"/>
      <c r="V74" s="57"/>
      <c r="W74" s="57"/>
      <c r="X74" s="57"/>
      <c r="Y74" s="57"/>
    </row>
    <row r="75" ht="15.75" customHeight="1">
      <c r="E75" s="490" t="s">
        <v>509</v>
      </c>
      <c r="F75" s="337">
        <v>700.0</v>
      </c>
      <c r="G75" s="341">
        <v>549.0</v>
      </c>
      <c r="H75" s="442"/>
      <c r="I75" s="462"/>
      <c r="J75" s="335">
        <v>59.0</v>
      </c>
      <c r="K75" s="332">
        <f t="shared" si="14"/>
        <v>0.1074681239</v>
      </c>
      <c r="L75" s="319">
        <f t="shared" si="15"/>
        <v>-59</v>
      </c>
      <c r="M75" s="332">
        <f t="shared" si="16"/>
        <v>-1</v>
      </c>
      <c r="N75" s="442"/>
      <c r="O75" s="491"/>
      <c r="P75" s="491"/>
      <c r="Q75" s="442"/>
      <c r="R75" s="442"/>
      <c r="S75" s="57"/>
      <c r="T75" s="57"/>
      <c r="U75" s="57"/>
      <c r="V75" s="57"/>
      <c r="W75" s="57"/>
      <c r="X75" s="57"/>
      <c r="Y75" s="57"/>
    </row>
    <row r="76" ht="15.75" hidden="1" customHeight="1">
      <c r="E76" s="490" t="s">
        <v>510</v>
      </c>
      <c r="F76" s="337">
        <v>700.0</v>
      </c>
      <c r="G76" s="341">
        <v>549.0</v>
      </c>
      <c r="H76" s="442"/>
      <c r="I76" s="462"/>
      <c r="J76" s="335">
        <v>59.0</v>
      </c>
      <c r="K76" s="332">
        <f t="shared" si="14"/>
        <v>0.1074681239</v>
      </c>
      <c r="L76" s="319">
        <f t="shared" si="15"/>
        <v>-59</v>
      </c>
      <c r="M76" s="332">
        <f t="shared" si="16"/>
        <v>-1</v>
      </c>
      <c r="N76" s="442"/>
      <c r="O76" s="491"/>
      <c r="P76" s="491"/>
      <c r="Q76" s="442"/>
      <c r="R76" s="442"/>
      <c r="S76" s="57"/>
      <c r="T76" s="57"/>
      <c r="U76" s="57"/>
      <c r="V76" s="57"/>
      <c r="W76" s="57"/>
      <c r="X76" s="57"/>
      <c r="Y76" s="57"/>
    </row>
    <row r="77" ht="15.75" hidden="1" customHeight="1">
      <c r="A77" s="327" t="s">
        <v>597</v>
      </c>
      <c r="B77" s="327" t="s">
        <v>596</v>
      </c>
      <c r="C77" s="464" t="s">
        <v>597</v>
      </c>
      <c r="D77" s="327" t="s">
        <v>596</v>
      </c>
      <c r="E77" s="490" t="s">
        <v>159</v>
      </c>
      <c r="F77" s="337">
        <v>700.0</v>
      </c>
      <c r="G77" s="341">
        <v>499.0</v>
      </c>
      <c r="H77" s="341">
        <v>229.0</v>
      </c>
      <c r="I77" s="286" t="str">
        <f>G77/R77</f>
        <v>#DIV/0!</v>
      </c>
      <c r="J77" s="335">
        <v>53.0</v>
      </c>
      <c r="K77" s="332">
        <f t="shared" si="14"/>
        <v>0.1062124248</v>
      </c>
      <c r="L77" s="319">
        <f t="shared" si="15"/>
        <v>-53</v>
      </c>
      <c r="M77" s="332">
        <f t="shared" si="16"/>
        <v>-1</v>
      </c>
      <c r="N77" s="331">
        <v>259.0</v>
      </c>
      <c r="O77" s="285" t="s">
        <v>112</v>
      </c>
      <c r="P77" s="285" t="s">
        <v>111</v>
      </c>
      <c r="Q77" s="442"/>
      <c r="R77" s="442"/>
      <c r="S77" s="57"/>
      <c r="T77" s="57"/>
      <c r="U77" s="57"/>
      <c r="V77" s="57"/>
      <c r="W77" s="57"/>
      <c r="X77" s="57"/>
      <c r="Y77" s="57"/>
    </row>
    <row r="78" ht="15.75" hidden="1" customHeight="1">
      <c r="E78" s="490" t="s">
        <v>160</v>
      </c>
      <c r="F78" s="492">
        <v>700.0</v>
      </c>
      <c r="G78" s="341">
        <v>499.0</v>
      </c>
      <c r="H78" s="442"/>
      <c r="I78" s="462"/>
      <c r="J78" s="335">
        <v>53.0</v>
      </c>
      <c r="K78" s="332">
        <f t="shared" si="14"/>
        <v>0.1062124248</v>
      </c>
      <c r="L78" s="319">
        <f t="shared" si="15"/>
        <v>-53</v>
      </c>
      <c r="M78" s="332">
        <f t="shared" si="16"/>
        <v>-1</v>
      </c>
      <c r="N78" s="442"/>
      <c r="O78" s="491"/>
      <c r="P78" s="491"/>
      <c r="Q78" s="442"/>
      <c r="R78" s="442"/>
      <c r="S78" s="57"/>
      <c r="T78" s="57"/>
      <c r="U78" s="57"/>
      <c r="V78" s="57"/>
      <c r="W78" s="57"/>
      <c r="X78" s="57"/>
      <c r="Y78" s="57"/>
    </row>
    <row r="79" ht="15.75" customHeight="1">
      <c r="E79" s="490" t="s">
        <v>509</v>
      </c>
      <c r="F79" s="337">
        <v>700.0</v>
      </c>
      <c r="G79" s="341">
        <v>549.0</v>
      </c>
      <c r="H79" s="442"/>
      <c r="I79" s="462"/>
      <c r="J79" s="335">
        <v>53.0</v>
      </c>
      <c r="K79" s="332">
        <f t="shared" si="14"/>
        <v>0.09653916211</v>
      </c>
      <c r="L79" s="319">
        <f t="shared" si="15"/>
        <v>-53</v>
      </c>
      <c r="M79" s="332">
        <f t="shared" si="16"/>
        <v>-1</v>
      </c>
      <c r="N79" s="442"/>
      <c r="O79" s="491"/>
      <c r="P79" s="491"/>
      <c r="Q79" s="442"/>
      <c r="R79" s="442"/>
      <c r="S79" s="57"/>
      <c r="T79" s="57"/>
      <c r="U79" s="57"/>
      <c r="V79" s="57"/>
      <c r="W79" s="57"/>
      <c r="X79" s="57"/>
      <c r="Y79" s="57"/>
    </row>
    <row r="80" ht="15.75" hidden="1" customHeight="1">
      <c r="E80" s="490" t="s">
        <v>510</v>
      </c>
      <c r="F80" s="337">
        <v>700.0</v>
      </c>
      <c r="G80" s="341">
        <v>549.0</v>
      </c>
      <c r="H80" s="442"/>
      <c r="I80" s="462"/>
      <c r="J80" s="335">
        <v>53.0</v>
      </c>
      <c r="K80" s="332">
        <f t="shared" si="14"/>
        <v>0.09653916211</v>
      </c>
      <c r="L80" s="319">
        <f t="shared" si="15"/>
        <v>-53</v>
      </c>
      <c r="M80" s="332">
        <f t="shared" si="16"/>
        <v>-1</v>
      </c>
      <c r="N80" s="442"/>
      <c r="O80" s="491"/>
      <c r="P80" s="491"/>
      <c r="Q80" s="442"/>
      <c r="R80" s="442"/>
      <c r="S80" s="57"/>
      <c r="T80" s="57"/>
      <c r="U80" s="57"/>
      <c r="V80" s="57"/>
      <c r="W80" s="57"/>
      <c r="X80" s="57"/>
      <c r="Y80" s="57"/>
    </row>
    <row r="81" ht="15.75" hidden="1" customHeight="1">
      <c r="A81" s="327" t="s">
        <v>598</v>
      </c>
      <c r="B81" s="327" t="s">
        <v>955</v>
      </c>
      <c r="C81" s="464" t="s">
        <v>598</v>
      </c>
      <c r="D81" s="327" t="s">
        <v>955</v>
      </c>
      <c r="E81" s="490" t="s">
        <v>159</v>
      </c>
      <c r="F81" s="339">
        <v>700.0</v>
      </c>
      <c r="G81" s="334">
        <v>499.0</v>
      </c>
      <c r="H81" s="334">
        <v>399.0</v>
      </c>
      <c r="I81" s="286" t="str">
        <f>G81/R81</f>
        <v>#DIV/0!</v>
      </c>
      <c r="J81" s="335">
        <v>43.0</v>
      </c>
      <c r="K81" s="332">
        <f t="shared" si="14"/>
        <v>0.08617234469</v>
      </c>
      <c r="L81" s="319">
        <f t="shared" si="15"/>
        <v>-43</v>
      </c>
      <c r="M81" s="332">
        <f t="shared" si="16"/>
        <v>-1</v>
      </c>
      <c r="N81" s="442"/>
      <c r="O81" s="491"/>
      <c r="P81" s="491"/>
      <c r="Q81" s="442"/>
      <c r="R81" s="442"/>
      <c r="S81" s="57"/>
      <c r="T81" s="57"/>
      <c r="U81" s="57"/>
      <c r="V81" s="57"/>
      <c r="W81" s="57"/>
      <c r="X81" s="57"/>
      <c r="Y81" s="57"/>
    </row>
    <row r="82" ht="15.75" hidden="1" customHeight="1">
      <c r="E82" s="490" t="s">
        <v>160</v>
      </c>
      <c r="F82" s="469">
        <v>700.0</v>
      </c>
      <c r="G82" s="334">
        <v>499.0</v>
      </c>
      <c r="H82" s="442"/>
      <c r="I82" s="462"/>
      <c r="J82" s="335">
        <v>43.0</v>
      </c>
      <c r="K82" s="332">
        <f t="shared" si="14"/>
        <v>0.08617234469</v>
      </c>
      <c r="L82" s="319">
        <f t="shared" si="15"/>
        <v>-43</v>
      </c>
      <c r="M82" s="332">
        <f t="shared" si="16"/>
        <v>-1</v>
      </c>
      <c r="N82" s="442"/>
      <c r="O82" s="491"/>
      <c r="P82" s="491"/>
      <c r="Q82" s="442"/>
      <c r="R82" s="442"/>
      <c r="S82" s="57"/>
      <c r="T82" s="57"/>
      <c r="U82" s="57"/>
      <c r="V82" s="57"/>
      <c r="W82" s="57"/>
      <c r="X82" s="57"/>
      <c r="Y82" s="57"/>
    </row>
    <row r="83" ht="15.75" customHeight="1">
      <c r="E83" s="490" t="s">
        <v>509</v>
      </c>
      <c r="F83" s="339">
        <v>700.0</v>
      </c>
      <c r="G83" s="334">
        <v>549.0</v>
      </c>
      <c r="H83" s="442"/>
      <c r="I83" s="462"/>
      <c r="J83" s="335">
        <v>43.0</v>
      </c>
      <c r="K83" s="332">
        <f t="shared" si="14"/>
        <v>0.07832422587</v>
      </c>
      <c r="L83" s="319">
        <f t="shared" si="15"/>
        <v>-43</v>
      </c>
      <c r="M83" s="332">
        <f t="shared" si="16"/>
        <v>-1</v>
      </c>
      <c r="N83" s="442"/>
      <c r="O83" s="491"/>
      <c r="P83" s="491"/>
      <c r="Q83" s="442"/>
      <c r="R83" s="442"/>
      <c r="S83" s="57"/>
      <c r="T83" s="57"/>
      <c r="U83" s="57"/>
      <c r="V83" s="57"/>
      <c r="W83" s="57"/>
      <c r="X83" s="57"/>
      <c r="Y83" s="57"/>
    </row>
    <row r="84" ht="15.75" hidden="1" customHeight="1">
      <c r="E84" s="490" t="s">
        <v>510</v>
      </c>
      <c r="F84" s="339">
        <v>700.0</v>
      </c>
      <c r="G84" s="334">
        <v>549.0</v>
      </c>
      <c r="H84" s="442"/>
      <c r="I84" s="462"/>
      <c r="J84" s="335">
        <v>43.0</v>
      </c>
      <c r="K84" s="332">
        <f t="shared" si="14"/>
        <v>0.07832422587</v>
      </c>
      <c r="L84" s="319">
        <f t="shared" si="15"/>
        <v>-43</v>
      </c>
      <c r="M84" s="332">
        <f t="shared" si="16"/>
        <v>-1</v>
      </c>
      <c r="N84" s="442"/>
      <c r="O84" s="491"/>
      <c r="P84" s="491"/>
      <c r="Q84" s="442"/>
      <c r="R84" s="442"/>
      <c r="S84" s="57"/>
      <c r="T84" s="57"/>
      <c r="U84" s="57"/>
      <c r="V84" s="57"/>
      <c r="W84" s="57"/>
      <c r="X84" s="57"/>
      <c r="Y84" s="57"/>
    </row>
    <row r="85" ht="15.75" hidden="1" customHeight="1">
      <c r="A85" s="288" t="s">
        <v>612</v>
      </c>
      <c r="B85" s="434"/>
      <c r="C85" s="446" t="s">
        <v>612</v>
      </c>
      <c r="D85" s="291"/>
      <c r="E85" s="450" t="s">
        <v>159</v>
      </c>
      <c r="F85" s="458"/>
      <c r="G85" s="438"/>
      <c r="H85" s="438"/>
      <c r="I85" s="441"/>
      <c r="J85" s="440"/>
      <c r="K85" s="441"/>
      <c r="L85" s="438"/>
      <c r="M85" s="441"/>
      <c r="N85" s="438"/>
      <c r="O85" s="435"/>
      <c r="P85" s="435"/>
      <c r="Q85" s="442"/>
      <c r="R85" s="438"/>
    </row>
    <row r="86" ht="15.75" hidden="1" customHeight="1">
      <c r="B86" s="434"/>
      <c r="D86" s="291"/>
      <c r="E86" s="450" t="s">
        <v>160</v>
      </c>
      <c r="F86" s="459"/>
      <c r="G86" s="438"/>
      <c r="H86" s="438"/>
      <c r="I86" s="441"/>
      <c r="J86" s="440"/>
      <c r="K86" s="441"/>
      <c r="L86" s="438"/>
      <c r="M86" s="441"/>
      <c r="N86" s="438"/>
      <c r="O86" s="435"/>
      <c r="P86" s="435"/>
      <c r="Q86" s="442"/>
      <c r="R86" s="438"/>
    </row>
    <row r="87" ht="15.75" customHeight="1">
      <c r="B87" s="434"/>
      <c r="D87" s="291"/>
      <c r="E87" s="450" t="s">
        <v>509</v>
      </c>
      <c r="F87" s="458"/>
      <c r="G87" s="438"/>
      <c r="H87" s="438"/>
      <c r="I87" s="441"/>
      <c r="J87" s="440"/>
      <c r="K87" s="441"/>
      <c r="L87" s="438"/>
      <c r="M87" s="441"/>
      <c r="N87" s="438"/>
      <c r="O87" s="435"/>
      <c r="P87" s="435"/>
      <c r="Q87" s="442"/>
      <c r="R87" s="438"/>
    </row>
    <row r="88" ht="15.75" hidden="1" customHeight="1">
      <c r="B88" s="434"/>
      <c r="D88" s="291"/>
      <c r="E88" s="450" t="s">
        <v>510</v>
      </c>
      <c r="F88" s="458"/>
      <c r="G88" s="438"/>
      <c r="H88" s="438"/>
      <c r="I88" s="441"/>
      <c r="J88" s="440"/>
      <c r="K88" s="441"/>
      <c r="L88" s="438"/>
      <c r="M88" s="441"/>
      <c r="N88" s="438"/>
      <c r="O88" s="435"/>
      <c r="P88" s="435"/>
      <c r="Q88" s="442"/>
      <c r="R88" s="438"/>
    </row>
    <row r="89" ht="15.75" hidden="1" customHeight="1">
      <c r="A89" s="327" t="s">
        <v>613</v>
      </c>
      <c r="B89" s="460"/>
      <c r="C89" s="464" t="s">
        <v>613</v>
      </c>
      <c r="D89" s="342" t="s">
        <v>614</v>
      </c>
      <c r="E89" s="450" t="s">
        <v>159</v>
      </c>
      <c r="F89" s="339">
        <v>250.0</v>
      </c>
      <c r="G89" s="301">
        <v>259.0</v>
      </c>
      <c r="H89" s="301">
        <v>239.0</v>
      </c>
      <c r="I89" s="312" t="str">
        <f>G89/R89</f>
        <v>#DIV/0!</v>
      </c>
      <c r="J89" s="313">
        <v>60.0</v>
      </c>
      <c r="K89" s="493">
        <f t="shared" ref="K89:K124" si="17">J89/G89</f>
        <v>0.2316602317</v>
      </c>
      <c r="L89" s="315">
        <f t="shared" ref="L89:L124" si="18">Q89-J89</f>
        <v>-60</v>
      </c>
      <c r="M89" s="316">
        <f t="shared" ref="M89:M124" si="19">Q89/J89-1</f>
        <v>-1</v>
      </c>
      <c r="N89" s="331">
        <v>259.0</v>
      </c>
      <c r="O89" s="343" t="s">
        <v>111</v>
      </c>
      <c r="P89" s="343" t="s">
        <v>111</v>
      </c>
      <c r="Q89" s="442"/>
      <c r="R89" s="443"/>
    </row>
    <row r="90" ht="15.75" hidden="1" customHeight="1">
      <c r="B90" s="460"/>
      <c r="D90" s="305"/>
      <c r="E90" s="450" t="s">
        <v>160</v>
      </c>
      <c r="F90" s="492">
        <v>250.0</v>
      </c>
      <c r="G90" s="301">
        <v>259.0</v>
      </c>
      <c r="H90" s="443"/>
      <c r="I90" s="455"/>
      <c r="J90" s="313">
        <v>60.0</v>
      </c>
      <c r="K90" s="493">
        <f t="shared" si="17"/>
        <v>0.2316602317</v>
      </c>
      <c r="L90" s="315">
        <f t="shared" si="18"/>
        <v>-60</v>
      </c>
      <c r="M90" s="316">
        <f t="shared" si="19"/>
        <v>-1</v>
      </c>
      <c r="N90" s="442"/>
      <c r="O90" s="494"/>
      <c r="P90" s="454"/>
      <c r="Q90" s="442"/>
      <c r="R90" s="443"/>
    </row>
    <row r="91" ht="15.75" customHeight="1">
      <c r="B91" s="460"/>
      <c r="D91" s="305"/>
      <c r="E91" s="450" t="s">
        <v>509</v>
      </c>
      <c r="F91" s="492">
        <v>250.0</v>
      </c>
      <c r="G91" s="301">
        <v>279.0</v>
      </c>
      <c r="H91" s="443"/>
      <c r="I91" s="455"/>
      <c r="J91" s="313">
        <v>61.0</v>
      </c>
      <c r="K91" s="495">
        <f t="shared" si="17"/>
        <v>0.2186379928</v>
      </c>
      <c r="L91" s="315">
        <f t="shared" si="18"/>
        <v>-61</v>
      </c>
      <c r="M91" s="316">
        <f t="shared" si="19"/>
        <v>-1</v>
      </c>
      <c r="N91" s="442"/>
      <c r="O91" s="494"/>
      <c r="P91" s="454"/>
      <c r="Q91" s="442"/>
      <c r="R91" s="443"/>
    </row>
    <row r="92" ht="15.75" hidden="1" customHeight="1">
      <c r="B92" s="460"/>
      <c r="D92" s="305"/>
      <c r="E92" s="450" t="s">
        <v>510</v>
      </c>
      <c r="F92" s="492">
        <v>250.0</v>
      </c>
      <c r="G92" s="301">
        <v>279.0</v>
      </c>
      <c r="H92" s="443"/>
      <c r="I92" s="455"/>
      <c r="J92" s="313">
        <v>60.0</v>
      </c>
      <c r="K92" s="496">
        <f t="shared" si="17"/>
        <v>0.2150537634</v>
      </c>
      <c r="L92" s="315">
        <f t="shared" si="18"/>
        <v>-60</v>
      </c>
      <c r="M92" s="316">
        <f t="shared" si="19"/>
        <v>-1</v>
      </c>
      <c r="N92" s="442"/>
      <c r="O92" s="494"/>
      <c r="P92" s="454"/>
      <c r="Q92" s="442"/>
      <c r="R92" s="443"/>
    </row>
    <row r="93" ht="15.75" hidden="1" customHeight="1">
      <c r="A93" s="327" t="s">
        <v>613</v>
      </c>
      <c r="B93" s="460"/>
      <c r="C93" s="464" t="s">
        <v>613</v>
      </c>
      <c r="D93" s="336" t="s">
        <v>615</v>
      </c>
      <c r="E93" s="450" t="s">
        <v>159</v>
      </c>
      <c r="F93" s="339">
        <v>500.0</v>
      </c>
      <c r="G93" s="311">
        <v>279.0</v>
      </c>
      <c r="H93" s="311">
        <v>259.0</v>
      </c>
      <c r="I93" s="312" t="str">
        <f>G93/R93</f>
        <v>#DIV/0!</v>
      </c>
      <c r="J93" s="313">
        <v>58.0</v>
      </c>
      <c r="K93" s="497">
        <f t="shared" si="17"/>
        <v>0.2078853047</v>
      </c>
      <c r="L93" s="315">
        <f t="shared" si="18"/>
        <v>-58</v>
      </c>
      <c r="M93" s="316">
        <f t="shared" si="19"/>
        <v>-1</v>
      </c>
      <c r="N93" s="331">
        <v>279.0</v>
      </c>
      <c r="O93" s="318" t="s">
        <v>112</v>
      </c>
      <c r="P93" s="343" t="s">
        <v>111</v>
      </c>
      <c r="Q93" s="442"/>
      <c r="R93" s="443"/>
    </row>
    <row r="94" ht="15.75" hidden="1" customHeight="1">
      <c r="B94" s="460"/>
      <c r="D94" s="305"/>
      <c r="E94" s="450" t="s">
        <v>160</v>
      </c>
      <c r="F94" s="492">
        <v>500.0</v>
      </c>
      <c r="G94" s="311">
        <v>279.0</v>
      </c>
      <c r="H94" s="443"/>
      <c r="I94" s="455"/>
      <c r="J94" s="313">
        <v>65.0</v>
      </c>
      <c r="K94" s="498">
        <f t="shared" si="17"/>
        <v>0.2329749104</v>
      </c>
      <c r="L94" s="315">
        <f t="shared" si="18"/>
        <v>-65</v>
      </c>
      <c r="M94" s="316">
        <f t="shared" si="19"/>
        <v>-1</v>
      </c>
      <c r="N94" s="442"/>
      <c r="O94" s="454"/>
      <c r="P94" s="454"/>
      <c r="Q94" s="442"/>
      <c r="R94" s="443"/>
    </row>
    <row r="95" ht="15.75" customHeight="1">
      <c r="B95" s="460"/>
      <c r="D95" s="305"/>
      <c r="E95" s="450" t="s">
        <v>509</v>
      </c>
      <c r="F95" s="492">
        <v>500.0</v>
      </c>
      <c r="G95" s="311">
        <v>299.0</v>
      </c>
      <c r="H95" s="443"/>
      <c r="I95" s="455"/>
      <c r="J95" s="313">
        <v>78.0</v>
      </c>
      <c r="K95" s="499">
        <f t="shared" si="17"/>
        <v>0.2608695652</v>
      </c>
      <c r="L95" s="315">
        <f t="shared" si="18"/>
        <v>-78</v>
      </c>
      <c r="M95" s="316">
        <f t="shared" si="19"/>
        <v>-1</v>
      </c>
      <c r="N95" s="442"/>
      <c r="O95" s="454"/>
      <c r="P95" s="454"/>
      <c r="Q95" s="442"/>
      <c r="R95" s="443"/>
    </row>
    <row r="96" ht="15.75" hidden="1" customHeight="1">
      <c r="B96" s="460"/>
      <c r="D96" s="305"/>
      <c r="E96" s="450" t="s">
        <v>510</v>
      </c>
      <c r="F96" s="492">
        <v>500.0</v>
      </c>
      <c r="G96" s="311">
        <v>299.0</v>
      </c>
      <c r="H96" s="443"/>
      <c r="I96" s="455"/>
      <c r="J96" s="313">
        <v>66.0</v>
      </c>
      <c r="K96" s="488">
        <f t="shared" si="17"/>
        <v>0.220735786</v>
      </c>
      <c r="L96" s="315">
        <f t="shared" si="18"/>
        <v>-66</v>
      </c>
      <c r="M96" s="316">
        <f t="shared" si="19"/>
        <v>-1</v>
      </c>
      <c r="N96" s="442"/>
      <c r="O96" s="454"/>
      <c r="P96" s="454"/>
      <c r="Q96" s="442"/>
      <c r="R96" s="443"/>
    </row>
    <row r="97" ht="15.75" hidden="1" customHeight="1">
      <c r="A97" s="327" t="s">
        <v>616</v>
      </c>
      <c r="B97" s="460"/>
      <c r="C97" s="464" t="s">
        <v>616</v>
      </c>
      <c r="D97" s="342"/>
      <c r="E97" s="450" t="s">
        <v>159</v>
      </c>
      <c r="F97" s="339">
        <v>250.0</v>
      </c>
      <c r="G97" s="301">
        <v>259.0</v>
      </c>
      <c r="H97" s="301">
        <v>239.0</v>
      </c>
      <c r="I97" s="312" t="str">
        <f>G97/R97</f>
        <v>#DIV/0!</v>
      </c>
      <c r="J97" s="313">
        <v>60.0</v>
      </c>
      <c r="K97" s="493">
        <f t="shared" si="17"/>
        <v>0.2316602317</v>
      </c>
      <c r="L97" s="315">
        <f t="shared" si="18"/>
        <v>-60</v>
      </c>
      <c r="M97" s="316">
        <f t="shared" si="19"/>
        <v>-1</v>
      </c>
      <c r="N97" s="331">
        <v>259.0</v>
      </c>
      <c r="O97" s="343" t="s">
        <v>111</v>
      </c>
      <c r="P97" s="343" t="s">
        <v>111</v>
      </c>
      <c r="Q97" s="442"/>
      <c r="R97" s="443"/>
    </row>
    <row r="98" ht="15.75" hidden="1" customHeight="1">
      <c r="B98" s="460"/>
      <c r="D98" s="342"/>
      <c r="E98" s="450" t="s">
        <v>160</v>
      </c>
      <c r="F98" s="492">
        <v>250.0</v>
      </c>
      <c r="G98" s="301">
        <v>259.0</v>
      </c>
      <c r="H98" s="443"/>
      <c r="I98" s="455"/>
      <c r="J98" s="313">
        <v>60.0</v>
      </c>
      <c r="K98" s="493">
        <f t="shared" si="17"/>
        <v>0.2316602317</v>
      </c>
      <c r="L98" s="315">
        <f t="shared" si="18"/>
        <v>-60</v>
      </c>
      <c r="M98" s="316">
        <f t="shared" si="19"/>
        <v>-1</v>
      </c>
      <c r="N98" s="442"/>
      <c r="O98" s="494"/>
      <c r="P98" s="454"/>
      <c r="Q98" s="442"/>
      <c r="R98" s="443"/>
    </row>
    <row r="99" ht="15.75" customHeight="1">
      <c r="B99" s="460"/>
      <c r="D99" s="342"/>
      <c r="E99" s="450" t="s">
        <v>509</v>
      </c>
      <c r="F99" s="492">
        <v>250.0</v>
      </c>
      <c r="G99" s="301">
        <v>279.0</v>
      </c>
      <c r="H99" s="443"/>
      <c r="I99" s="455"/>
      <c r="J99" s="313">
        <v>61.0</v>
      </c>
      <c r="K99" s="495">
        <f t="shared" si="17"/>
        <v>0.2186379928</v>
      </c>
      <c r="L99" s="315">
        <f t="shared" si="18"/>
        <v>-61</v>
      </c>
      <c r="M99" s="316">
        <f t="shared" si="19"/>
        <v>-1</v>
      </c>
      <c r="N99" s="442"/>
      <c r="O99" s="494"/>
      <c r="P99" s="454"/>
      <c r="Q99" s="442"/>
      <c r="R99" s="443"/>
    </row>
    <row r="100" ht="15.75" hidden="1" customHeight="1">
      <c r="B100" s="460"/>
      <c r="D100" s="342"/>
      <c r="E100" s="450" t="s">
        <v>510</v>
      </c>
      <c r="F100" s="492">
        <v>250.0</v>
      </c>
      <c r="G100" s="301">
        <v>279.0</v>
      </c>
      <c r="H100" s="443"/>
      <c r="I100" s="455"/>
      <c r="J100" s="313">
        <v>60.0</v>
      </c>
      <c r="K100" s="496">
        <f t="shared" si="17"/>
        <v>0.2150537634</v>
      </c>
      <c r="L100" s="315">
        <f t="shared" si="18"/>
        <v>-60</v>
      </c>
      <c r="M100" s="316">
        <f t="shared" si="19"/>
        <v>-1</v>
      </c>
      <c r="N100" s="442"/>
      <c r="O100" s="494"/>
      <c r="P100" s="454"/>
      <c r="Q100" s="442"/>
      <c r="R100" s="443"/>
    </row>
    <row r="101" ht="15.75" hidden="1" customHeight="1">
      <c r="A101" s="327" t="s">
        <v>616</v>
      </c>
      <c r="B101" s="460"/>
      <c r="C101" s="464" t="s">
        <v>616</v>
      </c>
      <c r="D101" s="342"/>
      <c r="E101" s="450" t="s">
        <v>159</v>
      </c>
      <c r="F101" s="339">
        <v>500.0</v>
      </c>
      <c r="G101" s="311">
        <v>279.0</v>
      </c>
      <c r="H101" s="311">
        <v>259.0</v>
      </c>
      <c r="I101" s="312" t="str">
        <f>G101/R101</f>
        <v>#DIV/0!</v>
      </c>
      <c r="J101" s="313">
        <v>58.0</v>
      </c>
      <c r="K101" s="497">
        <f t="shared" si="17"/>
        <v>0.2078853047</v>
      </c>
      <c r="L101" s="315">
        <f t="shared" si="18"/>
        <v>-58</v>
      </c>
      <c r="M101" s="316">
        <f t="shared" si="19"/>
        <v>-1</v>
      </c>
      <c r="N101" s="331">
        <v>279.0</v>
      </c>
      <c r="O101" s="318" t="s">
        <v>112</v>
      </c>
      <c r="P101" s="343" t="s">
        <v>111</v>
      </c>
      <c r="Q101" s="442"/>
      <c r="R101" s="443"/>
    </row>
    <row r="102" ht="15.75" hidden="1" customHeight="1">
      <c r="B102" s="460"/>
      <c r="D102" s="342"/>
      <c r="E102" s="450" t="s">
        <v>160</v>
      </c>
      <c r="F102" s="492">
        <v>500.0</v>
      </c>
      <c r="G102" s="311">
        <v>279.0</v>
      </c>
      <c r="H102" s="443"/>
      <c r="I102" s="455"/>
      <c r="J102" s="313">
        <v>65.0</v>
      </c>
      <c r="K102" s="498">
        <f t="shared" si="17"/>
        <v>0.2329749104</v>
      </c>
      <c r="L102" s="315">
        <f t="shared" si="18"/>
        <v>-65</v>
      </c>
      <c r="M102" s="316">
        <f t="shared" si="19"/>
        <v>-1</v>
      </c>
      <c r="N102" s="442"/>
      <c r="O102" s="454"/>
      <c r="P102" s="454"/>
      <c r="Q102" s="442"/>
      <c r="R102" s="443"/>
    </row>
    <row r="103" ht="15.75" customHeight="1">
      <c r="B103" s="460"/>
      <c r="D103" s="342"/>
      <c r="E103" s="450" t="s">
        <v>509</v>
      </c>
      <c r="F103" s="492">
        <v>500.0</v>
      </c>
      <c r="G103" s="311">
        <v>299.0</v>
      </c>
      <c r="H103" s="443"/>
      <c r="I103" s="455"/>
      <c r="J103" s="313">
        <v>78.0</v>
      </c>
      <c r="K103" s="499">
        <f t="shared" si="17"/>
        <v>0.2608695652</v>
      </c>
      <c r="L103" s="315">
        <f t="shared" si="18"/>
        <v>-78</v>
      </c>
      <c r="M103" s="316">
        <f t="shared" si="19"/>
        <v>-1</v>
      </c>
      <c r="N103" s="442"/>
      <c r="O103" s="454"/>
      <c r="P103" s="454"/>
      <c r="Q103" s="442"/>
      <c r="R103" s="443"/>
    </row>
    <row r="104" ht="15.75" hidden="1" customHeight="1">
      <c r="B104" s="460"/>
      <c r="D104" s="342"/>
      <c r="E104" s="450" t="s">
        <v>510</v>
      </c>
      <c r="F104" s="492">
        <v>500.0</v>
      </c>
      <c r="G104" s="311">
        <v>299.0</v>
      </c>
      <c r="H104" s="443"/>
      <c r="I104" s="455"/>
      <c r="J104" s="313">
        <v>66.0</v>
      </c>
      <c r="K104" s="488">
        <f t="shared" si="17"/>
        <v>0.220735786</v>
      </c>
      <c r="L104" s="315">
        <f t="shared" si="18"/>
        <v>-66</v>
      </c>
      <c r="M104" s="316">
        <f t="shared" si="19"/>
        <v>-1</v>
      </c>
      <c r="N104" s="442"/>
      <c r="O104" s="454"/>
      <c r="P104" s="454"/>
      <c r="Q104" s="442"/>
      <c r="R104" s="443"/>
    </row>
    <row r="105" ht="15.75" hidden="1" customHeight="1">
      <c r="A105" s="327" t="s">
        <v>618</v>
      </c>
      <c r="B105" s="327" t="s">
        <v>619</v>
      </c>
      <c r="C105" s="464" t="s">
        <v>618</v>
      </c>
      <c r="D105" s="336" t="s">
        <v>956</v>
      </c>
      <c r="E105" s="450" t="s">
        <v>159</v>
      </c>
      <c r="F105" s="339">
        <v>200.0</v>
      </c>
      <c r="G105" s="301">
        <v>119.0</v>
      </c>
      <c r="H105" s="301">
        <v>99.0</v>
      </c>
      <c r="I105" s="312" t="str">
        <f>G105/R105</f>
        <v>#DIV/0!</v>
      </c>
      <c r="J105" s="313">
        <v>29.0</v>
      </c>
      <c r="K105" s="500">
        <f t="shared" si="17"/>
        <v>0.243697479</v>
      </c>
      <c r="L105" s="315">
        <f t="shared" si="18"/>
        <v>-29</v>
      </c>
      <c r="M105" s="316">
        <f t="shared" si="19"/>
        <v>-1</v>
      </c>
      <c r="N105" s="331">
        <v>119.0</v>
      </c>
      <c r="O105" s="318" t="s">
        <v>112</v>
      </c>
      <c r="P105" s="343" t="s">
        <v>111</v>
      </c>
      <c r="Q105" s="442"/>
      <c r="R105" s="443"/>
    </row>
    <row r="106" ht="15.75" hidden="1" customHeight="1">
      <c r="D106" s="305"/>
      <c r="E106" s="450" t="s">
        <v>160</v>
      </c>
      <c r="F106" s="492">
        <v>200.0</v>
      </c>
      <c r="G106" s="301">
        <v>119.0</v>
      </c>
      <c r="H106" s="443"/>
      <c r="I106" s="455"/>
      <c r="J106" s="313">
        <v>28.0</v>
      </c>
      <c r="K106" s="501">
        <f t="shared" si="17"/>
        <v>0.2352941176</v>
      </c>
      <c r="L106" s="315">
        <f t="shared" si="18"/>
        <v>-28</v>
      </c>
      <c r="M106" s="316">
        <f t="shared" si="19"/>
        <v>-1</v>
      </c>
      <c r="N106" s="442"/>
      <c r="O106" s="494"/>
      <c r="P106" s="454"/>
      <c r="Q106" s="442"/>
      <c r="R106" s="443"/>
    </row>
    <row r="107" ht="15.75" customHeight="1">
      <c r="D107" s="305"/>
      <c r="E107" s="450" t="s">
        <v>509</v>
      </c>
      <c r="F107" s="492">
        <v>200.0</v>
      </c>
      <c r="G107" s="301">
        <v>129.0</v>
      </c>
      <c r="H107" s="443"/>
      <c r="I107" s="455"/>
      <c r="J107" s="313">
        <v>30.0</v>
      </c>
      <c r="K107" s="498">
        <f t="shared" si="17"/>
        <v>0.2325581395</v>
      </c>
      <c r="L107" s="315">
        <f t="shared" si="18"/>
        <v>-30</v>
      </c>
      <c r="M107" s="316">
        <f t="shared" si="19"/>
        <v>-1</v>
      </c>
      <c r="N107" s="442"/>
      <c r="O107" s="494"/>
      <c r="P107" s="454"/>
      <c r="Q107" s="442"/>
      <c r="R107" s="443"/>
    </row>
    <row r="108" ht="15.75" hidden="1" customHeight="1">
      <c r="D108" s="305"/>
      <c r="E108" s="450" t="s">
        <v>510</v>
      </c>
      <c r="F108" s="492">
        <v>200.0</v>
      </c>
      <c r="G108" s="301">
        <v>129.0</v>
      </c>
      <c r="H108" s="443"/>
      <c r="I108" s="455"/>
      <c r="J108" s="313">
        <v>31.0</v>
      </c>
      <c r="K108" s="502">
        <f t="shared" si="17"/>
        <v>0.2403100775</v>
      </c>
      <c r="L108" s="315">
        <f t="shared" si="18"/>
        <v>-31</v>
      </c>
      <c r="M108" s="316">
        <f t="shared" si="19"/>
        <v>-1</v>
      </c>
      <c r="N108" s="442"/>
      <c r="O108" s="494"/>
      <c r="P108" s="454"/>
      <c r="Q108" s="442"/>
      <c r="R108" s="443"/>
    </row>
    <row r="109" ht="15.75" hidden="1" customHeight="1">
      <c r="A109" s="327" t="s">
        <v>618</v>
      </c>
      <c r="C109" s="464" t="s">
        <v>618</v>
      </c>
      <c r="D109" s="305"/>
      <c r="E109" s="450" t="s">
        <v>159</v>
      </c>
      <c r="F109" s="339">
        <v>1000.0</v>
      </c>
      <c r="G109" s="301">
        <v>489.0</v>
      </c>
      <c r="H109" s="301">
        <v>469.0</v>
      </c>
      <c r="I109" s="312" t="str">
        <f>G109/R109</f>
        <v>#DIV/0!</v>
      </c>
      <c r="J109" s="313">
        <v>144.0</v>
      </c>
      <c r="K109" s="503">
        <f t="shared" si="17"/>
        <v>0.2944785276</v>
      </c>
      <c r="L109" s="315">
        <f t="shared" si="18"/>
        <v>-144</v>
      </c>
      <c r="M109" s="316">
        <f t="shared" si="19"/>
        <v>-1</v>
      </c>
      <c r="N109" s="331">
        <v>499.0</v>
      </c>
      <c r="O109" s="343" t="s">
        <v>111</v>
      </c>
      <c r="P109" s="343" t="s">
        <v>111</v>
      </c>
      <c r="Q109" s="442"/>
      <c r="R109" s="443"/>
    </row>
    <row r="110" ht="15.75" hidden="1" customHeight="1">
      <c r="D110" s="305"/>
      <c r="E110" s="450" t="s">
        <v>160</v>
      </c>
      <c r="F110" s="492">
        <v>1000.0</v>
      </c>
      <c r="G110" s="301">
        <v>489.0</v>
      </c>
      <c r="H110" s="443"/>
      <c r="I110" s="455"/>
      <c r="J110" s="313">
        <v>143.0</v>
      </c>
      <c r="K110" s="504">
        <f t="shared" si="17"/>
        <v>0.2924335378</v>
      </c>
      <c r="L110" s="315">
        <f t="shared" si="18"/>
        <v>-143</v>
      </c>
      <c r="M110" s="316">
        <f t="shared" si="19"/>
        <v>-1</v>
      </c>
      <c r="N110" s="442"/>
      <c r="O110" s="494"/>
      <c r="P110" s="454"/>
      <c r="Q110" s="442"/>
      <c r="R110" s="443"/>
    </row>
    <row r="111" ht="15.75" customHeight="1">
      <c r="D111" s="305"/>
      <c r="E111" s="450" t="s">
        <v>509</v>
      </c>
      <c r="F111" s="492">
        <v>1000.0</v>
      </c>
      <c r="G111" s="301">
        <v>499.0</v>
      </c>
      <c r="H111" s="443"/>
      <c r="I111" s="455"/>
      <c r="J111" s="313">
        <v>144.0</v>
      </c>
      <c r="K111" s="505">
        <f t="shared" si="17"/>
        <v>0.2885771543</v>
      </c>
      <c r="L111" s="315">
        <f t="shared" si="18"/>
        <v>-144</v>
      </c>
      <c r="M111" s="316">
        <f t="shared" si="19"/>
        <v>-1</v>
      </c>
      <c r="N111" s="442"/>
      <c r="O111" s="494"/>
      <c r="P111" s="454"/>
      <c r="Q111" s="442"/>
      <c r="R111" s="443"/>
    </row>
    <row r="112" ht="15.75" hidden="1" customHeight="1">
      <c r="D112" s="305"/>
      <c r="E112" s="450" t="s">
        <v>622</v>
      </c>
      <c r="F112" s="492">
        <v>1000.0</v>
      </c>
      <c r="G112" s="301">
        <v>499.0</v>
      </c>
      <c r="H112" s="443"/>
      <c r="I112" s="455"/>
      <c r="J112" s="313">
        <v>158.0</v>
      </c>
      <c r="K112" s="506">
        <f t="shared" si="17"/>
        <v>0.3166332665</v>
      </c>
      <c r="L112" s="315">
        <f t="shared" si="18"/>
        <v>-158</v>
      </c>
      <c r="M112" s="316">
        <f t="shared" si="19"/>
        <v>-1</v>
      </c>
      <c r="N112" s="442"/>
      <c r="O112" s="494"/>
      <c r="P112" s="454"/>
      <c r="Q112" s="442"/>
      <c r="R112" s="443"/>
    </row>
    <row r="113" ht="15.75" hidden="1" customHeight="1">
      <c r="A113" s="327" t="s">
        <v>623</v>
      </c>
      <c r="B113" s="460"/>
      <c r="C113" s="464" t="s">
        <v>623</v>
      </c>
      <c r="D113" s="342"/>
      <c r="E113" s="450" t="s">
        <v>159</v>
      </c>
      <c r="F113" s="339">
        <v>200.0</v>
      </c>
      <c r="G113" s="301">
        <v>99.0</v>
      </c>
      <c r="H113" s="301">
        <v>79.0</v>
      </c>
      <c r="I113" s="312" t="str">
        <f>G113/R113</f>
        <v>#DIV/0!</v>
      </c>
      <c r="J113" s="313">
        <v>16.0</v>
      </c>
      <c r="K113" s="507">
        <f t="shared" si="17"/>
        <v>0.1616161616</v>
      </c>
      <c r="L113" s="315">
        <f t="shared" si="18"/>
        <v>-16</v>
      </c>
      <c r="M113" s="316">
        <f t="shared" si="19"/>
        <v>-1</v>
      </c>
      <c r="N113" s="331">
        <v>99.0</v>
      </c>
      <c r="O113" s="318" t="s">
        <v>112</v>
      </c>
      <c r="P113" s="343" t="s">
        <v>111</v>
      </c>
      <c r="Q113" s="442"/>
      <c r="R113" s="443"/>
    </row>
    <row r="114" ht="15.75" hidden="1" customHeight="1">
      <c r="B114" s="460"/>
      <c r="D114" s="342"/>
      <c r="E114" s="450" t="s">
        <v>160</v>
      </c>
      <c r="F114" s="492">
        <v>200.0</v>
      </c>
      <c r="G114" s="301">
        <v>99.0</v>
      </c>
      <c r="H114" s="443"/>
      <c r="I114" s="455"/>
      <c r="J114" s="313">
        <v>15.0</v>
      </c>
      <c r="K114" s="508">
        <f t="shared" si="17"/>
        <v>0.1515151515</v>
      </c>
      <c r="L114" s="315">
        <f t="shared" si="18"/>
        <v>-15</v>
      </c>
      <c r="M114" s="316">
        <f t="shared" si="19"/>
        <v>-1</v>
      </c>
      <c r="N114" s="442"/>
      <c r="O114" s="454"/>
      <c r="P114" s="454"/>
      <c r="Q114" s="442"/>
      <c r="R114" s="443"/>
    </row>
    <row r="115" ht="15.75" customHeight="1">
      <c r="B115" s="460"/>
      <c r="D115" s="342"/>
      <c r="E115" s="450" t="s">
        <v>509</v>
      </c>
      <c r="F115" s="492">
        <v>200.0</v>
      </c>
      <c r="G115" s="301">
        <v>99.0</v>
      </c>
      <c r="H115" s="443"/>
      <c r="I115" s="455"/>
      <c r="J115" s="313">
        <v>17.0</v>
      </c>
      <c r="K115" s="509">
        <f t="shared" si="17"/>
        <v>0.1717171717</v>
      </c>
      <c r="L115" s="315">
        <f t="shared" si="18"/>
        <v>-17</v>
      </c>
      <c r="M115" s="316">
        <f t="shared" si="19"/>
        <v>-1</v>
      </c>
      <c r="N115" s="442"/>
      <c r="O115" s="454"/>
      <c r="P115" s="454"/>
      <c r="Q115" s="442"/>
      <c r="R115" s="443"/>
    </row>
    <row r="116" ht="15.75" hidden="1" customHeight="1">
      <c r="B116" s="460"/>
      <c r="D116" s="342"/>
      <c r="E116" s="450" t="s">
        <v>510</v>
      </c>
      <c r="F116" s="492">
        <v>200.0</v>
      </c>
      <c r="G116" s="301">
        <v>99.0</v>
      </c>
      <c r="H116" s="443"/>
      <c r="I116" s="455"/>
      <c r="J116" s="313">
        <v>13.0</v>
      </c>
      <c r="K116" s="510">
        <f t="shared" si="17"/>
        <v>0.1313131313</v>
      </c>
      <c r="L116" s="315">
        <f t="shared" si="18"/>
        <v>-13</v>
      </c>
      <c r="M116" s="316">
        <f t="shared" si="19"/>
        <v>-1</v>
      </c>
      <c r="N116" s="442"/>
      <c r="O116" s="454"/>
      <c r="P116" s="454"/>
      <c r="Q116" s="442"/>
      <c r="R116" s="443"/>
    </row>
    <row r="117" ht="15.75" hidden="1" customHeight="1">
      <c r="A117" s="327" t="s">
        <v>623</v>
      </c>
      <c r="B117" s="460"/>
      <c r="C117" s="464" t="s">
        <v>623</v>
      </c>
      <c r="D117" s="342"/>
      <c r="E117" s="450" t="s">
        <v>159</v>
      </c>
      <c r="F117" s="339">
        <v>1000.0</v>
      </c>
      <c r="G117" s="301">
        <v>389.0</v>
      </c>
      <c r="H117" s="301">
        <v>369.0</v>
      </c>
      <c r="I117" s="312" t="str">
        <f>G117/R117</f>
        <v>#DIV/0!</v>
      </c>
      <c r="J117" s="313">
        <v>63.0</v>
      </c>
      <c r="K117" s="511">
        <f t="shared" si="17"/>
        <v>0.1619537275</v>
      </c>
      <c r="L117" s="315">
        <f t="shared" si="18"/>
        <v>-63</v>
      </c>
      <c r="M117" s="316">
        <f t="shared" si="19"/>
        <v>-1</v>
      </c>
      <c r="N117" s="331">
        <v>399.0</v>
      </c>
      <c r="O117" s="343" t="s">
        <v>111</v>
      </c>
      <c r="P117" s="343" t="s">
        <v>111</v>
      </c>
      <c r="Q117" s="442"/>
      <c r="R117" s="443"/>
    </row>
    <row r="118" ht="15.75" hidden="1" customHeight="1">
      <c r="B118" s="460"/>
      <c r="D118" s="342"/>
      <c r="E118" s="450" t="s">
        <v>160</v>
      </c>
      <c r="F118" s="492">
        <v>1000.0</v>
      </c>
      <c r="G118" s="301">
        <v>389.0</v>
      </c>
      <c r="H118" s="443"/>
      <c r="I118" s="455"/>
      <c r="J118" s="313">
        <v>62.0</v>
      </c>
      <c r="K118" s="512">
        <f t="shared" si="17"/>
        <v>0.1593830334</v>
      </c>
      <c r="L118" s="315">
        <f t="shared" si="18"/>
        <v>-62</v>
      </c>
      <c r="M118" s="316">
        <f t="shared" si="19"/>
        <v>-1</v>
      </c>
      <c r="N118" s="442"/>
      <c r="O118" s="494"/>
      <c r="P118" s="454"/>
      <c r="Q118" s="442"/>
      <c r="R118" s="443"/>
    </row>
    <row r="119" ht="15.75" customHeight="1">
      <c r="B119" s="460"/>
      <c r="D119" s="342"/>
      <c r="E119" s="450" t="s">
        <v>509</v>
      </c>
      <c r="F119" s="492">
        <v>1000.0</v>
      </c>
      <c r="G119" s="301">
        <v>399.0</v>
      </c>
      <c r="H119" s="443"/>
      <c r="I119" s="455"/>
      <c r="J119" s="313">
        <v>69.0</v>
      </c>
      <c r="K119" s="513">
        <f t="shared" si="17"/>
        <v>0.1729323308</v>
      </c>
      <c r="L119" s="315">
        <f t="shared" si="18"/>
        <v>-69</v>
      </c>
      <c r="M119" s="316">
        <f t="shared" si="19"/>
        <v>-1</v>
      </c>
      <c r="N119" s="442"/>
      <c r="O119" s="494"/>
      <c r="P119" s="454"/>
      <c r="Q119" s="442"/>
      <c r="R119" s="443"/>
    </row>
    <row r="120" ht="15.75" hidden="1" customHeight="1">
      <c r="B120" s="460"/>
      <c r="D120" s="342"/>
      <c r="E120" s="450" t="s">
        <v>622</v>
      </c>
      <c r="F120" s="492">
        <v>1000.0</v>
      </c>
      <c r="G120" s="301">
        <v>399.0</v>
      </c>
      <c r="H120" s="443"/>
      <c r="I120" s="455"/>
      <c r="J120" s="313">
        <v>53.0</v>
      </c>
      <c r="K120" s="514">
        <f t="shared" si="17"/>
        <v>0.1328320802</v>
      </c>
      <c r="L120" s="315">
        <f t="shared" si="18"/>
        <v>-53</v>
      </c>
      <c r="M120" s="316">
        <f t="shared" si="19"/>
        <v>-1</v>
      </c>
      <c r="N120" s="442"/>
      <c r="O120" s="494"/>
      <c r="P120" s="454"/>
      <c r="Q120" s="442"/>
      <c r="R120" s="443"/>
    </row>
    <row r="121" ht="15.75" hidden="1" customHeight="1">
      <c r="A121" s="327" t="s">
        <v>625</v>
      </c>
      <c r="B121" s="327" t="s">
        <v>626</v>
      </c>
      <c r="C121" s="464" t="s">
        <v>625</v>
      </c>
      <c r="D121" s="327" t="s">
        <v>626</v>
      </c>
      <c r="E121" s="450" t="s">
        <v>159</v>
      </c>
      <c r="F121" s="339">
        <v>500.0</v>
      </c>
      <c r="G121" s="301">
        <v>279.0</v>
      </c>
      <c r="H121" s="301">
        <v>249.0</v>
      </c>
      <c r="I121" s="312" t="str">
        <f>G121/R121</f>
        <v>#DIV/0!</v>
      </c>
      <c r="J121" s="313">
        <v>55.0</v>
      </c>
      <c r="K121" s="515">
        <f t="shared" si="17"/>
        <v>0.1971326165</v>
      </c>
      <c r="L121" s="315">
        <f t="shared" si="18"/>
        <v>-55</v>
      </c>
      <c r="M121" s="316">
        <f t="shared" si="19"/>
        <v>-1</v>
      </c>
      <c r="N121" s="331">
        <v>279.0</v>
      </c>
      <c r="O121" s="343" t="s">
        <v>111</v>
      </c>
      <c r="P121" s="343" t="s">
        <v>111</v>
      </c>
      <c r="Q121" s="442"/>
      <c r="R121" s="443"/>
    </row>
    <row r="122" ht="15.75" hidden="1" customHeight="1">
      <c r="E122" s="450" t="s">
        <v>160</v>
      </c>
      <c r="F122" s="469">
        <v>500.0</v>
      </c>
      <c r="G122" s="301">
        <v>279.0</v>
      </c>
      <c r="H122" s="443"/>
      <c r="I122" s="455"/>
      <c r="J122" s="313">
        <v>55.0</v>
      </c>
      <c r="K122" s="515">
        <f t="shared" si="17"/>
        <v>0.1971326165</v>
      </c>
      <c r="L122" s="315">
        <f t="shared" si="18"/>
        <v>-55</v>
      </c>
      <c r="M122" s="316">
        <f t="shared" si="19"/>
        <v>-1</v>
      </c>
      <c r="N122" s="442"/>
      <c r="O122" s="494"/>
      <c r="P122" s="454"/>
      <c r="Q122" s="442"/>
      <c r="R122" s="443"/>
    </row>
    <row r="123" ht="15.75" customHeight="1">
      <c r="E123" s="450" t="s">
        <v>509</v>
      </c>
      <c r="F123" s="339">
        <v>500.0</v>
      </c>
      <c r="G123" s="301">
        <v>289.0</v>
      </c>
      <c r="H123" s="443"/>
      <c r="I123" s="455"/>
      <c r="J123" s="313">
        <v>60.0</v>
      </c>
      <c r="K123" s="497">
        <f t="shared" si="17"/>
        <v>0.2076124567</v>
      </c>
      <c r="L123" s="315">
        <f t="shared" si="18"/>
        <v>-60</v>
      </c>
      <c r="M123" s="316">
        <f t="shared" si="19"/>
        <v>-1</v>
      </c>
      <c r="N123" s="442"/>
      <c r="O123" s="494"/>
      <c r="P123" s="454"/>
      <c r="Q123" s="442"/>
      <c r="R123" s="443"/>
    </row>
    <row r="124" ht="15.75" hidden="1" customHeight="1">
      <c r="E124" s="450" t="s">
        <v>510</v>
      </c>
      <c r="F124" s="339">
        <v>500.0</v>
      </c>
      <c r="G124" s="301">
        <v>289.0</v>
      </c>
      <c r="H124" s="443"/>
      <c r="I124" s="455"/>
      <c r="J124" s="335">
        <v>56.0</v>
      </c>
      <c r="K124" s="516">
        <f t="shared" si="17"/>
        <v>0.1937716263</v>
      </c>
      <c r="L124" s="315">
        <f t="shared" si="18"/>
        <v>-56</v>
      </c>
      <c r="M124" s="316">
        <f t="shared" si="19"/>
        <v>-1</v>
      </c>
      <c r="N124" s="442"/>
      <c r="O124" s="494"/>
      <c r="P124" s="454"/>
      <c r="Q124" s="442"/>
      <c r="R124" s="443"/>
    </row>
    <row r="125" ht="15.75" hidden="1" customHeight="1">
      <c r="A125" s="288" t="s">
        <v>635</v>
      </c>
      <c r="B125" s="434"/>
      <c r="C125" s="446" t="s">
        <v>635</v>
      </c>
      <c r="D125" s="291"/>
      <c r="E125" s="450" t="s">
        <v>159</v>
      </c>
      <c r="F125" s="458"/>
      <c r="G125" s="458"/>
      <c r="H125" s="458"/>
      <c r="I125" s="438"/>
      <c r="J125" s="440"/>
      <c r="K125" s="441"/>
      <c r="L125" s="438"/>
      <c r="M125" s="441"/>
      <c r="N125" s="435"/>
      <c r="O125" s="441"/>
      <c r="P125" s="435"/>
      <c r="Q125" s="442"/>
      <c r="R125" s="443"/>
    </row>
    <row r="126" ht="15.75" hidden="1" customHeight="1">
      <c r="B126" s="434"/>
      <c r="D126" s="291"/>
      <c r="E126" s="450" t="s">
        <v>160</v>
      </c>
      <c r="F126" s="459"/>
      <c r="G126" s="458"/>
      <c r="H126" s="458"/>
      <c r="I126" s="438"/>
      <c r="J126" s="440"/>
      <c r="K126" s="441"/>
      <c r="L126" s="438"/>
      <c r="M126" s="441"/>
      <c r="N126" s="435"/>
      <c r="O126" s="441"/>
      <c r="P126" s="435"/>
      <c r="Q126" s="442"/>
      <c r="R126" s="443"/>
    </row>
    <row r="127" ht="15.75" customHeight="1">
      <c r="B127" s="434"/>
      <c r="D127" s="291"/>
      <c r="E127" s="450" t="s">
        <v>509</v>
      </c>
      <c r="F127" s="458"/>
      <c r="G127" s="458"/>
      <c r="H127" s="458"/>
      <c r="I127" s="438"/>
      <c r="J127" s="440"/>
      <c r="K127" s="441"/>
      <c r="L127" s="438"/>
      <c r="M127" s="441"/>
      <c r="N127" s="435"/>
      <c r="O127" s="441"/>
      <c r="P127" s="435"/>
      <c r="Q127" s="442"/>
      <c r="R127" s="443"/>
    </row>
    <row r="128" ht="15.75" hidden="1" customHeight="1">
      <c r="B128" s="434"/>
      <c r="D128" s="291"/>
      <c r="E128" s="450" t="s">
        <v>510</v>
      </c>
      <c r="F128" s="458"/>
      <c r="G128" s="458"/>
      <c r="H128" s="458"/>
      <c r="I128" s="438"/>
      <c r="J128" s="440"/>
      <c r="K128" s="441"/>
      <c r="L128" s="438"/>
      <c r="M128" s="441"/>
      <c r="N128" s="435"/>
      <c r="O128" s="441"/>
      <c r="P128" s="435"/>
      <c r="Q128" s="442"/>
      <c r="R128" s="443"/>
    </row>
    <row r="129" ht="15.75" hidden="1" customHeight="1">
      <c r="A129" s="327" t="s">
        <v>639</v>
      </c>
      <c r="B129" s="327" t="s">
        <v>637</v>
      </c>
      <c r="C129" s="464" t="s">
        <v>639</v>
      </c>
      <c r="D129" s="327" t="s">
        <v>637</v>
      </c>
      <c r="E129" s="450" t="s">
        <v>159</v>
      </c>
      <c r="F129" s="339">
        <v>500.0</v>
      </c>
      <c r="G129" s="301">
        <v>159.0</v>
      </c>
      <c r="H129" s="301">
        <v>149.0</v>
      </c>
      <c r="I129" s="312" t="str">
        <f>G129/R129</f>
        <v>#DIV/0!</v>
      </c>
      <c r="J129" s="313">
        <v>32.0</v>
      </c>
      <c r="K129" s="517">
        <f t="shared" ref="K129:K136" si="20">J129/G129</f>
        <v>0.2012578616</v>
      </c>
      <c r="L129" s="315">
        <f t="shared" ref="L129:L136" si="21">Q129-J129</f>
        <v>-32</v>
      </c>
      <c r="M129" s="316">
        <f t="shared" ref="M129:M136" si="22">Q129/J129-1</f>
        <v>-1</v>
      </c>
      <c r="N129" s="331">
        <v>189.0</v>
      </c>
      <c r="O129" s="343" t="s">
        <v>111</v>
      </c>
      <c r="P129" s="343" t="s">
        <v>111</v>
      </c>
      <c r="Q129" s="442"/>
      <c r="R129" s="443"/>
    </row>
    <row r="130" ht="15.75" hidden="1" customHeight="1">
      <c r="E130" s="450" t="s">
        <v>160</v>
      </c>
      <c r="F130" s="469">
        <v>500.0</v>
      </c>
      <c r="G130" s="301">
        <v>159.0</v>
      </c>
      <c r="H130" s="301">
        <v>139.0</v>
      </c>
      <c r="I130" s="455"/>
      <c r="J130" s="313">
        <v>31.0</v>
      </c>
      <c r="K130" s="518">
        <f t="shared" si="20"/>
        <v>0.1949685535</v>
      </c>
      <c r="L130" s="315">
        <f t="shared" si="21"/>
        <v>-31</v>
      </c>
      <c r="M130" s="316">
        <f t="shared" si="22"/>
        <v>-1</v>
      </c>
      <c r="N130" s="442"/>
      <c r="O130" s="494"/>
      <c r="P130" s="454"/>
      <c r="Q130" s="442"/>
      <c r="R130" s="443"/>
    </row>
    <row r="131" ht="15.75" customHeight="1">
      <c r="E131" s="450" t="s">
        <v>509</v>
      </c>
      <c r="F131" s="339">
        <v>500.0</v>
      </c>
      <c r="G131" s="301">
        <v>159.0</v>
      </c>
      <c r="H131" s="301">
        <v>149.0</v>
      </c>
      <c r="I131" s="455"/>
      <c r="J131" s="313">
        <v>31.0</v>
      </c>
      <c r="K131" s="518">
        <f t="shared" si="20"/>
        <v>0.1949685535</v>
      </c>
      <c r="L131" s="315">
        <f t="shared" si="21"/>
        <v>-31</v>
      </c>
      <c r="M131" s="316">
        <f t="shared" si="22"/>
        <v>-1</v>
      </c>
      <c r="N131" s="442"/>
      <c r="O131" s="494"/>
      <c r="P131" s="454"/>
      <c r="Q131" s="442"/>
      <c r="R131" s="443"/>
    </row>
    <row r="132" ht="15.75" hidden="1" customHeight="1">
      <c r="E132" s="450" t="s">
        <v>510</v>
      </c>
      <c r="F132" s="339">
        <v>500.0</v>
      </c>
      <c r="G132" s="301">
        <v>159.0</v>
      </c>
      <c r="H132" s="301">
        <v>159.0</v>
      </c>
      <c r="I132" s="455"/>
      <c r="J132" s="313">
        <v>33.0</v>
      </c>
      <c r="K132" s="497">
        <f t="shared" si="20"/>
        <v>0.2075471698</v>
      </c>
      <c r="L132" s="315">
        <f t="shared" si="21"/>
        <v>-33</v>
      </c>
      <c r="M132" s="316">
        <f t="shared" si="22"/>
        <v>-1</v>
      </c>
      <c r="N132" s="442"/>
      <c r="O132" s="494"/>
      <c r="P132" s="454"/>
      <c r="Q132" s="442"/>
      <c r="R132" s="443"/>
    </row>
    <row r="133" ht="15.75" hidden="1" customHeight="1">
      <c r="A133" s="327" t="s">
        <v>640</v>
      </c>
      <c r="B133" s="327" t="s">
        <v>637</v>
      </c>
      <c r="C133" s="464" t="s">
        <v>640</v>
      </c>
      <c r="D133" s="327" t="s">
        <v>637</v>
      </c>
      <c r="E133" s="450" t="s">
        <v>160</v>
      </c>
      <c r="F133" s="469">
        <v>500.0</v>
      </c>
      <c r="G133" s="301">
        <v>149.0</v>
      </c>
      <c r="H133" s="443"/>
      <c r="I133" s="455"/>
      <c r="J133" s="313">
        <v>26.0</v>
      </c>
      <c r="K133" s="519">
        <f t="shared" si="20"/>
        <v>0.1744966443</v>
      </c>
      <c r="L133" s="315">
        <f t="shared" si="21"/>
        <v>-26</v>
      </c>
      <c r="M133" s="316">
        <f t="shared" si="22"/>
        <v>-1</v>
      </c>
      <c r="N133" s="442"/>
      <c r="O133" s="494"/>
      <c r="P133" s="454"/>
      <c r="Q133" s="442"/>
      <c r="R133" s="443"/>
    </row>
    <row r="134" ht="15.75" customHeight="1">
      <c r="E134" s="450" t="s">
        <v>509</v>
      </c>
      <c r="F134" s="339">
        <v>500.0</v>
      </c>
      <c r="G134" s="301">
        <v>149.0</v>
      </c>
      <c r="H134" s="301">
        <v>139.0</v>
      </c>
      <c r="I134" s="455"/>
      <c r="J134" s="313">
        <v>26.0</v>
      </c>
      <c r="K134" s="519">
        <f t="shared" si="20"/>
        <v>0.1744966443</v>
      </c>
      <c r="L134" s="315">
        <f t="shared" si="21"/>
        <v>-26</v>
      </c>
      <c r="M134" s="316">
        <f t="shared" si="22"/>
        <v>-1</v>
      </c>
      <c r="N134" s="442"/>
      <c r="O134" s="494"/>
      <c r="P134" s="454"/>
      <c r="Q134" s="442"/>
      <c r="R134" s="443"/>
    </row>
    <row r="135" ht="15.75" hidden="1" customHeight="1">
      <c r="E135" s="450" t="s">
        <v>510</v>
      </c>
      <c r="F135" s="339">
        <v>500.0</v>
      </c>
      <c r="G135" s="301">
        <v>149.0</v>
      </c>
      <c r="H135" s="301">
        <v>139.0</v>
      </c>
      <c r="I135" s="455"/>
      <c r="J135" s="313">
        <v>25.0</v>
      </c>
      <c r="K135" s="520">
        <f t="shared" si="20"/>
        <v>0.1677852349</v>
      </c>
      <c r="L135" s="315">
        <f t="shared" si="21"/>
        <v>-25</v>
      </c>
      <c r="M135" s="316">
        <f t="shared" si="22"/>
        <v>-1</v>
      </c>
      <c r="N135" s="442"/>
      <c r="O135" s="494"/>
      <c r="P135" s="454"/>
      <c r="Q135" s="442"/>
      <c r="R135" s="443"/>
    </row>
    <row r="136" ht="15.75" hidden="1" customHeight="1">
      <c r="A136" s="327" t="s">
        <v>641</v>
      </c>
      <c r="B136" s="327" t="s">
        <v>642</v>
      </c>
      <c r="C136" s="464" t="s">
        <v>641</v>
      </c>
      <c r="D136" s="327" t="s">
        <v>642</v>
      </c>
      <c r="E136" s="450" t="s">
        <v>159</v>
      </c>
      <c r="F136" s="339">
        <v>500.0</v>
      </c>
      <c r="G136" s="301">
        <v>149.0</v>
      </c>
      <c r="H136" s="301">
        <v>139.0</v>
      </c>
      <c r="I136" s="312" t="str">
        <f>G136/R136</f>
        <v>#DIV/0!</v>
      </c>
      <c r="J136" s="313">
        <v>18.0</v>
      </c>
      <c r="K136" s="521">
        <f t="shared" si="20"/>
        <v>0.1208053691</v>
      </c>
      <c r="L136" s="315">
        <f t="shared" si="21"/>
        <v>-18</v>
      </c>
      <c r="M136" s="316">
        <f t="shared" si="22"/>
        <v>-1</v>
      </c>
      <c r="N136" s="331">
        <v>179.0</v>
      </c>
      <c r="O136" s="343" t="s">
        <v>111</v>
      </c>
      <c r="P136" s="343" t="s">
        <v>111</v>
      </c>
      <c r="Q136" s="442"/>
      <c r="R136" s="443"/>
    </row>
    <row r="137" ht="15.75" hidden="1" customHeight="1">
      <c r="A137" s="288" t="s">
        <v>643</v>
      </c>
      <c r="B137" s="434"/>
      <c r="C137" s="446" t="s">
        <v>643</v>
      </c>
      <c r="D137" s="291"/>
      <c r="E137" s="450" t="s">
        <v>159</v>
      </c>
      <c r="F137" s="458"/>
      <c r="G137" s="438"/>
      <c r="H137" s="438"/>
      <c r="I137" s="441"/>
      <c r="J137" s="440"/>
      <c r="K137" s="441"/>
      <c r="L137" s="438"/>
      <c r="M137" s="441"/>
      <c r="N137" s="438"/>
      <c r="O137" s="435"/>
      <c r="P137" s="435"/>
      <c r="Q137" s="442"/>
      <c r="R137" s="438"/>
    </row>
    <row r="138" ht="15.75" hidden="1" customHeight="1">
      <c r="B138" s="434"/>
      <c r="D138" s="291"/>
      <c r="E138" s="450" t="s">
        <v>160</v>
      </c>
      <c r="F138" s="459"/>
      <c r="G138" s="438"/>
      <c r="H138" s="438"/>
      <c r="I138" s="441"/>
      <c r="J138" s="440"/>
      <c r="K138" s="441"/>
      <c r="L138" s="438"/>
      <c r="M138" s="441"/>
      <c r="N138" s="438"/>
      <c r="O138" s="435"/>
      <c r="P138" s="435"/>
      <c r="Q138" s="442"/>
      <c r="R138" s="438"/>
    </row>
    <row r="139" ht="15.75" customHeight="1">
      <c r="B139" s="434"/>
      <c r="D139" s="291"/>
      <c r="E139" s="450" t="s">
        <v>509</v>
      </c>
      <c r="F139" s="458"/>
      <c r="G139" s="438"/>
      <c r="H139" s="438"/>
      <c r="I139" s="441"/>
      <c r="J139" s="440"/>
      <c r="K139" s="441"/>
      <c r="L139" s="438"/>
      <c r="M139" s="441"/>
      <c r="N139" s="438"/>
      <c r="O139" s="435"/>
      <c r="P139" s="435"/>
      <c r="Q139" s="442"/>
      <c r="R139" s="438"/>
    </row>
    <row r="140" ht="15.75" hidden="1" customHeight="1">
      <c r="B140" s="434"/>
      <c r="D140" s="291"/>
      <c r="E140" s="450" t="s">
        <v>510</v>
      </c>
      <c r="F140" s="458"/>
      <c r="G140" s="438"/>
      <c r="H140" s="438"/>
      <c r="I140" s="441"/>
      <c r="J140" s="440"/>
      <c r="K140" s="441"/>
      <c r="L140" s="438"/>
      <c r="M140" s="441"/>
      <c r="N140" s="438"/>
      <c r="O140" s="435"/>
      <c r="P140" s="435"/>
      <c r="Q140" s="442"/>
      <c r="R140" s="438"/>
    </row>
    <row r="141" ht="15.75" hidden="1" customHeight="1">
      <c r="A141" s="327" t="s">
        <v>651</v>
      </c>
      <c r="B141" s="327" t="s">
        <v>652</v>
      </c>
      <c r="C141" s="464" t="s">
        <v>651</v>
      </c>
      <c r="D141" s="342"/>
      <c r="E141" s="450" t="s">
        <v>159</v>
      </c>
      <c r="F141" s="339">
        <v>500.0</v>
      </c>
      <c r="G141" s="311">
        <v>299.0</v>
      </c>
      <c r="H141" s="311">
        <v>299.0</v>
      </c>
      <c r="I141" s="312" t="str">
        <f>G141/R141</f>
        <v>#DIV/0!</v>
      </c>
      <c r="J141" s="313">
        <v>46.0</v>
      </c>
      <c r="K141" s="522">
        <f t="shared" ref="K141:K148" si="23">J141/G141</f>
        <v>0.1538461538</v>
      </c>
      <c r="L141" s="315">
        <f t="shared" ref="L141:L148" si="24">Q141-J141</f>
        <v>-46</v>
      </c>
      <c r="M141" s="316">
        <f t="shared" ref="M141:M148" si="25">Q141/J141-1</f>
        <v>-1</v>
      </c>
      <c r="N141" s="452"/>
      <c r="O141" s="318" t="s">
        <v>112</v>
      </c>
      <c r="P141" s="318" t="s">
        <v>112</v>
      </c>
      <c r="Q141" s="442"/>
      <c r="R141" s="443"/>
    </row>
    <row r="142" ht="15.75" hidden="1" customHeight="1">
      <c r="D142" s="342"/>
      <c r="E142" s="450" t="s">
        <v>160</v>
      </c>
      <c r="F142" s="469">
        <v>500.0</v>
      </c>
      <c r="G142" s="311">
        <v>299.0</v>
      </c>
      <c r="H142" s="311">
        <v>289.0</v>
      </c>
      <c r="I142" s="455"/>
      <c r="J142" s="313">
        <v>48.0</v>
      </c>
      <c r="K142" s="523">
        <f t="shared" si="23"/>
        <v>0.1605351171</v>
      </c>
      <c r="L142" s="315">
        <f t="shared" si="24"/>
        <v>-48</v>
      </c>
      <c r="M142" s="316">
        <f t="shared" si="25"/>
        <v>-1</v>
      </c>
      <c r="N142" s="452"/>
      <c r="O142" s="454"/>
      <c r="P142" s="454"/>
      <c r="Q142" s="442"/>
      <c r="R142" s="443"/>
    </row>
    <row r="143" ht="15.75" customHeight="1">
      <c r="D143" s="342"/>
      <c r="E143" s="450" t="s">
        <v>509</v>
      </c>
      <c r="F143" s="339">
        <v>500.0</v>
      </c>
      <c r="G143" s="311">
        <v>329.0</v>
      </c>
      <c r="H143" s="311">
        <v>299.0</v>
      </c>
      <c r="I143" s="455"/>
      <c r="J143" s="313">
        <v>63.0</v>
      </c>
      <c r="K143" s="524">
        <f t="shared" si="23"/>
        <v>0.1914893617</v>
      </c>
      <c r="L143" s="315">
        <f t="shared" si="24"/>
        <v>-63</v>
      </c>
      <c r="M143" s="316">
        <f t="shared" si="25"/>
        <v>-1</v>
      </c>
      <c r="N143" s="452"/>
      <c r="O143" s="454"/>
      <c r="P143" s="454"/>
      <c r="Q143" s="442"/>
      <c r="R143" s="443"/>
    </row>
    <row r="144" ht="15.75" hidden="1" customHeight="1">
      <c r="D144" s="342"/>
      <c r="E144" s="450" t="s">
        <v>510</v>
      </c>
      <c r="F144" s="339">
        <v>500.0</v>
      </c>
      <c r="G144" s="311">
        <v>329.0</v>
      </c>
      <c r="H144" s="311">
        <v>289.0</v>
      </c>
      <c r="I144" s="455"/>
      <c r="J144" s="313">
        <v>45.0</v>
      </c>
      <c r="K144" s="525">
        <f t="shared" si="23"/>
        <v>0.1367781155</v>
      </c>
      <c r="L144" s="315">
        <f t="shared" si="24"/>
        <v>-45</v>
      </c>
      <c r="M144" s="316">
        <f t="shared" si="25"/>
        <v>-1</v>
      </c>
      <c r="N144" s="452"/>
      <c r="O144" s="454"/>
      <c r="P144" s="454"/>
      <c r="Q144" s="442"/>
      <c r="R144" s="443"/>
    </row>
    <row r="145" ht="15.75" hidden="1" customHeight="1">
      <c r="A145" s="327" t="s">
        <v>660</v>
      </c>
      <c r="B145" s="327" t="s">
        <v>661</v>
      </c>
      <c r="C145" s="464" t="s">
        <v>660</v>
      </c>
      <c r="D145" s="342"/>
      <c r="E145" s="450" t="s">
        <v>159</v>
      </c>
      <c r="F145" s="339">
        <v>500.0</v>
      </c>
      <c r="G145" s="311">
        <v>389.0</v>
      </c>
      <c r="H145" s="311">
        <v>359.0</v>
      </c>
      <c r="I145" s="312" t="str">
        <f>G145/R145</f>
        <v>#DIV/0!</v>
      </c>
      <c r="J145" s="313">
        <v>75.0</v>
      </c>
      <c r="K145" s="516">
        <f t="shared" si="23"/>
        <v>0.1928020566</v>
      </c>
      <c r="L145" s="315">
        <f t="shared" si="24"/>
        <v>-75</v>
      </c>
      <c r="M145" s="316">
        <f t="shared" si="25"/>
        <v>-1</v>
      </c>
      <c r="N145" s="452"/>
      <c r="O145" s="318" t="s">
        <v>112</v>
      </c>
      <c r="P145" s="318" t="s">
        <v>112</v>
      </c>
      <c r="Q145" s="442"/>
      <c r="R145" s="443"/>
    </row>
    <row r="146" ht="15.75" hidden="1" customHeight="1">
      <c r="B146" s="460"/>
      <c r="D146" s="342"/>
      <c r="E146" s="450" t="s">
        <v>160</v>
      </c>
      <c r="F146" s="469">
        <v>500.0</v>
      </c>
      <c r="G146" s="311">
        <v>389.0</v>
      </c>
      <c r="H146" s="311">
        <v>349.0</v>
      </c>
      <c r="I146" s="455"/>
      <c r="J146" s="313">
        <v>96.0</v>
      </c>
      <c r="K146" s="526">
        <f t="shared" si="23"/>
        <v>0.2467866324</v>
      </c>
      <c r="L146" s="315">
        <f t="shared" si="24"/>
        <v>-96</v>
      </c>
      <c r="M146" s="316">
        <f t="shared" si="25"/>
        <v>-1</v>
      </c>
      <c r="N146" s="452"/>
      <c r="O146" s="454"/>
      <c r="P146" s="454"/>
      <c r="Q146" s="442"/>
      <c r="R146" s="443"/>
    </row>
    <row r="147" ht="15.75" customHeight="1">
      <c r="B147" s="329" t="s">
        <v>661</v>
      </c>
      <c r="D147" s="342"/>
      <c r="E147" s="450" t="s">
        <v>509</v>
      </c>
      <c r="F147" s="339">
        <v>500.0</v>
      </c>
      <c r="G147" s="311">
        <v>399.0</v>
      </c>
      <c r="H147" s="311">
        <v>359.0</v>
      </c>
      <c r="I147" s="455"/>
      <c r="J147" s="313">
        <v>70.0</v>
      </c>
      <c r="K147" s="316">
        <f t="shared" si="23"/>
        <v>0.1754385965</v>
      </c>
      <c r="L147" s="315">
        <f t="shared" si="24"/>
        <v>-70</v>
      </c>
      <c r="M147" s="316">
        <f t="shared" si="25"/>
        <v>-1</v>
      </c>
      <c r="N147" s="452"/>
      <c r="O147" s="454"/>
      <c r="P147" s="454"/>
      <c r="Q147" s="442"/>
      <c r="R147" s="443"/>
    </row>
    <row r="148" ht="15.75" hidden="1" customHeight="1">
      <c r="B148" s="460"/>
      <c r="D148" s="342"/>
      <c r="E148" s="450" t="s">
        <v>510</v>
      </c>
      <c r="F148" s="339">
        <v>500.0</v>
      </c>
      <c r="G148" s="311">
        <v>399.0</v>
      </c>
      <c r="H148" s="311">
        <v>359.0</v>
      </c>
      <c r="I148" s="455"/>
      <c r="J148" s="313">
        <v>76.0</v>
      </c>
      <c r="K148" s="527">
        <f t="shared" si="23"/>
        <v>0.1904761905</v>
      </c>
      <c r="L148" s="315">
        <f t="shared" si="24"/>
        <v>-76</v>
      </c>
      <c r="M148" s="316">
        <f t="shared" si="25"/>
        <v>-1</v>
      </c>
      <c r="N148" s="452"/>
      <c r="O148" s="454"/>
      <c r="P148" s="454"/>
      <c r="Q148" s="442"/>
      <c r="R148" s="443"/>
    </row>
    <row r="149" ht="15.75" hidden="1" customHeight="1">
      <c r="A149" s="288" t="s">
        <v>683</v>
      </c>
      <c r="B149" s="434"/>
      <c r="C149" s="435"/>
      <c r="D149" s="291"/>
      <c r="E149" s="450" t="s">
        <v>159</v>
      </c>
      <c r="F149" s="458"/>
      <c r="G149" s="438"/>
      <c r="H149" s="438"/>
      <c r="I149" s="441"/>
      <c r="J149" s="440"/>
      <c r="K149" s="441"/>
      <c r="L149" s="438"/>
      <c r="M149" s="441"/>
      <c r="N149" s="438"/>
      <c r="O149" s="435"/>
      <c r="P149" s="435"/>
      <c r="Q149" s="442"/>
      <c r="R149" s="438"/>
    </row>
    <row r="150" ht="15.75" hidden="1" customHeight="1">
      <c r="B150" s="434"/>
      <c r="C150" s="435"/>
      <c r="D150" s="291"/>
      <c r="E150" s="450" t="s">
        <v>160</v>
      </c>
      <c r="F150" s="459"/>
      <c r="G150" s="438"/>
      <c r="H150" s="438"/>
      <c r="I150" s="441"/>
      <c r="J150" s="440"/>
      <c r="K150" s="441"/>
      <c r="L150" s="438"/>
      <c r="M150" s="441"/>
      <c r="N150" s="438"/>
      <c r="O150" s="435"/>
      <c r="P150" s="435"/>
      <c r="Q150" s="442"/>
      <c r="R150" s="438"/>
    </row>
    <row r="151" ht="15.75" customHeight="1">
      <c r="B151" s="434"/>
      <c r="C151" s="435"/>
      <c r="D151" s="291"/>
      <c r="E151" s="450" t="s">
        <v>509</v>
      </c>
      <c r="F151" s="458"/>
      <c r="G151" s="438"/>
      <c r="H151" s="438"/>
      <c r="I151" s="441"/>
      <c r="J151" s="440"/>
      <c r="K151" s="441"/>
      <c r="L151" s="438"/>
      <c r="M151" s="441"/>
      <c r="N151" s="438"/>
      <c r="O151" s="435"/>
      <c r="P151" s="435"/>
      <c r="Q151" s="442"/>
      <c r="R151" s="438"/>
    </row>
    <row r="152" ht="15.75" hidden="1" customHeight="1">
      <c r="B152" s="434"/>
      <c r="C152" s="435"/>
      <c r="D152" s="291"/>
      <c r="E152" s="450" t="s">
        <v>510</v>
      </c>
      <c r="F152" s="458"/>
      <c r="G152" s="438"/>
      <c r="H152" s="438"/>
      <c r="I152" s="441"/>
      <c r="J152" s="440"/>
      <c r="K152" s="441"/>
      <c r="L152" s="438"/>
      <c r="M152" s="441"/>
      <c r="N152" s="438"/>
      <c r="O152" s="435"/>
      <c r="P152" s="435"/>
      <c r="Q152" s="442"/>
      <c r="R152" s="438"/>
    </row>
    <row r="153" ht="15.75" hidden="1" customHeight="1">
      <c r="A153" s="327" t="s">
        <v>699</v>
      </c>
      <c r="B153" s="460"/>
      <c r="C153" s="491"/>
      <c r="D153" s="342"/>
      <c r="E153" s="450" t="s">
        <v>159</v>
      </c>
      <c r="F153" s="337">
        <v>450.0</v>
      </c>
      <c r="G153" s="311">
        <v>339.0</v>
      </c>
      <c r="H153" s="311">
        <v>319.0</v>
      </c>
      <c r="I153" s="312" t="str">
        <f>G153/R153</f>
        <v>#DIV/0!</v>
      </c>
      <c r="J153" s="313">
        <v>53.0</v>
      </c>
      <c r="K153" s="470">
        <f t="shared" ref="K153:K162" si="26">J153/G153</f>
        <v>0.1563421829</v>
      </c>
      <c r="L153" s="315">
        <f t="shared" ref="L153:L162" si="27">Q153-J153</f>
        <v>-53</v>
      </c>
      <c r="M153" s="316">
        <f t="shared" ref="M153:M162" si="28">Q153/J153-1</f>
        <v>-1</v>
      </c>
      <c r="N153" s="442"/>
      <c r="O153" s="454"/>
      <c r="P153" s="454"/>
      <c r="Q153" s="442"/>
      <c r="R153" s="443"/>
    </row>
    <row r="154" ht="15.75" hidden="1" customHeight="1">
      <c r="B154" s="460"/>
      <c r="C154" s="491"/>
      <c r="D154" s="342"/>
      <c r="E154" s="450" t="s">
        <v>160</v>
      </c>
      <c r="F154" s="492">
        <v>450.0</v>
      </c>
      <c r="G154" s="311">
        <v>339.0</v>
      </c>
      <c r="H154" s="311">
        <v>339.0</v>
      </c>
      <c r="I154" s="455"/>
      <c r="J154" s="313">
        <v>59.0</v>
      </c>
      <c r="K154" s="513">
        <f t="shared" si="26"/>
        <v>0.1740412979</v>
      </c>
      <c r="L154" s="315">
        <f t="shared" si="27"/>
        <v>-59</v>
      </c>
      <c r="M154" s="316">
        <f t="shared" si="28"/>
        <v>-1</v>
      </c>
      <c r="N154" s="442"/>
      <c r="O154" s="454"/>
      <c r="P154" s="454"/>
      <c r="Q154" s="442"/>
      <c r="R154" s="443"/>
    </row>
    <row r="155" ht="15.75" customHeight="1">
      <c r="B155" s="460"/>
      <c r="C155" s="491"/>
      <c r="D155" s="342"/>
      <c r="E155" s="450" t="s">
        <v>509</v>
      </c>
      <c r="F155" s="337">
        <v>450.0</v>
      </c>
      <c r="G155" s="311">
        <v>339.0</v>
      </c>
      <c r="H155" s="311">
        <v>269.0</v>
      </c>
      <c r="I155" s="455"/>
      <c r="J155" s="313">
        <v>58.0</v>
      </c>
      <c r="K155" s="509">
        <f t="shared" si="26"/>
        <v>0.1710914454</v>
      </c>
      <c r="L155" s="315">
        <f t="shared" si="27"/>
        <v>-58</v>
      </c>
      <c r="M155" s="316">
        <f t="shared" si="28"/>
        <v>-1</v>
      </c>
      <c r="N155" s="442"/>
      <c r="O155" s="454"/>
      <c r="P155" s="454"/>
      <c r="Q155" s="442"/>
      <c r="R155" s="443"/>
    </row>
    <row r="156" ht="15.75" hidden="1" customHeight="1">
      <c r="B156" s="460"/>
      <c r="C156" s="491"/>
      <c r="D156" s="342"/>
      <c r="E156" s="450" t="s">
        <v>510</v>
      </c>
      <c r="F156" s="337">
        <v>450.0</v>
      </c>
      <c r="G156" s="311">
        <v>339.0</v>
      </c>
      <c r="H156" s="311">
        <v>269.0</v>
      </c>
      <c r="I156" s="455"/>
      <c r="J156" s="313">
        <v>112.0</v>
      </c>
      <c r="K156" s="528">
        <f t="shared" si="26"/>
        <v>0.3303834808</v>
      </c>
      <c r="L156" s="315">
        <f t="shared" si="27"/>
        <v>-112</v>
      </c>
      <c r="M156" s="316">
        <f t="shared" si="28"/>
        <v>-1</v>
      </c>
      <c r="N156" s="442"/>
      <c r="O156" s="454"/>
      <c r="P156" s="454"/>
      <c r="Q156" s="442"/>
      <c r="R156" s="443"/>
    </row>
    <row r="157" ht="15.75" hidden="1" customHeight="1">
      <c r="A157" s="327" t="s">
        <v>702</v>
      </c>
      <c r="B157" s="460"/>
      <c r="C157" s="491"/>
      <c r="D157" s="342"/>
      <c r="E157" s="450" t="s">
        <v>159</v>
      </c>
      <c r="F157" s="337">
        <v>330.0</v>
      </c>
      <c r="G157" s="311">
        <v>259.0</v>
      </c>
      <c r="H157" s="311">
        <v>239.0</v>
      </c>
      <c r="I157" s="312" t="str">
        <f>G157/R157</f>
        <v>#DIV/0!</v>
      </c>
      <c r="J157" s="313">
        <v>42.0</v>
      </c>
      <c r="K157" s="529">
        <f t="shared" si="26"/>
        <v>0.1621621622</v>
      </c>
      <c r="L157" s="315">
        <f t="shared" si="27"/>
        <v>-42</v>
      </c>
      <c r="M157" s="316">
        <f t="shared" si="28"/>
        <v>-1</v>
      </c>
      <c r="N157" s="442"/>
      <c r="O157" s="454"/>
      <c r="P157" s="454"/>
      <c r="Q157" s="442"/>
      <c r="R157" s="443"/>
    </row>
    <row r="158" ht="15.75" hidden="1" customHeight="1">
      <c r="B158" s="460"/>
      <c r="C158" s="491"/>
      <c r="D158" s="342"/>
      <c r="E158" s="450" t="s">
        <v>160</v>
      </c>
      <c r="F158" s="492">
        <v>330.0</v>
      </c>
      <c r="G158" s="311">
        <v>259.0</v>
      </c>
      <c r="H158" s="311">
        <v>239.0</v>
      </c>
      <c r="I158" s="455"/>
      <c r="J158" s="313">
        <v>47.0</v>
      </c>
      <c r="K158" s="530">
        <f t="shared" si="26"/>
        <v>0.1814671815</v>
      </c>
      <c r="L158" s="315">
        <f t="shared" si="27"/>
        <v>-47</v>
      </c>
      <c r="M158" s="316">
        <f t="shared" si="28"/>
        <v>-1</v>
      </c>
      <c r="N158" s="442"/>
      <c r="O158" s="454"/>
      <c r="P158" s="454"/>
      <c r="Q158" s="442"/>
      <c r="R158" s="443"/>
    </row>
    <row r="159" ht="15.75" customHeight="1">
      <c r="B159" s="460"/>
      <c r="C159" s="491"/>
      <c r="D159" s="342"/>
      <c r="E159" s="450" t="s">
        <v>509</v>
      </c>
      <c r="F159" s="337">
        <v>330.0</v>
      </c>
      <c r="G159" s="311">
        <v>259.0</v>
      </c>
      <c r="H159" s="311">
        <v>239.0</v>
      </c>
      <c r="I159" s="455"/>
      <c r="J159" s="313">
        <v>42.0</v>
      </c>
      <c r="K159" s="529">
        <f t="shared" si="26"/>
        <v>0.1621621622</v>
      </c>
      <c r="L159" s="315">
        <f t="shared" si="27"/>
        <v>-42</v>
      </c>
      <c r="M159" s="316">
        <f t="shared" si="28"/>
        <v>-1</v>
      </c>
      <c r="N159" s="442"/>
      <c r="O159" s="454"/>
      <c r="P159" s="454"/>
      <c r="Q159" s="442"/>
      <c r="R159" s="443"/>
    </row>
    <row r="160" ht="15.75" hidden="1" customHeight="1">
      <c r="B160" s="460"/>
      <c r="C160" s="491"/>
      <c r="D160" s="342"/>
      <c r="E160" s="450" t="s">
        <v>510</v>
      </c>
      <c r="F160" s="337">
        <v>330.0</v>
      </c>
      <c r="G160" s="311">
        <v>259.0</v>
      </c>
      <c r="H160" s="311">
        <v>239.0</v>
      </c>
      <c r="I160" s="455"/>
      <c r="J160" s="313">
        <v>76.0</v>
      </c>
      <c r="K160" s="531">
        <f t="shared" si="26"/>
        <v>0.2934362934</v>
      </c>
      <c r="L160" s="315">
        <f t="shared" si="27"/>
        <v>-76</v>
      </c>
      <c r="M160" s="316">
        <f t="shared" si="28"/>
        <v>-1</v>
      </c>
      <c r="N160" s="442"/>
      <c r="O160" s="454"/>
      <c r="P160" s="454"/>
      <c r="Q160" s="442"/>
      <c r="R160" s="443"/>
    </row>
    <row r="161" ht="15.75" hidden="1" customHeight="1">
      <c r="A161" s="361" t="s">
        <v>704</v>
      </c>
      <c r="B161" s="327" t="s">
        <v>705</v>
      </c>
      <c r="C161" s="491"/>
      <c r="D161" s="336" t="s">
        <v>957</v>
      </c>
      <c r="E161" s="444" t="s">
        <v>510</v>
      </c>
      <c r="F161" s="337">
        <v>330.0</v>
      </c>
      <c r="G161" s="301">
        <v>399.0</v>
      </c>
      <c r="H161" s="301">
        <v>399.0</v>
      </c>
      <c r="I161" s="532"/>
      <c r="J161" s="364">
        <v>111.32</v>
      </c>
      <c r="K161" s="533">
        <f t="shared" si="26"/>
        <v>0.2789974937</v>
      </c>
      <c r="L161" s="315">
        <f t="shared" si="27"/>
        <v>-111.32</v>
      </c>
      <c r="M161" s="316">
        <f t="shared" si="28"/>
        <v>-1</v>
      </c>
      <c r="N161" s="442"/>
      <c r="O161" s="454"/>
      <c r="P161" s="454"/>
      <c r="Q161" s="442"/>
      <c r="R161" s="443"/>
    </row>
    <row r="162" ht="15.75" hidden="1" customHeight="1">
      <c r="A162" s="327" t="s">
        <v>707</v>
      </c>
      <c r="B162" s="327" t="s">
        <v>696</v>
      </c>
      <c r="C162" s="491"/>
      <c r="D162" s="336" t="s">
        <v>958</v>
      </c>
      <c r="E162" s="444" t="s">
        <v>510</v>
      </c>
      <c r="F162" s="337">
        <v>330.0</v>
      </c>
      <c r="G162" s="311">
        <v>399.0</v>
      </c>
      <c r="H162" s="311">
        <v>399.0</v>
      </c>
      <c r="I162" s="532"/>
      <c r="J162" s="364">
        <v>149.0</v>
      </c>
      <c r="K162" s="534">
        <f t="shared" si="26"/>
        <v>0.373433584</v>
      </c>
      <c r="L162" s="315">
        <f t="shared" si="27"/>
        <v>-149</v>
      </c>
      <c r="M162" s="316">
        <f t="shared" si="28"/>
        <v>-1</v>
      </c>
      <c r="N162" s="442"/>
      <c r="O162" s="454"/>
      <c r="P162" s="454"/>
      <c r="Q162" s="442"/>
      <c r="R162" s="443"/>
    </row>
    <row r="163" ht="15.75" hidden="1" customHeight="1">
      <c r="A163" s="288" t="s">
        <v>959</v>
      </c>
      <c r="B163" s="365"/>
      <c r="C163" s="435"/>
      <c r="D163" s="291"/>
      <c r="E163" s="450" t="s">
        <v>159</v>
      </c>
      <c r="F163" s="458"/>
      <c r="G163" s="438"/>
      <c r="H163" s="438"/>
      <c r="I163" s="441"/>
      <c r="J163" s="440"/>
      <c r="K163" s="441"/>
      <c r="L163" s="438"/>
      <c r="M163" s="441"/>
      <c r="N163" s="438"/>
      <c r="O163" s="435"/>
      <c r="P163" s="435"/>
      <c r="Q163" s="442"/>
      <c r="R163" s="438"/>
    </row>
    <row r="164" ht="15.75" hidden="1" customHeight="1">
      <c r="B164" s="535"/>
      <c r="C164" s="435"/>
      <c r="D164" s="291"/>
      <c r="E164" s="450" t="s">
        <v>160</v>
      </c>
      <c r="F164" s="459"/>
      <c r="G164" s="438"/>
      <c r="H164" s="438"/>
      <c r="I164" s="441"/>
      <c r="J164" s="440"/>
      <c r="K164" s="441"/>
      <c r="L164" s="438"/>
      <c r="M164" s="441"/>
      <c r="N164" s="438"/>
      <c r="O164" s="435"/>
      <c r="P164" s="435"/>
      <c r="Q164" s="442"/>
      <c r="R164" s="438"/>
    </row>
    <row r="165" ht="15.75" customHeight="1">
      <c r="B165" s="535"/>
      <c r="C165" s="435"/>
      <c r="D165" s="291"/>
      <c r="E165" s="450" t="s">
        <v>509</v>
      </c>
      <c r="F165" s="458"/>
      <c r="G165" s="438"/>
      <c r="H165" s="438"/>
      <c r="I165" s="441"/>
      <c r="J165" s="440"/>
      <c r="K165" s="441"/>
      <c r="L165" s="438"/>
      <c r="M165" s="441"/>
      <c r="N165" s="438"/>
      <c r="O165" s="435"/>
      <c r="P165" s="435"/>
      <c r="Q165" s="442"/>
      <c r="R165" s="438"/>
    </row>
    <row r="166" ht="15.75" hidden="1" customHeight="1">
      <c r="B166" s="535"/>
      <c r="C166" s="435"/>
      <c r="D166" s="291"/>
      <c r="E166" s="450" t="s">
        <v>510</v>
      </c>
      <c r="F166" s="458"/>
      <c r="G166" s="438"/>
      <c r="H166" s="438"/>
      <c r="I166" s="441"/>
      <c r="J166" s="440"/>
      <c r="K166" s="441"/>
      <c r="L166" s="438"/>
      <c r="M166" s="441"/>
      <c r="N166" s="438"/>
      <c r="O166" s="435"/>
      <c r="P166" s="435"/>
      <c r="Q166" s="442"/>
      <c r="R166" s="438"/>
    </row>
    <row r="167" ht="15.75" hidden="1" customHeight="1">
      <c r="A167" s="536" t="s">
        <v>730</v>
      </c>
      <c r="B167" s="367" t="s">
        <v>731</v>
      </c>
      <c r="C167" s="491"/>
      <c r="D167" s="367" t="s">
        <v>731</v>
      </c>
      <c r="E167" s="490" t="s">
        <v>159</v>
      </c>
      <c r="F167" s="339">
        <v>750.0</v>
      </c>
      <c r="G167" s="334">
        <v>2199.0</v>
      </c>
      <c r="H167" s="442"/>
      <c r="I167" s="286" t="str">
        <f>G167/R167</f>
        <v>#DIV/0!</v>
      </c>
      <c r="J167" s="335">
        <v>366.0</v>
      </c>
      <c r="K167" s="332">
        <f t="shared" ref="K167:K174" si="29">J167/G167</f>
        <v>0.1664392906</v>
      </c>
      <c r="L167" s="319">
        <f t="shared" ref="L167:L174" si="30">Q167-J167</f>
        <v>-366</v>
      </c>
      <c r="M167" s="332">
        <f t="shared" ref="M167:M174" si="31">Q167/J167-1</f>
        <v>-1</v>
      </c>
      <c r="N167" s="442"/>
      <c r="O167" s="491"/>
      <c r="P167" s="491"/>
      <c r="Q167" s="442"/>
      <c r="R167" s="442"/>
      <c r="S167" s="57"/>
      <c r="T167" s="57"/>
      <c r="U167" s="57"/>
      <c r="V167" s="57"/>
      <c r="W167" s="57"/>
      <c r="X167" s="57"/>
      <c r="Y167" s="57"/>
    </row>
    <row r="168" ht="15.75" hidden="1" customHeight="1">
      <c r="C168" s="491"/>
      <c r="E168" s="490" t="s">
        <v>160</v>
      </c>
      <c r="F168" s="469">
        <v>750.0</v>
      </c>
      <c r="G168" s="334">
        <v>2199.0</v>
      </c>
      <c r="H168" s="442"/>
      <c r="I168" s="462"/>
      <c r="J168" s="335">
        <v>366.0</v>
      </c>
      <c r="K168" s="332">
        <f t="shared" si="29"/>
        <v>0.1664392906</v>
      </c>
      <c r="L168" s="319">
        <f t="shared" si="30"/>
        <v>-366</v>
      </c>
      <c r="M168" s="332">
        <f t="shared" si="31"/>
        <v>-1</v>
      </c>
      <c r="N168" s="442"/>
      <c r="O168" s="491"/>
      <c r="P168" s="491"/>
      <c r="Q168" s="442"/>
      <c r="R168" s="442"/>
      <c r="S168" s="57"/>
      <c r="T168" s="57"/>
      <c r="U168" s="57"/>
      <c r="V168" s="57"/>
      <c r="W168" s="57"/>
      <c r="X168" s="57"/>
      <c r="Y168" s="57"/>
    </row>
    <row r="169" ht="15.75" customHeight="1">
      <c r="C169" s="491"/>
      <c r="E169" s="490" t="s">
        <v>509</v>
      </c>
      <c r="F169" s="339">
        <v>750.0</v>
      </c>
      <c r="G169" s="334">
        <v>2299.0</v>
      </c>
      <c r="H169" s="442"/>
      <c r="I169" s="462"/>
      <c r="J169" s="335">
        <v>366.0</v>
      </c>
      <c r="K169" s="332">
        <f t="shared" si="29"/>
        <v>0.159199652</v>
      </c>
      <c r="L169" s="319">
        <f t="shared" si="30"/>
        <v>-366</v>
      </c>
      <c r="M169" s="332">
        <f t="shared" si="31"/>
        <v>-1</v>
      </c>
      <c r="N169" s="442"/>
      <c r="O169" s="491"/>
      <c r="P169" s="491"/>
      <c r="Q169" s="442"/>
      <c r="R169" s="442"/>
      <c r="S169" s="57"/>
      <c r="T169" s="57"/>
      <c r="U169" s="57"/>
      <c r="V169" s="57"/>
      <c r="W169" s="57"/>
      <c r="X169" s="57"/>
      <c r="Y169" s="57"/>
    </row>
    <row r="170" ht="15.75" hidden="1" customHeight="1">
      <c r="C170" s="491"/>
      <c r="E170" s="490" t="s">
        <v>510</v>
      </c>
      <c r="F170" s="339">
        <v>750.0</v>
      </c>
      <c r="G170" s="334">
        <v>2299.0</v>
      </c>
      <c r="H170" s="442"/>
      <c r="I170" s="462"/>
      <c r="J170" s="335">
        <v>366.0</v>
      </c>
      <c r="K170" s="332">
        <f t="shared" si="29"/>
        <v>0.159199652</v>
      </c>
      <c r="L170" s="319">
        <f t="shared" si="30"/>
        <v>-366</v>
      </c>
      <c r="M170" s="332">
        <f t="shared" si="31"/>
        <v>-1</v>
      </c>
      <c r="N170" s="442"/>
      <c r="O170" s="491"/>
      <c r="P170" s="491"/>
      <c r="Q170" s="442"/>
      <c r="R170" s="442"/>
      <c r="S170" s="57"/>
      <c r="T170" s="57"/>
      <c r="U170" s="57"/>
      <c r="V170" s="57"/>
      <c r="W170" s="57"/>
      <c r="X170" s="57"/>
      <c r="Y170" s="57"/>
    </row>
    <row r="171" ht="15.75" hidden="1" customHeight="1">
      <c r="A171" s="536" t="s">
        <v>732</v>
      </c>
      <c r="B171" s="367" t="s">
        <v>733</v>
      </c>
      <c r="C171" s="491"/>
      <c r="D171" s="367" t="s">
        <v>733</v>
      </c>
      <c r="E171" s="490" t="s">
        <v>159</v>
      </c>
      <c r="F171" s="339">
        <v>750.0</v>
      </c>
      <c r="G171" s="334">
        <v>2199.0</v>
      </c>
      <c r="H171" s="442"/>
      <c r="I171" s="286" t="str">
        <f>G171/R171</f>
        <v>#DIV/0!</v>
      </c>
      <c r="J171" s="335">
        <v>366.0</v>
      </c>
      <c r="K171" s="332">
        <f t="shared" si="29"/>
        <v>0.1664392906</v>
      </c>
      <c r="L171" s="319">
        <f t="shared" si="30"/>
        <v>-366</v>
      </c>
      <c r="M171" s="332">
        <f t="shared" si="31"/>
        <v>-1</v>
      </c>
      <c r="N171" s="442"/>
      <c r="O171" s="491"/>
      <c r="P171" s="491"/>
      <c r="Q171" s="442"/>
      <c r="R171" s="442"/>
      <c r="S171" s="57"/>
      <c r="T171" s="57"/>
      <c r="U171" s="57"/>
      <c r="V171" s="57"/>
      <c r="W171" s="57"/>
      <c r="X171" s="57"/>
      <c r="Y171" s="57"/>
    </row>
    <row r="172" ht="15.75" hidden="1" customHeight="1">
      <c r="C172" s="491"/>
      <c r="E172" s="490" t="s">
        <v>160</v>
      </c>
      <c r="F172" s="469">
        <v>750.0</v>
      </c>
      <c r="G172" s="334">
        <v>2199.0</v>
      </c>
      <c r="H172" s="442"/>
      <c r="I172" s="462"/>
      <c r="J172" s="335">
        <v>366.0</v>
      </c>
      <c r="K172" s="332">
        <f t="shared" si="29"/>
        <v>0.1664392906</v>
      </c>
      <c r="L172" s="319">
        <f t="shared" si="30"/>
        <v>-366</v>
      </c>
      <c r="M172" s="332">
        <f t="shared" si="31"/>
        <v>-1</v>
      </c>
      <c r="N172" s="442"/>
      <c r="O172" s="491"/>
      <c r="P172" s="491"/>
      <c r="Q172" s="442"/>
      <c r="R172" s="442"/>
      <c r="S172" s="57"/>
      <c r="T172" s="57"/>
      <c r="U172" s="57"/>
      <c r="V172" s="57"/>
      <c r="W172" s="57"/>
      <c r="X172" s="57"/>
      <c r="Y172" s="57"/>
    </row>
    <row r="173" ht="15.75" customHeight="1">
      <c r="C173" s="491"/>
      <c r="E173" s="490" t="s">
        <v>509</v>
      </c>
      <c r="F173" s="339">
        <v>750.0</v>
      </c>
      <c r="G173" s="334">
        <v>2299.0</v>
      </c>
      <c r="H173" s="442"/>
      <c r="I173" s="462"/>
      <c r="J173" s="335">
        <v>366.0</v>
      </c>
      <c r="K173" s="332">
        <f t="shared" si="29"/>
        <v>0.159199652</v>
      </c>
      <c r="L173" s="319">
        <f t="shared" si="30"/>
        <v>-366</v>
      </c>
      <c r="M173" s="332">
        <f t="shared" si="31"/>
        <v>-1</v>
      </c>
      <c r="N173" s="442"/>
      <c r="O173" s="491"/>
      <c r="P173" s="491"/>
      <c r="Q173" s="442"/>
      <c r="R173" s="442"/>
      <c r="S173" s="57"/>
      <c r="T173" s="57"/>
      <c r="U173" s="57"/>
      <c r="V173" s="57"/>
      <c r="W173" s="57"/>
      <c r="X173" s="57"/>
      <c r="Y173" s="57"/>
    </row>
    <row r="174" ht="15.75" hidden="1" customHeight="1">
      <c r="C174" s="491"/>
      <c r="E174" s="490" t="s">
        <v>510</v>
      </c>
      <c r="F174" s="339">
        <v>750.0</v>
      </c>
      <c r="G174" s="334">
        <v>2299.0</v>
      </c>
      <c r="H174" s="442"/>
      <c r="I174" s="462"/>
      <c r="J174" s="335">
        <v>366.0</v>
      </c>
      <c r="K174" s="332">
        <f t="shared" si="29"/>
        <v>0.159199652</v>
      </c>
      <c r="L174" s="319">
        <f t="shared" si="30"/>
        <v>-366</v>
      </c>
      <c r="M174" s="332">
        <f t="shared" si="31"/>
        <v>-1</v>
      </c>
      <c r="N174" s="442"/>
      <c r="O174" s="491"/>
      <c r="P174" s="491"/>
      <c r="Q174" s="442"/>
      <c r="R174" s="442"/>
      <c r="S174" s="57"/>
      <c r="T174" s="57"/>
      <c r="U174" s="57"/>
      <c r="V174" s="57"/>
      <c r="W174" s="57"/>
      <c r="X174" s="57"/>
      <c r="Y174" s="57"/>
    </row>
    <row r="175" ht="15.75" hidden="1" customHeight="1">
      <c r="A175" s="288" t="s">
        <v>739</v>
      </c>
      <c r="B175" s="434"/>
      <c r="C175" s="435"/>
      <c r="D175" s="291"/>
      <c r="E175" s="450" t="s">
        <v>159</v>
      </c>
      <c r="F175" s="458"/>
      <c r="G175" s="438"/>
      <c r="H175" s="438"/>
      <c r="I175" s="441"/>
      <c r="J175" s="440"/>
      <c r="K175" s="441"/>
      <c r="L175" s="438"/>
      <c r="M175" s="441"/>
      <c r="N175" s="438"/>
      <c r="O175" s="435"/>
      <c r="P175" s="435"/>
      <c r="Q175" s="438"/>
      <c r="R175" s="438"/>
    </row>
    <row r="176" ht="15.75" hidden="1" customHeight="1">
      <c r="B176" s="434"/>
      <c r="C176" s="435"/>
      <c r="D176" s="291"/>
      <c r="E176" s="450" t="s">
        <v>160</v>
      </c>
      <c r="F176" s="459"/>
      <c r="G176" s="438"/>
      <c r="H176" s="438"/>
      <c r="I176" s="441"/>
      <c r="J176" s="440"/>
      <c r="K176" s="441"/>
      <c r="L176" s="438"/>
      <c r="M176" s="441"/>
      <c r="N176" s="438"/>
      <c r="O176" s="435"/>
      <c r="P176" s="435"/>
      <c r="Q176" s="438"/>
      <c r="R176" s="438"/>
    </row>
    <row r="177" ht="15.75" customHeight="1">
      <c r="B177" s="434"/>
      <c r="C177" s="435"/>
      <c r="D177" s="291"/>
      <c r="E177" s="450" t="s">
        <v>509</v>
      </c>
      <c r="F177" s="458"/>
      <c r="G177" s="438"/>
      <c r="H177" s="438"/>
      <c r="I177" s="441"/>
      <c r="J177" s="440"/>
      <c r="K177" s="441"/>
      <c r="L177" s="438"/>
      <c r="M177" s="441"/>
      <c r="N177" s="438"/>
      <c r="O177" s="435"/>
      <c r="P177" s="435"/>
      <c r="Q177" s="438"/>
      <c r="R177" s="438"/>
    </row>
    <row r="178" ht="15.75" hidden="1" customHeight="1">
      <c r="B178" s="434"/>
      <c r="C178" s="435"/>
      <c r="D178" s="291"/>
      <c r="E178" s="450" t="s">
        <v>510</v>
      </c>
      <c r="F178" s="458"/>
      <c r="G178" s="438"/>
      <c r="H178" s="438"/>
      <c r="I178" s="441"/>
      <c r="J178" s="440"/>
      <c r="K178" s="441"/>
      <c r="L178" s="438"/>
      <c r="M178" s="441"/>
      <c r="N178" s="438"/>
      <c r="O178" s="435"/>
      <c r="P178" s="435"/>
      <c r="Q178" s="438"/>
      <c r="R178" s="438"/>
    </row>
    <row r="179" ht="15.75" hidden="1" customHeight="1">
      <c r="A179" s="327" t="s">
        <v>740</v>
      </c>
      <c r="B179" s="329" t="s">
        <v>960</v>
      </c>
      <c r="C179" s="491"/>
      <c r="D179" s="342" t="s">
        <v>731</v>
      </c>
      <c r="E179" s="490" t="s">
        <v>159</v>
      </c>
      <c r="F179" s="337">
        <v>750.0</v>
      </c>
      <c r="G179" s="334">
        <v>2199.0</v>
      </c>
      <c r="H179" s="442"/>
      <c r="I179" s="462"/>
      <c r="J179" s="335">
        <v>373.0</v>
      </c>
      <c r="K179" s="332">
        <f t="shared" ref="K179:K202" si="32">J179/G179</f>
        <v>0.1696225557</v>
      </c>
      <c r="L179" s="319">
        <f t="shared" ref="L179:L202" si="33">Q179-J179</f>
        <v>-373</v>
      </c>
      <c r="M179" s="332">
        <f t="shared" ref="M179:M202" si="34">Q179/J179-1</f>
        <v>-1</v>
      </c>
      <c r="N179" s="442"/>
      <c r="O179" s="491"/>
      <c r="P179" s="491"/>
      <c r="Q179" s="442"/>
      <c r="R179" s="442"/>
      <c r="S179" s="57"/>
      <c r="T179" s="57"/>
      <c r="U179" s="57"/>
      <c r="V179" s="57"/>
      <c r="W179" s="57"/>
      <c r="X179" s="57"/>
      <c r="Y179" s="57"/>
    </row>
    <row r="180" ht="15.75" hidden="1" customHeight="1">
      <c r="C180" s="491"/>
      <c r="D180" s="305"/>
      <c r="E180" s="490" t="s">
        <v>160</v>
      </c>
      <c r="F180" s="492">
        <v>750.0</v>
      </c>
      <c r="G180" s="334">
        <v>2199.0</v>
      </c>
      <c r="H180" s="442"/>
      <c r="I180" s="462"/>
      <c r="J180" s="335">
        <v>373.0</v>
      </c>
      <c r="K180" s="332">
        <f t="shared" si="32"/>
        <v>0.1696225557</v>
      </c>
      <c r="L180" s="319">
        <f t="shared" si="33"/>
        <v>-373</v>
      </c>
      <c r="M180" s="332">
        <f t="shared" si="34"/>
        <v>-1</v>
      </c>
      <c r="N180" s="442"/>
      <c r="O180" s="491"/>
      <c r="P180" s="491"/>
      <c r="Q180" s="442"/>
      <c r="R180" s="442"/>
      <c r="S180" s="57"/>
      <c r="T180" s="57"/>
      <c r="U180" s="57"/>
      <c r="V180" s="57"/>
      <c r="W180" s="57"/>
      <c r="X180" s="57"/>
      <c r="Y180" s="57"/>
    </row>
    <row r="181" ht="15.75" customHeight="1">
      <c r="C181" s="491"/>
      <c r="D181" s="305"/>
      <c r="E181" s="490" t="s">
        <v>509</v>
      </c>
      <c r="F181" s="337">
        <v>750.0</v>
      </c>
      <c r="G181" s="334">
        <v>2299.0</v>
      </c>
      <c r="H181" s="442"/>
      <c r="I181" s="462"/>
      <c r="J181" s="335">
        <v>373.0</v>
      </c>
      <c r="K181" s="332">
        <f t="shared" si="32"/>
        <v>0.1622444541</v>
      </c>
      <c r="L181" s="319">
        <f t="shared" si="33"/>
        <v>-373</v>
      </c>
      <c r="M181" s="332">
        <f t="shared" si="34"/>
        <v>-1</v>
      </c>
      <c r="N181" s="442"/>
      <c r="O181" s="491"/>
      <c r="P181" s="491"/>
      <c r="Q181" s="442"/>
      <c r="R181" s="442"/>
      <c r="S181" s="57"/>
      <c r="T181" s="57"/>
      <c r="U181" s="57"/>
      <c r="V181" s="57"/>
      <c r="W181" s="57"/>
      <c r="X181" s="57"/>
      <c r="Y181" s="57"/>
    </row>
    <row r="182" ht="15.75" hidden="1" customHeight="1">
      <c r="C182" s="491"/>
      <c r="D182" s="305"/>
      <c r="E182" s="490" t="s">
        <v>510</v>
      </c>
      <c r="F182" s="337">
        <v>750.0</v>
      </c>
      <c r="G182" s="334">
        <v>2299.0</v>
      </c>
      <c r="H182" s="442"/>
      <c r="I182" s="462"/>
      <c r="J182" s="335">
        <v>373.0</v>
      </c>
      <c r="K182" s="332">
        <f t="shared" si="32"/>
        <v>0.1622444541</v>
      </c>
      <c r="L182" s="319">
        <f t="shared" si="33"/>
        <v>-373</v>
      </c>
      <c r="M182" s="332">
        <f t="shared" si="34"/>
        <v>-1</v>
      </c>
      <c r="N182" s="442"/>
      <c r="O182" s="491"/>
      <c r="P182" s="491"/>
      <c r="Q182" s="442"/>
      <c r="R182" s="442"/>
      <c r="S182" s="57"/>
      <c r="T182" s="57"/>
      <c r="U182" s="57"/>
      <c r="V182" s="57"/>
      <c r="W182" s="57"/>
      <c r="X182" s="57"/>
      <c r="Y182" s="57"/>
    </row>
    <row r="183" ht="15.75" hidden="1" customHeight="1">
      <c r="A183" s="327" t="s">
        <v>740</v>
      </c>
      <c r="B183" s="329" t="s">
        <v>960</v>
      </c>
      <c r="C183" s="491"/>
      <c r="D183" s="342" t="s">
        <v>731</v>
      </c>
      <c r="E183" s="490" t="s">
        <v>159</v>
      </c>
      <c r="F183" s="337">
        <v>125.0</v>
      </c>
      <c r="G183" s="341">
        <v>369.0</v>
      </c>
      <c r="H183" s="442"/>
      <c r="I183" s="462"/>
      <c r="J183" s="335">
        <v>62.0</v>
      </c>
      <c r="K183" s="332">
        <f t="shared" si="32"/>
        <v>0.1680216802</v>
      </c>
      <c r="L183" s="319">
        <f t="shared" si="33"/>
        <v>-62</v>
      </c>
      <c r="M183" s="332">
        <f t="shared" si="34"/>
        <v>-1</v>
      </c>
      <c r="N183" s="442"/>
      <c r="O183" s="491"/>
      <c r="P183" s="491"/>
      <c r="Q183" s="442"/>
      <c r="R183" s="442"/>
      <c r="S183" s="57"/>
      <c r="T183" s="57"/>
      <c r="U183" s="57"/>
      <c r="V183" s="57"/>
      <c r="W183" s="57"/>
      <c r="X183" s="57"/>
      <c r="Y183" s="57"/>
    </row>
    <row r="184" ht="15.75" hidden="1" customHeight="1">
      <c r="B184" s="460"/>
      <c r="C184" s="491"/>
      <c r="D184" s="305"/>
      <c r="E184" s="490" t="s">
        <v>160</v>
      </c>
      <c r="F184" s="492">
        <v>125.0</v>
      </c>
      <c r="G184" s="341">
        <v>369.0</v>
      </c>
      <c r="H184" s="442"/>
      <c r="I184" s="462"/>
      <c r="J184" s="335">
        <v>62.0</v>
      </c>
      <c r="K184" s="332">
        <f t="shared" si="32"/>
        <v>0.1680216802</v>
      </c>
      <c r="L184" s="319">
        <f t="shared" si="33"/>
        <v>-62</v>
      </c>
      <c r="M184" s="332">
        <f t="shared" si="34"/>
        <v>-1</v>
      </c>
      <c r="N184" s="442"/>
      <c r="O184" s="491"/>
      <c r="P184" s="491"/>
      <c r="Q184" s="442"/>
      <c r="R184" s="442"/>
      <c r="S184" s="57"/>
      <c r="T184" s="57"/>
      <c r="U184" s="57"/>
      <c r="V184" s="57"/>
      <c r="W184" s="57"/>
      <c r="X184" s="57"/>
      <c r="Y184" s="57"/>
    </row>
    <row r="185" ht="15.75" customHeight="1">
      <c r="B185" s="460"/>
      <c r="C185" s="491"/>
      <c r="D185" s="305"/>
      <c r="E185" s="490" t="s">
        <v>509</v>
      </c>
      <c r="F185" s="337">
        <v>125.0</v>
      </c>
      <c r="G185" s="341">
        <v>389.0</v>
      </c>
      <c r="H185" s="442"/>
      <c r="I185" s="462"/>
      <c r="J185" s="335">
        <v>62.0</v>
      </c>
      <c r="K185" s="332">
        <f t="shared" si="32"/>
        <v>0.1593830334</v>
      </c>
      <c r="L185" s="319">
        <f t="shared" si="33"/>
        <v>-62</v>
      </c>
      <c r="M185" s="332">
        <f t="shared" si="34"/>
        <v>-1</v>
      </c>
      <c r="N185" s="442"/>
      <c r="O185" s="491"/>
      <c r="P185" s="491"/>
      <c r="Q185" s="442"/>
      <c r="R185" s="442"/>
      <c r="S185" s="57"/>
      <c r="T185" s="57"/>
      <c r="U185" s="57"/>
      <c r="V185" s="57"/>
      <c r="W185" s="57"/>
      <c r="X185" s="57"/>
      <c r="Y185" s="57"/>
    </row>
    <row r="186" ht="15.75" hidden="1" customHeight="1">
      <c r="B186" s="460"/>
      <c r="C186" s="491"/>
      <c r="D186" s="305"/>
      <c r="E186" s="490" t="s">
        <v>510</v>
      </c>
      <c r="F186" s="337">
        <v>125.0</v>
      </c>
      <c r="G186" s="341">
        <v>389.0</v>
      </c>
      <c r="H186" s="442"/>
      <c r="I186" s="462"/>
      <c r="J186" s="335">
        <v>62.0</v>
      </c>
      <c r="K186" s="332">
        <f t="shared" si="32"/>
        <v>0.1593830334</v>
      </c>
      <c r="L186" s="319">
        <f t="shared" si="33"/>
        <v>-62</v>
      </c>
      <c r="M186" s="332">
        <f t="shared" si="34"/>
        <v>-1</v>
      </c>
      <c r="N186" s="442"/>
      <c r="O186" s="491"/>
      <c r="P186" s="491"/>
      <c r="Q186" s="442"/>
      <c r="R186" s="442"/>
      <c r="S186" s="57"/>
      <c r="T186" s="57"/>
      <c r="U186" s="57"/>
      <c r="V186" s="57"/>
      <c r="W186" s="57"/>
      <c r="X186" s="57"/>
      <c r="Y186" s="57"/>
    </row>
    <row r="187" ht="15.75" hidden="1" customHeight="1">
      <c r="A187" s="327" t="s">
        <v>742</v>
      </c>
      <c r="B187" s="329" t="s">
        <v>960</v>
      </c>
      <c r="C187" s="491"/>
      <c r="D187" s="342" t="s">
        <v>731</v>
      </c>
      <c r="E187" s="490" t="s">
        <v>159</v>
      </c>
      <c r="F187" s="337">
        <v>750.0</v>
      </c>
      <c r="G187" s="334">
        <v>2299.0</v>
      </c>
      <c r="H187" s="442"/>
      <c r="I187" s="462"/>
      <c r="J187" s="335">
        <v>443.0</v>
      </c>
      <c r="K187" s="332">
        <f t="shared" si="32"/>
        <v>0.192692475</v>
      </c>
      <c r="L187" s="319">
        <f t="shared" si="33"/>
        <v>-443</v>
      </c>
      <c r="M187" s="332">
        <f t="shared" si="34"/>
        <v>-1</v>
      </c>
      <c r="N187" s="442"/>
      <c r="O187" s="491"/>
      <c r="P187" s="491"/>
      <c r="Q187" s="442"/>
      <c r="R187" s="442"/>
      <c r="S187" s="57"/>
      <c r="T187" s="57"/>
      <c r="U187" s="57"/>
      <c r="V187" s="57"/>
      <c r="W187" s="57"/>
      <c r="X187" s="57"/>
      <c r="Y187" s="57"/>
    </row>
    <row r="188" ht="15.75" hidden="1" customHeight="1">
      <c r="B188" s="460"/>
      <c r="C188" s="491"/>
      <c r="D188" s="305"/>
      <c r="E188" s="490" t="s">
        <v>160</v>
      </c>
      <c r="F188" s="492">
        <v>750.0</v>
      </c>
      <c r="G188" s="334">
        <v>2299.0</v>
      </c>
      <c r="H188" s="442"/>
      <c r="I188" s="462"/>
      <c r="J188" s="335">
        <v>443.0</v>
      </c>
      <c r="K188" s="332">
        <f t="shared" si="32"/>
        <v>0.192692475</v>
      </c>
      <c r="L188" s="319">
        <f t="shared" si="33"/>
        <v>-443</v>
      </c>
      <c r="M188" s="332">
        <f t="shared" si="34"/>
        <v>-1</v>
      </c>
      <c r="N188" s="442"/>
      <c r="O188" s="491"/>
      <c r="P188" s="491"/>
      <c r="Q188" s="442"/>
      <c r="R188" s="442"/>
      <c r="S188" s="57"/>
      <c r="T188" s="57"/>
      <c r="U188" s="57"/>
      <c r="V188" s="57"/>
      <c r="W188" s="57"/>
      <c r="X188" s="57"/>
      <c r="Y188" s="57"/>
    </row>
    <row r="189" ht="15.75" customHeight="1">
      <c r="B189" s="460"/>
      <c r="C189" s="491"/>
      <c r="D189" s="305"/>
      <c r="E189" s="490" t="s">
        <v>509</v>
      </c>
      <c r="F189" s="337">
        <v>750.0</v>
      </c>
      <c r="G189" s="334">
        <v>2399.0</v>
      </c>
      <c r="H189" s="442"/>
      <c r="I189" s="462"/>
      <c r="J189" s="335">
        <v>443.0</v>
      </c>
      <c r="K189" s="332">
        <f t="shared" si="32"/>
        <v>0.1846602751</v>
      </c>
      <c r="L189" s="319">
        <f t="shared" si="33"/>
        <v>-443</v>
      </c>
      <c r="M189" s="332">
        <f t="shared" si="34"/>
        <v>-1</v>
      </c>
      <c r="N189" s="442"/>
      <c r="O189" s="491"/>
      <c r="P189" s="491"/>
      <c r="Q189" s="442"/>
      <c r="R189" s="442"/>
      <c r="S189" s="57"/>
      <c r="T189" s="57"/>
      <c r="U189" s="57"/>
      <c r="V189" s="57"/>
      <c r="W189" s="57"/>
      <c r="X189" s="57"/>
      <c r="Y189" s="57"/>
    </row>
    <row r="190" ht="15.75" hidden="1" customHeight="1">
      <c r="B190" s="460"/>
      <c r="C190" s="491"/>
      <c r="D190" s="305"/>
      <c r="E190" s="490" t="s">
        <v>510</v>
      </c>
      <c r="F190" s="337">
        <v>750.0</v>
      </c>
      <c r="G190" s="334">
        <v>2399.0</v>
      </c>
      <c r="H190" s="442"/>
      <c r="I190" s="462"/>
      <c r="J190" s="335">
        <v>443.0</v>
      </c>
      <c r="K190" s="332">
        <f t="shared" si="32"/>
        <v>0.1846602751</v>
      </c>
      <c r="L190" s="319">
        <f t="shared" si="33"/>
        <v>-443</v>
      </c>
      <c r="M190" s="332">
        <f t="shared" si="34"/>
        <v>-1</v>
      </c>
      <c r="N190" s="442"/>
      <c r="O190" s="491"/>
      <c r="P190" s="491"/>
      <c r="Q190" s="442"/>
      <c r="R190" s="442"/>
      <c r="S190" s="57"/>
      <c r="T190" s="57"/>
      <c r="U190" s="57"/>
      <c r="V190" s="57"/>
      <c r="W190" s="57"/>
      <c r="X190" s="57"/>
      <c r="Y190" s="57"/>
    </row>
    <row r="191" ht="15.75" hidden="1" customHeight="1">
      <c r="A191" s="327" t="s">
        <v>742</v>
      </c>
      <c r="B191" s="329" t="s">
        <v>960</v>
      </c>
      <c r="C191" s="491"/>
      <c r="D191" s="342" t="s">
        <v>731</v>
      </c>
      <c r="E191" s="490" t="s">
        <v>159</v>
      </c>
      <c r="F191" s="337">
        <v>125.0</v>
      </c>
      <c r="G191" s="341">
        <v>389.0</v>
      </c>
      <c r="H191" s="442"/>
      <c r="I191" s="462"/>
      <c r="J191" s="335">
        <v>73.0</v>
      </c>
      <c r="K191" s="332">
        <f t="shared" si="32"/>
        <v>0.1876606684</v>
      </c>
      <c r="L191" s="319">
        <f t="shared" si="33"/>
        <v>-73</v>
      </c>
      <c r="M191" s="332">
        <f t="shared" si="34"/>
        <v>-1</v>
      </c>
      <c r="N191" s="442"/>
      <c r="O191" s="491"/>
      <c r="P191" s="491"/>
      <c r="Q191" s="442"/>
      <c r="R191" s="442"/>
      <c r="S191" s="57"/>
      <c r="T191" s="57"/>
      <c r="U191" s="57"/>
      <c r="V191" s="57"/>
      <c r="W191" s="57"/>
      <c r="X191" s="57"/>
      <c r="Y191" s="57"/>
    </row>
    <row r="192" ht="15.75" hidden="1" customHeight="1">
      <c r="B192" s="460"/>
      <c r="C192" s="491"/>
      <c r="D192" s="305"/>
      <c r="E192" s="490" t="s">
        <v>160</v>
      </c>
      <c r="F192" s="492">
        <v>125.0</v>
      </c>
      <c r="G192" s="341">
        <v>389.0</v>
      </c>
      <c r="H192" s="442"/>
      <c r="I192" s="462"/>
      <c r="J192" s="335">
        <v>73.0</v>
      </c>
      <c r="K192" s="332">
        <f t="shared" si="32"/>
        <v>0.1876606684</v>
      </c>
      <c r="L192" s="319">
        <f t="shared" si="33"/>
        <v>-73</v>
      </c>
      <c r="M192" s="332">
        <f t="shared" si="34"/>
        <v>-1</v>
      </c>
      <c r="N192" s="442"/>
      <c r="O192" s="491"/>
      <c r="P192" s="491"/>
      <c r="Q192" s="442"/>
      <c r="R192" s="442"/>
      <c r="S192" s="57"/>
      <c r="T192" s="57"/>
      <c r="U192" s="57"/>
      <c r="V192" s="57"/>
      <c r="W192" s="57"/>
      <c r="X192" s="57"/>
      <c r="Y192" s="57"/>
    </row>
    <row r="193" ht="15.75" customHeight="1">
      <c r="B193" s="460"/>
      <c r="C193" s="491"/>
      <c r="D193" s="305"/>
      <c r="E193" s="490" t="s">
        <v>509</v>
      </c>
      <c r="F193" s="337">
        <v>125.0</v>
      </c>
      <c r="G193" s="341">
        <v>399.0</v>
      </c>
      <c r="H193" s="442"/>
      <c r="I193" s="462"/>
      <c r="J193" s="335">
        <v>73.0</v>
      </c>
      <c r="K193" s="332">
        <f t="shared" si="32"/>
        <v>0.1829573935</v>
      </c>
      <c r="L193" s="319">
        <f t="shared" si="33"/>
        <v>-73</v>
      </c>
      <c r="M193" s="332">
        <f t="shared" si="34"/>
        <v>-1</v>
      </c>
      <c r="N193" s="442"/>
      <c r="O193" s="491"/>
      <c r="P193" s="491"/>
      <c r="Q193" s="442"/>
      <c r="R193" s="442"/>
      <c r="S193" s="57"/>
      <c r="T193" s="57"/>
      <c r="U193" s="57"/>
      <c r="V193" s="57"/>
      <c r="W193" s="57"/>
      <c r="X193" s="57"/>
      <c r="Y193" s="57"/>
    </row>
    <row r="194" ht="15.75" hidden="1" customHeight="1">
      <c r="B194" s="460"/>
      <c r="C194" s="491"/>
      <c r="D194" s="305"/>
      <c r="E194" s="490" t="s">
        <v>510</v>
      </c>
      <c r="F194" s="337">
        <v>125.0</v>
      </c>
      <c r="G194" s="341">
        <v>399.0</v>
      </c>
      <c r="H194" s="442"/>
      <c r="I194" s="462"/>
      <c r="J194" s="335">
        <v>73.0</v>
      </c>
      <c r="K194" s="332">
        <f t="shared" si="32"/>
        <v>0.1829573935</v>
      </c>
      <c r="L194" s="319">
        <f t="shared" si="33"/>
        <v>-73</v>
      </c>
      <c r="M194" s="332">
        <f t="shared" si="34"/>
        <v>-1</v>
      </c>
      <c r="N194" s="442"/>
      <c r="O194" s="491"/>
      <c r="P194" s="491"/>
      <c r="Q194" s="442"/>
      <c r="R194" s="442"/>
      <c r="S194" s="57"/>
      <c r="T194" s="57"/>
      <c r="U194" s="57"/>
      <c r="V194" s="57"/>
      <c r="W194" s="57"/>
      <c r="X194" s="57"/>
      <c r="Y194" s="57"/>
    </row>
    <row r="195" ht="15.75" hidden="1" customHeight="1">
      <c r="A195" s="327" t="s">
        <v>743</v>
      </c>
      <c r="B195" s="329" t="s">
        <v>960</v>
      </c>
      <c r="C195" s="491"/>
      <c r="D195" s="342" t="s">
        <v>731</v>
      </c>
      <c r="E195" s="490" t="s">
        <v>159</v>
      </c>
      <c r="F195" s="337">
        <v>750.0</v>
      </c>
      <c r="G195" s="341">
        <v>2399.0</v>
      </c>
      <c r="H195" s="442"/>
      <c r="I195" s="462"/>
      <c r="J195" s="335">
        <v>451.0</v>
      </c>
      <c r="K195" s="332">
        <f t="shared" si="32"/>
        <v>0.1879949979</v>
      </c>
      <c r="L195" s="319">
        <f t="shared" si="33"/>
        <v>-451</v>
      </c>
      <c r="M195" s="332">
        <f t="shared" si="34"/>
        <v>-1</v>
      </c>
      <c r="N195" s="442"/>
      <c r="O195" s="491"/>
      <c r="P195" s="491"/>
      <c r="Q195" s="442"/>
      <c r="R195" s="442"/>
      <c r="S195" s="57"/>
      <c r="T195" s="57"/>
      <c r="U195" s="57"/>
      <c r="V195" s="57"/>
      <c r="W195" s="57"/>
      <c r="X195" s="57"/>
      <c r="Y195" s="57"/>
    </row>
    <row r="196" ht="15.75" hidden="1" customHeight="1">
      <c r="B196" s="460"/>
      <c r="C196" s="491"/>
      <c r="D196" s="305"/>
      <c r="E196" s="490" t="s">
        <v>160</v>
      </c>
      <c r="F196" s="492">
        <v>750.0</v>
      </c>
      <c r="G196" s="341">
        <v>2399.0</v>
      </c>
      <c r="H196" s="442"/>
      <c r="I196" s="462"/>
      <c r="J196" s="335">
        <v>451.0</v>
      </c>
      <c r="K196" s="332">
        <f t="shared" si="32"/>
        <v>0.1879949979</v>
      </c>
      <c r="L196" s="319">
        <f t="shared" si="33"/>
        <v>-451</v>
      </c>
      <c r="M196" s="332">
        <f t="shared" si="34"/>
        <v>-1</v>
      </c>
      <c r="N196" s="442"/>
      <c r="O196" s="491"/>
      <c r="P196" s="491"/>
      <c r="Q196" s="442"/>
      <c r="R196" s="442"/>
      <c r="S196" s="57"/>
      <c r="T196" s="57"/>
      <c r="U196" s="57"/>
      <c r="V196" s="57"/>
      <c r="W196" s="57"/>
      <c r="X196" s="57"/>
      <c r="Y196" s="57"/>
    </row>
    <row r="197" ht="15.75" customHeight="1">
      <c r="B197" s="460"/>
      <c r="C197" s="491"/>
      <c r="D197" s="305"/>
      <c r="E197" s="490" t="s">
        <v>509</v>
      </c>
      <c r="F197" s="337">
        <v>750.0</v>
      </c>
      <c r="G197" s="341">
        <v>2499.0</v>
      </c>
      <c r="H197" s="442"/>
      <c r="I197" s="462"/>
      <c r="J197" s="335">
        <v>451.0</v>
      </c>
      <c r="K197" s="332">
        <f t="shared" si="32"/>
        <v>0.1804721889</v>
      </c>
      <c r="L197" s="319">
        <f t="shared" si="33"/>
        <v>-451</v>
      </c>
      <c r="M197" s="332">
        <f t="shared" si="34"/>
        <v>-1</v>
      </c>
      <c r="N197" s="442"/>
      <c r="O197" s="491"/>
      <c r="P197" s="491"/>
      <c r="Q197" s="442"/>
      <c r="R197" s="442"/>
      <c r="S197" s="57"/>
      <c r="T197" s="57"/>
      <c r="U197" s="57"/>
      <c r="V197" s="57"/>
      <c r="W197" s="57"/>
      <c r="X197" s="57"/>
      <c r="Y197" s="57"/>
    </row>
    <row r="198" ht="15.75" hidden="1" customHeight="1">
      <c r="B198" s="460"/>
      <c r="C198" s="491"/>
      <c r="D198" s="305"/>
      <c r="E198" s="490" t="s">
        <v>510</v>
      </c>
      <c r="F198" s="337">
        <v>750.0</v>
      </c>
      <c r="G198" s="341">
        <v>2499.0</v>
      </c>
      <c r="H198" s="442"/>
      <c r="I198" s="462"/>
      <c r="J198" s="335">
        <v>451.0</v>
      </c>
      <c r="K198" s="332">
        <f t="shared" si="32"/>
        <v>0.1804721889</v>
      </c>
      <c r="L198" s="319">
        <f t="shared" si="33"/>
        <v>-451</v>
      </c>
      <c r="M198" s="332">
        <f t="shared" si="34"/>
        <v>-1</v>
      </c>
      <c r="N198" s="442"/>
      <c r="O198" s="491"/>
      <c r="P198" s="491"/>
      <c r="Q198" s="442"/>
      <c r="R198" s="442"/>
      <c r="S198" s="57"/>
      <c r="T198" s="57"/>
      <c r="U198" s="57"/>
      <c r="V198" s="57"/>
      <c r="W198" s="57"/>
      <c r="X198" s="57"/>
      <c r="Y198" s="57"/>
    </row>
    <row r="199" ht="15.75" hidden="1" customHeight="1">
      <c r="A199" s="327" t="s">
        <v>743</v>
      </c>
      <c r="B199" s="329" t="s">
        <v>960</v>
      </c>
      <c r="C199" s="491"/>
      <c r="D199" s="342" t="s">
        <v>731</v>
      </c>
      <c r="E199" s="490" t="s">
        <v>159</v>
      </c>
      <c r="F199" s="337">
        <v>125.0</v>
      </c>
      <c r="G199" s="341">
        <v>389.0</v>
      </c>
      <c r="H199" s="442"/>
      <c r="I199" s="462"/>
      <c r="J199" s="335">
        <v>75.0</v>
      </c>
      <c r="K199" s="332">
        <f t="shared" si="32"/>
        <v>0.1928020566</v>
      </c>
      <c r="L199" s="319">
        <f t="shared" si="33"/>
        <v>-75</v>
      </c>
      <c r="M199" s="332">
        <f t="shared" si="34"/>
        <v>-1</v>
      </c>
      <c r="N199" s="442"/>
      <c r="O199" s="491"/>
      <c r="P199" s="491"/>
      <c r="Q199" s="442"/>
      <c r="R199" s="442"/>
      <c r="S199" s="57"/>
      <c r="T199" s="57"/>
      <c r="U199" s="57"/>
      <c r="V199" s="57"/>
      <c r="W199" s="57"/>
      <c r="X199" s="57"/>
      <c r="Y199" s="57"/>
    </row>
    <row r="200" ht="15.75" hidden="1" customHeight="1">
      <c r="B200" s="460"/>
      <c r="C200" s="491"/>
      <c r="D200" s="305"/>
      <c r="E200" s="490" t="s">
        <v>160</v>
      </c>
      <c r="F200" s="492">
        <v>125.0</v>
      </c>
      <c r="G200" s="341">
        <v>389.0</v>
      </c>
      <c r="H200" s="442"/>
      <c r="I200" s="462"/>
      <c r="J200" s="335">
        <v>75.0</v>
      </c>
      <c r="K200" s="332">
        <f t="shared" si="32"/>
        <v>0.1928020566</v>
      </c>
      <c r="L200" s="319">
        <f t="shared" si="33"/>
        <v>-75</v>
      </c>
      <c r="M200" s="332">
        <f t="shared" si="34"/>
        <v>-1</v>
      </c>
      <c r="N200" s="442"/>
      <c r="O200" s="491"/>
      <c r="P200" s="491"/>
      <c r="Q200" s="442"/>
      <c r="R200" s="442"/>
      <c r="S200" s="57"/>
      <c r="T200" s="57"/>
      <c r="U200" s="57"/>
      <c r="V200" s="57"/>
      <c r="W200" s="57"/>
      <c r="X200" s="57"/>
      <c r="Y200" s="57"/>
    </row>
    <row r="201" ht="15.75" customHeight="1">
      <c r="B201" s="460"/>
      <c r="C201" s="491"/>
      <c r="D201" s="305"/>
      <c r="E201" s="490" t="s">
        <v>509</v>
      </c>
      <c r="F201" s="337">
        <v>125.0</v>
      </c>
      <c r="G201" s="341">
        <v>419.0</v>
      </c>
      <c r="H201" s="442"/>
      <c r="I201" s="462"/>
      <c r="J201" s="335">
        <v>75.0</v>
      </c>
      <c r="K201" s="332">
        <f t="shared" si="32"/>
        <v>0.1789976134</v>
      </c>
      <c r="L201" s="319">
        <f t="shared" si="33"/>
        <v>-75</v>
      </c>
      <c r="M201" s="332">
        <f t="shared" si="34"/>
        <v>-1</v>
      </c>
      <c r="N201" s="442"/>
      <c r="O201" s="491"/>
      <c r="P201" s="491"/>
      <c r="Q201" s="442"/>
      <c r="R201" s="442"/>
      <c r="S201" s="57"/>
      <c r="T201" s="57"/>
      <c r="U201" s="57"/>
      <c r="V201" s="57"/>
      <c r="W201" s="57"/>
      <c r="X201" s="57"/>
      <c r="Y201" s="57"/>
    </row>
    <row r="202" ht="15.75" hidden="1" customHeight="1">
      <c r="B202" s="460"/>
      <c r="C202" s="491"/>
      <c r="D202" s="305"/>
      <c r="E202" s="490" t="s">
        <v>510</v>
      </c>
      <c r="F202" s="337">
        <v>125.0</v>
      </c>
      <c r="G202" s="341">
        <v>419.0</v>
      </c>
      <c r="H202" s="442"/>
      <c r="I202" s="462"/>
      <c r="J202" s="335">
        <v>75.0</v>
      </c>
      <c r="K202" s="332">
        <f t="shared" si="32"/>
        <v>0.1789976134</v>
      </c>
      <c r="L202" s="319">
        <f t="shared" si="33"/>
        <v>-75</v>
      </c>
      <c r="M202" s="332">
        <f t="shared" si="34"/>
        <v>-1</v>
      </c>
      <c r="N202" s="442"/>
      <c r="O202" s="491"/>
      <c r="P202" s="491"/>
      <c r="Q202" s="442"/>
      <c r="R202" s="442"/>
      <c r="S202" s="57"/>
      <c r="T202" s="57"/>
      <c r="U202" s="57"/>
      <c r="V202" s="57"/>
      <c r="W202" s="57"/>
      <c r="X202" s="57"/>
      <c r="Y202" s="57"/>
    </row>
    <row r="203" ht="15.75" hidden="1" customHeight="1">
      <c r="A203" s="446" t="s">
        <v>745</v>
      </c>
      <c r="B203" s="434"/>
      <c r="C203" s="457"/>
      <c r="D203" s="425"/>
      <c r="E203" s="436"/>
      <c r="F203" s="458"/>
      <c r="G203" s="438"/>
      <c r="H203" s="438"/>
      <c r="I203" s="441"/>
      <c r="J203" s="440"/>
      <c r="K203" s="441"/>
      <c r="L203" s="438"/>
      <c r="M203" s="441"/>
      <c r="N203" s="438"/>
      <c r="O203" s="435"/>
      <c r="P203" s="435"/>
      <c r="Q203" s="442"/>
      <c r="R203" s="438"/>
    </row>
    <row r="204" ht="15.75" hidden="1" customHeight="1">
      <c r="A204" s="288" t="s">
        <v>745</v>
      </c>
      <c r="B204" s="289"/>
      <c r="C204" s="435"/>
      <c r="D204" s="291"/>
      <c r="E204" s="537" t="s">
        <v>159</v>
      </c>
      <c r="F204" s="356"/>
      <c r="G204" s="357"/>
      <c r="H204" s="438"/>
      <c r="I204" s="441"/>
      <c r="J204" s="325"/>
      <c r="K204" s="297"/>
      <c r="L204" s="326"/>
      <c r="M204" s="297"/>
      <c r="N204" s="438"/>
      <c r="O204" s="435"/>
      <c r="P204" s="435"/>
      <c r="Q204" s="438"/>
      <c r="R204" s="438"/>
      <c r="S204" s="54"/>
      <c r="T204" s="54"/>
      <c r="U204" s="54"/>
      <c r="V204" s="54"/>
      <c r="W204" s="54"/>
      <c r="X204" s="54"/>
      <c r="Y204" s="54"/>
    </row>
    <row r="205" ht="15.75" hidden="1" customHeight="1">
      <c r="B205" s="289"/>
      <c r="C205" s="435"/>
      <c r="D205" s="291"/>
      <c r="E205" s="537" t="s">
        <v>160</v>
      </c>
      <c r="F205" s="356"/>
      <c r="G205" s="357"/>
      <c r="H205" s="438"/>
      <c r="I205" s="441"/>
      <c r="J205" s="325"/>
      <c r="K205" s="297"/>
      <c r="L205" s="326"/>
      <c r="M205" s="297"/>
      <c r="N205" s="438"/>
      <c r="O205" s="435"/>
      <c r="P205" s="435"/>
      <c r="Q205" s="438"/>
      <c r="R205" s="438"/>
      <c r="S205" s="54"/>
      <c r="T205" s="54"/>
      <c r="U205" s="54"/>
      <c r="V205" s="54"/>
      <c r="W205" s="54"/>
      <c r="X205" s="54"/>
      <c r="Y205" s="54"/>
    </row>
    <row r="206" ht="15.75" customHeight="1">
      <c r="B206" s="289"/>
      <c r="C206" s="435"/>
      <c r="D206" s="291"/>
      <c r="E206" s="537" t="s">
        <v>509</v>
      </c>
      <c r="F206" s="356"/>
      <c r="G206" s="357"/>
      <c r="H206" s="438"/>
      <c r="I206" s="441"/>
      <c r="J206" s="325"/>
      <c r="K206" s="297"/>
      <c r="L206" s="326"/>
      <c r="M206" s="297"/>
      <c r="N206" s="438"/>
      <c r="O206" s="435"/>
      <c r="P206" s="435"/>
      <c r="Q206" s="438"/>
      <c r="R206" s="438"/>
      <c r="S206" s="54"/>
      <c r="T206" s="54"/>
      <c r="U206" s="54"/>
      <c r="V206" s="54"/>
      <c r="W206" s="54"/>
      <c r="X206" s="54"/>
      <c r="Y206" s="54"/>
    </row>
    <row r="207" ht="15.75" hidden="1" customHeight="1">
      <c r="B207" s="289"/>
      <c r="C207" s="435"/>
      <c r="D207" s="291"/>
      <c r="E207" s="537" t="s">
        <v>622</v>
      </c>
      <c r="F207" s="356"/>
      <c r="G207" s="357"/>
      <c r="H207" s="438"/>
      <c r="I207" s="441"/>
      <c r="J207" s="325"/>
      <c r="K207" s="297"/>
      <c r="L207" s="326"/>
      <c r="M207" s="297"/>
      <c r="N207" s="438"/>
      <c r="O207" s="435"/>
      <c r="P207" s="435"/>
      <c r="Q207" s="438"/>
      <c r="R207" s="438"/>
      <c r="S207" s="54"/>
      <c r="T207" s="54"/>
      <c r="U207" s="54"/>
      <c r="V207" s="54"/>
      <c r="W207" s="54"/>
      <c r="X207" s="54"/>
      <c r="Y207" s="54"/>
    </row>
    <row r="208" ht="15.75" hidden="1" customHeight="1">
      <c r="A208" s="327" t="s">
        <v>746</v>
      </c>
      <c r="B208" s="327" t="s">
        <v>747</v>
      </c>
      <c r="C208" s="491"/>
      <c r="D208" s="342" t="s">
        <v>731</v>
      </c>
      <c r="E208" s="490" t="s">
        <v>159</v>
      </c>
      <c r="F208" s="339">
        <v>750.0</v>
      </c>
      <c r="G208" s="334">
        <v>2199.0</v>
      </c>
      <c r="H208" s="442"/>
      <c r="I208" s="462"/>
      <c r="J208" s="335">
        <v>358.0</v>
      </c>
      <c r="K208" s="332">
        <f t="shared" ref="K208:K231" si="35">J208/G208</f>
        <v>0.1628012733</v>
      </c>
      <c r="L208" s="319">
        <f t="shared" ref="L208:L231" si="36">Q208-J208</f>
        <v>-358</v>
      </c>
      <c r="M208" s="332">
        <f t="shared" ref="M208:M231" si="37">Q208/J208-1</f>
        <v>-1</v>
      </c>
      <c r="N208" s="442"/>
      <c r="O208" s="491"/>
      <c r="P208" s="491"/>
      <c r="Q208" s="442"/>
      <c r="R208" s="442"/>
      <c r="S208" s="57"/>
      <c r="T208" s="57"/>
      <c r="U208" s="57"/>
      <c r="V208" s="57"/>
      <c r="W208" s="57"/>
      <c r="X208" s="57"/>
      <c r="Y208" s="57"/>
    </row>
    <row r="209" ht="15.75" hidden="1" customHeight="1">
      <c r="C209" s="491"/>
      <c r="D209" s="305"/>
      <c r="E209" s="490" t="s">
        <v>160</v>
      </c>
      <c r="F209" s="469">
        <v>750.0</v>
      </c>
      <c r="G209" s="334">
        <v>2199.0</v>
      </c>
      <c r="H209" s="442"/>
      <c r="I209" s="462"/>
      <c r="J209" s="335">
        <v>358.0</v>
      </c>
      <c r="K209" s="332">
        <f t="shared" si="35"/>
        <v>0.1628012733</v>
      </c>
      <c r="L209" s="319">
        <f t="shared" si="36"/>
        <v>-358</v>
      </c>
      <c r="M209" s="332">
        <f t="shared" si="37"/>
        <v>-1</v>
      </c>
      <c r="N209" s="442"/>
      <c r="O209" s="491"/>
      <c r="P209" s="491"/>
      <c r="Q209" s="442"/>
      <c r="R209" s="442"/>
      <c r="S209" s="57"/>
      <c r="T209" s="57"/>
      <c r="U209" s="57"/>
      <c r="V209" s="57"/>
      <c r="W209" s="57"/>
      <c r="X209" s="57"/>
      <c r="Y209" s="57"/>
    </row>
    <row r="210" ht="15.75" customHeight="1">
      <c r="C210" s="491"/>
      <c r="D210" s="305"/>
      <c r="E210" s="490" t="s">
        <v>509</v>
      </c>
      <c r="F210" s="339">
        <v>750.0</v>
      </c>
      <c r="G210" s="334">
        <v>2299.0</v>
      </c>
      <c r="H210" s="442"/>
      <c r="I210" s="462"/>
      <c r="J210" s="335">
        <v>358.0</v>
      </c>
      <c r="K210" s="332">
        <f t="shared" si="35"/>
        <v>0.1557198782</v>
      </c>
      <c r="L210" s="319">
        <f t="shared" si="36"/>
        <v>-358</v>
      </c>
      <c r="M210" s="332">
        <f t="shared" si="37"/>
        <v>-1</v>
      </c>
      <c r="N210" s="442"/>
      <c r="O210" s="491"/>
      <c r="P210" s="491"/>
      <c r="Q210" s="442"/>
      <c r="R210" s="442"/>
      <c r="S210" s="57"/>
      <c r="T210" s="57"/>
      <c r="U210" s="57"/>
      <c r="V210" s="57"/>
      <c r="W210" s="57"/>
      <c r="X210" s="57"/>
      <c r="Y210" s="57"/>
    </row>
    <row r="211" ht="15.75" hidden="1" customHeight="1">
      <c r="C211" s="491"/>
      <c r="D211" s="305"/>
      <c r="E211" s="490" t="s">
        <v>510</v>
      </c>
      <c r="F211" s="339">
        <v>750.0</v>
      </c>
      <c r="G211" s="334">
        <v>2299.0</v>
      </c>
      <c r="H211" s="442"/>
      <c r="I211" s="462"/>
      <c r="J211" s="335">
        <v>358.0</v>
      </c>
      <c r="K211" s="332">
        <f t="shared" si="35"/>
        <v>0.1557198782</v>
      </c>
      <c r="L211" s="319">
        <f t="shared" si="36"/>
        <v>-358</v>
      </c>
      <c r="M211" s="332">
        <f t="shared" si="37"/>
        <v>-1</v>
      </c>
      <c r="N211" s="442"/>
      <c r="O211" s="491"/>
      <c r="P211" s="491"/>
      <c r="Q211" s="442"/>
      <c r="R211" s="442"/>
      <c r="S211" s="57"/>
      <c r="T211" s="57"/>
      <c r="U211" s="57"/>
      <c r="V211" s="57"/>
      <c r="W211" s="57"/>
      <c r="X211" s="57"/>
      <c r="Y211" s="57"/>
    </row>
    <row r="212" ht="15.75" hidden="1" customHeight="1">
      <c r="A212" s="327" t="s">
        <v>746</v>
      </c>
      <c r="B212" s="329"/>
      <c r="C212" s="491"/>
      <c r="D212" s="342" t="s">
        <v>731</v>
      </c>
      <c r="E212" s="490" t="s">
        <v>159</v>
      </c>
      <c r="F212" s="339">
        <v>125.0</v>
      </c>
      <c r="G212" s="341">
        <v>369.0</v>
      </c>
      <c r="H212" s="442"/>
      <c r="I212" s="462"/>
      <c r="J212" s="335">
        <v>60.0</v>
      </c>
      <c r="K212" s="332">
        <f t="shared" si="35"/>
        <v>0.162601626</v>
      </c>
      <c r="L212" s="319">
        <f t="shared" si="36"/>
        <v>-60</v>
      </c>
      <c r="M212" s="332">
        <f t="shared" si="37"/>
        <v>-1</v>
      </c>
      <c r="N212" s="442"/>
      <c r="O212" s="491"/>
      <c r="P212" s="491"/>
      <c r="Q212" s="442"/>
      <c r="R212" s="442"/>
      <c r="S212" s="57"/>
      <c r="T212" s="57"/>
      <c r="U212" s="57"/>
      <c r="V212" s="57"/>
      <c r="W212" s="57"/>
      <c r="X212" s="57"/>
      <c r="Y212" s="57"/>
    </row>
    <row r="213" ht="15.75" hidden="1" customHeight="1">
      <c r="B213" s="460"/>
      <c r="C213" s="491"/>
      <c r="D213" s="305"/>
      <c r="E213" s="490" t="s">
        <v>160</v>
      </c>
      <c r="F213" s="469">
        <v>125.0</v>
      </c>
      <c r="G213" s="341">
        <v>369.0</v>
      </c>
      <c r="H213" s="442"/>
      <c r="I213" s="462"/>
      <c r="J213" s="335">
        <v>60.0</v>
      </c>
      <c r="K213" s="332">
        <f t="shared" si="35"/>
        <v>0.162601626</v>
      </c>
      <c r="L213" s="319">
        <f t="shared" si="36"/>
        <v>-60</v>
      </c>
      <c r="M213" s="332">
        <f t="shared" si="37"/>
        <v>-1</v>
      </c>
      <c r="N213" s="442"/>
      <c r="O213" s="491"/>
      <c r="P213" s="491"/>
      <c r="Q213" s="442"/>
      <c r="R213" s="442"/>
      <c r="S213" s="57"/>
      <c r="T213" s="57"/>
      <c r="U213" s="57"/>
      <c r="V213" s="57"/>
      <c r="W213" s="57"/>
      <c r="X213" s="57"/>
      <c r="Y213" s="57"/>
    </row>
    <row r="214" ht="15.75" customHeight="1">
      <c r="B214" s="460"/>
      <c r="C214" s="491"/>
      <c r="D214" s="305"/>
      <c r="E214" s="490" t="s">
        <v>509</v>
      </c>
      <c r="F214" s="339">
        <v>125.0</v>
      </c>
      <c r="G214" s="341">
        <v>389.0</v>
      </c>
      <c r="H214" s="442"/>
      <c r="I214" s="462"/>
      <c r="J214" s="335">
        <v>60.0</v>
      </c>
      <c r="K214" s="332">
        <f t="shared" si="35"/>
        <v>0.1542416452</v>
      </c>
      <c r="L214" s="319">
        <f t="shared" si="36"/>
        <v>-60</v>
      </c>
      <c r="M214" s="332">
        <f t="shared" si="37"/>
        <v>-1</v>
      </c>
      <c r="N214" s="442"/>
      <c r="O214" s="491"/>
      <c r="P214" s="491"/>
      <c r="Q214" s="442"/>
      <c r="R214" s="442"/>
      <c r="S214" s="57"/>
      <c r="T214" s="57"/>
      <c r="U214" s="57"/>
      <c r="V214" s="57"/>
      <c r="W214" s="57"/>
      <c r="X214" s="57"/>
      <c r="Y214" s="57"/>
    </row>
    <row r="215" ht="15.75" hidden="1" customHeight="1">
      <c r="B215" s="460"/>
      <c r="C215" s="491"/>
      <c r="D215" s="305"/>
      <c r="E215" s="490" t="s">
        <v>510</v>
      </c>
      <c r="F215" s="339">
        <v>125.0</v>
      </c>
      <c r="G215" s="341">
        <v>389.0</v>
      </c>
      <c r="H215" s="442"/>
      <c r="I215" s="462"/>
      <c r="J215" s="335">
        <v>60.0</v>
      </c>
      <c r="K215" s="332">
        <f t="shared" si="35"/>
        <v>0.1542416452</v>
      </c>
      <c r="L215" s="319">
        <f t="shared" si="36"/>
        <v>-60</v>
      </c>
      <c r="M215" s="332">
        <f t="shared" si="37"/>
        <v>-1</v>
      </c>
      <c r="N215" s="442"/>
      <c r="O215" s="491"/>
      <c r="P215" s="491"/>
      <c r="Q215" s="442"/>
      <c r="R215" s="442"/>
      <c r="S215" s="57"/>
      <c r="T215" s="57"/>
      <c r="U215" s="57"/>
      <c r="V215" s="57"/>
      <c r="W215" s="57"/>
      <c r="X215" s="57"/>
      <c r="Y215" s="57"/>
    </row>
    <row r="216" ht="15.75" hidden="1" customHeight="1">
      <c r="A216" s="327" t="s">
        <v>748</v>
      </c>
      <c r="B216" s="327" t="s">
        <v>747</v>
      </c>
      <c r="C216" s="491"/>
      <c r="D216" s="342" t="s">
        <v>731</v>
      </c>
      <c r="E216" s="490" t="s">
        <v>159</v>
      </c>
      <c r="F216" s="339">
        <v>750.0</v>
      </c>
      <c r="G216" s="334">
        <v>2199.0</v>
      </c>
      <c r="H216" s="442"/>
      <c r="I216" s="462"/>
      <c r="J216" s="335">
        <v>356.0</v>
      </c>
      <c r="K216" s="332">
        <f t="shared" si="35"/>
        <v>0.161891769</v>
      </c>
      <c r="L216" s="319">
        <f t="shared" si="36"/>
        <v>-356</v>
      </c>
      <c r="M216" s="332">
        <f t="shared" si="37"/>
        <v>-1</v>
      </c>
      <c r="N216" s="442"/>
      <c r="O216" s="491"/>
      <c r="P216" s="491"/>
      <c r="Q216" s="442"/>
      <c r="R216" s="442"/>
      <c r="S216" s="57"/>
      <c r="T216" s="57"/>
      <c r="U216" s="57"/>
      <c r="V216" s="57"/>
      <c r="W216" s="57"/>
      <c r="X216" s="57"/>
      <c r="Y216" s="57"/>
    </row>
    <row r="217" ht="15.75" hidden="1" customHeight="1">
      <c r="C217" s="491"/>
      <c r="D217" s="305"/>
      <c r="E217" s="490" t="s">
        <v>160</v>
      </c>
      <c r="F217" s="469">
        <v>750.0</v>
      </c>
      <c r="G217" s="334">
        <v>2199.0</v>
      </c>
      <c r="H217" s="442"/>
      <c r="I217" s="462"/>
      <c r="J217" s="335">
        <v>356.0</v>
      </c>
      <c r="K217" s="332">
        <f t="shared" si="35"/>
        <v>0.161891769</v>
      </c>
      <c r="L217" s="319">
        <f t="shared" si="36"/>
        <v>-356</v>
      </c>
      <c r="M217" s="332">
        <f t="shared" si="37"/>
        <v>-1</v>
      </c>
      <c r="N217" s="442"/>
      <c r="O217" s="491"/>
      <c r="P217" s="491"/>
      <c r="Q217" s="442"/>
      <c r="R217" s="442"/>
      <c r="S217" s="57"/>
      <c r="T217" s="57"/>
      <c r="U217" s="57"/>
      <c r="V217" s="57"/>
      <c r="W217" s="57"/>
      <c r="X217" s="57"/>
      <c r="Y217" s="57"/>
    </row>
    <row r="218" ht="15.75" customHeight="1">
      <c r="C218" s="491"/>
      <c r="D218" s="305"/>
      <c r="E218" s="490" t="s">
        <v>509</v>
      </c>
      <c r="F218" s="339">
        <v>750.0</v>
      </c>
      <c r="G218" s="334">
        <v>2299.0</v>
      </c>
      <c r="H218" s="442"/>
      <c r="I218" s="462"/>
      <c r="J218" s="335">
        <v>356.0</v>
      </c>
      <c r="K218" s="332">
        <f t="shared" si="35"/>
        <v>0.1548499348</v>
      </c>
      <c r="L218" s="319">
        <f t="shared" si="36"/>
        <v>-356</v>
      </c>
      <c r="M218" s="332">
        <f t="shared" si="37"/>
        <v>-1</v>
      </c>
      <c r="N218" s="442"/>
      <c r="O218" s="491"/>
      <c r="P218" s="491"/>
      <c r="Q218" s="442"/>
      <c r="R218" s="442"/>
      <c r="S218" s="57"/>
      <c r="T218" s="57"/>
      <c r="U218" s="57"/>
      <c r="V218" s="57"/>
      <c r="W218" s="57"/>
      <c r="X218" s="57"/>
      <c r="Y218" s="57"/>
    </row>
    <row r="219" ht="15.75" hidden="1" customHeight="1">
      <c r="C219" s="491"/>
      <c r="D219" s="305"/>
      <c r="E219" s="490" t="s">
        <v>510</v>
      </c>
      <c r="F219" s="339">
        <v>750.0</v>
      </c>
      <c r="G219" s="334">
        <v>2299.0</v>
      </c>
      <c r="H219" s="442"/>
      <c r="I219" s="462"/>
      <c r="J219" s="335">
        <v>356.0</v>
      </c>
      <c r="K219" s="332">
        <f t="shared" si="35"/>
        <v>0.1548499348</v>
      </c>
      <c r="L219" s="319">
        <f t="shared" si="36"/>
        <v>-356</v>
      </c>
      <c r="M219" s="332">
        <f t="shared" si="37"/>
        <v>-1</v>
      </c>
      <c r="N219" s="442"/>
      <c r="O219" s="491"/>
      <c r="P219" s="491"/>
      <c r="Q219" s="442"/>
      <c r="R219" s="442"/>
      <c r="S219" s="57"/>
      <c r="T219" s="57"/>
      <c r="U219" s="57"/>
      <c r="V219" s="57"/>
      <c r="W219" s="57"/>
      <c r="X219" s="57"/>
      <c r="Y219" s="57"/>
    </row>
    <row r="220" ht="15.75" hidden="1" customHeight="1">
      <c r="A220" s="327" t="s">
        <v>748</v>
      </c>
      <c r="B220" s="329"/>
      <c r="C220" s="491"/>
      <c r="D220" s="342" t="s">
        <v>731</v>
      </c>
      <c r="E220" s="490" t="s">
        <v>159</v>
      </c>
      <c r="F220" s="339">
        <v>125.0</v>
      </c>
      <c r="G220" s="341">
        <v>369.0</v>
      </c>
      <c r="H220" s="442"/>
      <c r="I220" s="462"/>
      <c r="J220" s="335">
        <v>59.0</v>
      </c>
      <c r="K220" s="332">
        <f t="shared" si="35"/>
        <v>0.1598915989</v>
      </c>
      <c r="L220" s="319">
        <f t="shared" si="36"/>
        <v>-59</v>
      </c>
      <c r="M220" s="332">
        <f t="shared" si="37"/>
        <v>-1</v>
      </c>
      <c r="N220" s="442"/>
      <c r="O220" s="491"/>
      <c r="P220" s="491"/>
      <c r="Q220" s="442"/>
      <c r="R220" s="442"/>
      <c r="S220" s="57"/>
      <c r="T220" s="57"/>
      <c r="U220" s="57"/>
      <c r="V220" s="57"/>
      <c r="W220" s="57"/>
      <c r="X220" s="57"/>
      <c r="Y220" s="57"/>
    </row>
    <row r="221" ht="15.75" hidden="1" customHeight="1">
      <c r="B221" s="460"/>
      <c r="C221" s="491"/>
      <c r="D221" s="305"/>
      <c r="E221" s="490" t="s">
        <v>160</v>
      </c>
      <c r="F221" s="469">
        <v>125.0</v>
      </c>
      <c r="G221" s="341">
        <v>369.0</v>
      </c>
      <c r="H221" s="442"/>
      <c r="I221" s="462"/>
      <c r="J221" s="335">
        <v>59.0</v>
      </c>
      <c r="K221" s="332">
        <f t="shared" si="35"/>
        <v>0.1598915989</v>
      </c>
      <c r="L221" s="319">
        <f t="shared" si="36"/>
        <v>-59</v>
      </c>
      <c r="M221" s="332">
        <f t="shared" si="37"/>
        <v>-1</v>
      </c>
      <c r="N221" s="442"/>
      <c r="O221" s="491"/>
      <c r="P221" s="491"/>
      <c r="Q221" s="442"/>
      <c r="R221" s="442"/>
      <c r="S221" s="57"/>
      <c r="T221" s="57"/>
      <c r="U221" s="57"/>
      <c r="V221" s="57"/>
      <c r="W221" s="57"/>
      <c r="X221" s="57"/>
      <c r="Y221" s="57"/>
    </row>
    <row r="222" ht="15.75" customHeight="1">
      <c r="B222" s="460"/>
      <c r="C222" s="491"/>
      <c r="D222" s="305"/>
      <c r="E222" s="490" t="s">
        <v>509</v>
      </c>
      <c r="F222" s="339">
        <v>125.0</v>
      </c>
      <c r="G222" s="341">
        <v>389.0</v>
      </c>
      <c r="H222" s="442"/>
      <c r="I222" s="462"/>
      <c r="J222" s="335">
        <v>59.0</v>
      </c>
      <c r="K222" s="332">
        <f t="shared" si="35"/>
        <v>0.1516709512</v>
      </c>
      <c r="L222" s="319">
        <f t="shared" si="36"/>
        <v>-59</v>
      </c>
      <c r="M222" s="332">
        <f t="shared" si="37"/>
        <v>-1</v>
      </c>
      <c r="N222" s="442"/>
      <c r="O222" s="491"/>
      <c r="P222" s="491"/>
      <c r="Q222" s="442"/>
      <c r="R222" s="442"/>
      <c r="S222" s="57"/>
      <c r="T222" s="57"/>
      <c r="U222" s="57"/>
      <c r="V222" s="57"/>
      <c r="W222" s="57"/>
      <c r="X222" s="57"/>
      <c r="Y222" s="57"/>
    </row>
    <row r="223" ht="15.75" hidden="1" customHeight="1">
      <c r="B223" s="460"/>
      <c r="C223" s="491"/>
      <c r="D223" s="305"/>
      <c r="E223" s="490" t="s">
        <v>510</v>
      </c>
      <c r="F223" s="339">
        <v>125.0</v>
      </c>
      <c r="G223" s="341">
        <v>389.0</v>
      </c>
      <c r="H223" s="442"/>
      <c r="I223" s="462"/>
      <c r="J223" s="335">
        <v>59.0</v>
      </c>
      <c r="K223" s="332">
        <f t="shared" si="35"/>
        <v>0.1516709512</v>
      </c>
      <c r="L223" s="319">
        <f t="shared" si="36"/>
        <v>-59</v>
      </c>
      <c r="M223" s="332">
        <f t="shared" si="37"/>
        <v>-1</v>
      </c>
      <c r="N223" s="442"/>
      <c r="O223" s="491"/>
      <c r="P223" s="491"/>
      <c r="Q223" s="442"/>
      <c r="R223" s="442"/>
      <c r="S223" s="57"/>
      <c r="T223" s="57"/>
      <c r="U223" s="57"/>
      <c r="V223" s="57"/>
      <c r="W223" s="57"/>
      <c r="X223" s="57"/>
      <c r="Y223" s="57"/>
    </row>
    <row r="224" ht="15.75" hidden="1" customHeight="1">
      <c r="A224" s="327" t="s">
        <v>749</v>
      </c>
      <c r="B224" s="327" t="s">
        <v>747</v>
      </c>
      <c r="C224" s="491"/>
      <c r="D224" s="342" t="s">
        <v>731</v>
      </c>
      <c r="E224" s="490" t="s">
        <v>159</v>
      </c>
      <c r="F224" s="339">
        <v>750.0</v>
      </c>
      <c r="G224" s="334">
        <v>2299.0</v>
      </c>
      <c r="H224" s="442"/>
      <c r="I224" s="462"/>
      <c r="J224" s="335">
        <v>373.0</v>
      </c>
      <c r="K224" s="332">
        <f t="shared" si="35"/>
        <v>0.1622444541</v>
      </c>
      <c r="L224" s="319">
        <f t="shared" si="36"/>
        <v>-373</v>
      </c>
      <c r="M224" s="332">
        <f t="shared" si="37"/>
        <v>-1</v>
      </c>
      <c r="N224" s="442"/>
      <c r="O224" s="491"/>
      <c r="P224" s="491"/>
      <c r="Q224" s="442"/>
      <c r="R224" s="442"/>
      <c r="S224" s="57"/>
      <c r="T224" s="57"/>
      <c r="U224" s="57"/>
      <c r="V224" s="57"/>
      <c r="W224" s="57"/>
      <c r="X224" s="57"/>
      <c r="Y224" s="57"/>
    </row>
    <row r="225" ht="15.75" hidden="1" customHeight="1">
      <c r="C225" s="491"/>
      <c r="D225" s="305"/>
      <c r="E225" s="490" t="s">
        <v>160</v>
      </c>
      <c r="F225" s="469">
        <v>750.0</v>
      </c>
      <c r="G225" s="334">
        <v>2299.0</v>
      </c>
      <c r="H225" s="442"/>
      <c r="I225" s="462"/>
      <c r="J225" s="335">
        <v>373.0</v>
      </c>
      <c r="K225" s="332">
        <f t="shared" si="35"/>
        <v>0.1622444541</v>
      </c>
      <c r="L225" s="319">
        <f t="shared" si="36"/>
        <v>-373</v>
      </c>
      <c r="M225" s="332">
        <f t="shared" si="37"/>
        <v>-1</v>
      </c>
      <c r="N225" s="442"/>
      <c r="O225" s="491"/>
      <c r="P225" s="491"/>
      <c r="Q225" s="442"/>
      <c r="R225" s="442"/>
      <c r="S225" s="57"/>
      <c r="T225" s="57"/>
      <c r="U225" s="57"/>
      <c r="V225" s="57"/>
      <c r="W225" s="57"/>
      <c r="X225" s="57"/>
      <c r="Y225" s="57"/>
    </row>
    <row r="226" ht="15.75" customHeight="1">
      <c r="C226" s="491"/>
      <c r="D226" s="305"/>
      <c r="E226" s="490" t="s">
        <v>509</v>
      </c>
      <c r="F226" s="339">
        <v>750.0</v>
      </c>
      <c r="G226" s="334">
        <v>2399.0</v>
      </c>
      <c r="H226" s="442"/>
      <c r="I226" s="462"/>
      <c r="J226" s="335">
        <v>373.0</v>
      </c>
      <c r="K226" s="332">
        <f t="shared" si="35"/>
        <v>0.1554814506</v>
      </c>
      <c r="L226" s="319">
        <f t="shared" si="36"/>
        <v>-373</v>
      </c>
      <c r="M226" s="332">
        <f t="shared" si="37"/>
        <v>-1</v>
      </c>
      <c r="N226" s="442"/>
      <c r="O226" s="491"/>
      <c r="P226" s="491"/>
      <c r="Q226" s="442"/>
      <c r="R226" s="442"/>
      <c r="S226" s="57"/>
      <c r="T226" s="57"/>
      <c r="U226" s="57"/>
      <c r="V226" s="57"/>
      <c r="W226" s="57"/>
      <c r="X226" s="57"/>
      <c r="Y226" s="57"/>
    </row>
    <row r="227" ht="15.75" hidden="1" customHeight="1">
      <c r="C227" s="491"/>
      <c r="D227" s="305"/>
      <c r="E227" s="490" t="s">
        <v>510</v>
      </c>
      <c r="F227" s="339">
        <v>750.0</v>
      </c>
      <c r="G227" s="334">
        <v>2399.0</v>
      </c>
      <c r="H227" s="442"/>
      <c r="I227" s="462"/>
      <c r="J227" s="335">
        <v>373.0</v>
      </c>
      <c r="K227" s="332">
        <f t="shared" si="35"/>
        <v>0.1554814506</v>
      </c>
      <c r="L227" s="319">
        <f t="shared" si="36"/>
        <v>-373</v>
      </c>
      <c r="M227" s="332">
        <f t="shared" si="37"/>
        <v>-1</v>
      </c>
      <c r="N227" s="442"/>
      <c r="O227" s="491"/>
      <c r="P227" s="491"/>
      <c r="Q227" s="442"/>
      <c r="R227" s="442"/>
      <c r="S227" s="57"/>
      <c r="T227" s="57"/>
      <c r="U227" s="57"/>
      <c r="V227" s="57"/>
      <c r="W227" s="57"/>
      <c r="X227" s="57"/>
      <c r="Y227" s="57"/>
    </row>
    <row r="228" ht="15.75" hidden="1" customHeight="1">
      <c r="A228" s="327" t="s">
        <v>749</v>
      </c>
      <c r="B228" s="329"/>
      <c r="C228" s="491"/>
      <c r="D228" s="342" t="s">
        <v>731</v>
      </c>
      <c r="E228" s="490" t="s">
        <v>159</v>
      </c>
      <c r="F228" s="339">
        <v>125.0</v>
      </c>
      <c r="G228" s="341">
        <v>389.0</v>
      </c>
      <c r="H228" s="442"/>
      <c r="I228" s="462"/>
      <c r="J228" s="335">
        <v>62.0</v>
      </c>
      <c r="K228" s="332">
        <f t="shared" si="35"/>
        <v>0.1593830334</v>
      </c>
      <c r="L228" s="319">
        <f t="shared" si="36"/>
        <v>-62</v>
      </c>
      <c r="M228" s="332">
        <f t="shared" si="37"/>
        <v>-1</v>
      </c>
      <c r="N228" s="442"/>
      <c r="O228" s="491"/>
      <c r="P228" s="491"/>
      <c r="Q228" s="442"/>
      <c r="R228" s="442"/>
      <c r="S228" s="57"/>
      <c r="T228" s="57"/>
      <c r="U228" s="57"/>
      <c r="V228" s="57"/>
      <c r="W228" s="57"/>
      <c r="X228" s="57"/>
      <c r="Y228" s="57"/>
    </row>
    <row r="229" ht="15.75" hidden="1" customHeight="1">
      <c r="B229" s="460"/>
      <c r="C229" s="491"/>
      <c r="D229" s="305"/>
      <c r="E229" s="490" t="s">
        <v>160</v>
      </c>
      <c r="F229" s="469">
        <v>125.0</v>
      </c>
      <c r="G229" s="341">
        <v>389.0</v>
      </c>
      <c r="H229" s="442"/>
      <c r="I229" s="462"/>
      <c r="J229" s="335">
        <v>62.0</v>
      </c>
      <c r="K229" s="332">
        <f t="shared" si="35"/>
        <v>0.1593830334</v>
      </c>
      <c r="L229" s="319">
        <f t="shared" si="36"/>
        <v>-62</v>
      </c>
      <c r="M229" s="332">
        <f t="shared" si="37"/>
        <v>-1</v>
      </c>
      <c r="N229" s="442"/>
      <c r="O229" s="491"/>
      <c r="P229" s="491"/>
      <c r="Q229" s="442"/>
      <c r="R229" s="442"/>
      <c r="S229" s="57"/>
      <c r="T229" s="57"/>
      <c r="U229" s="57"/>
      <c r="V229" s="57"/>
      <c r="W229" s="57"/>
      <c r="X229" s="57"/>
      <c r="Y229" s="57"/>
    </row>
    <row r="230" ht="15.75" customHeight="1">
      <c r="B230" s="460"/>
      <c r="C230" s="491"/>
      <c r="D230" s="305"/>
      <c r="E230" s="490" t="s">
        <v>509</v>
      </c>
      <c r="F230" s="339">
        <v>125.0</v>
      </c>
      <c r="G230" s="341">
        <v>399.0</v>
      </c>
      <c r="H230" s="442"/>
      <c r="I230" s="462"/>
      <c r="J230" s="335">
        <v>62.0</v>
      </c>
      <c r="K230" s="332">
        <f t="shared" si="35"/>
        <v>0.1553884712</v>
      </c>
      <c r="L230" s="319">
        <f t="shared" si="36"/>
        <v>-62</v>
      </c>
      <c r="M230" s="332">
        <f t="shared" si="37"/>
        <v>-1</v>
      </c>
      <c r="N230" s="442"/>
      <c r="O230" s="491"/>
      <c r="P230" s="491"/>
      <c r="Q230" s="442"/>
      <c r="R230" s="442"/>
      <c r="S230" s="57"/>
      <c r="T230" s="57"/>
      <c r="U230" s="57"/>
      <c r="V230" s="57"/>
      <c r="W230" s="57"/>
      <c r="X230" s="57"/>
      <c r="Y230" s="57"/>
    </row>
    <row r="231" ht="15.75" hidden="1" customHeight="1">
      <c r="B231" s="460"/>
      <c r="C231" s="491"/>
      <c r="D231" s="305"/>
      <c r="E231" s="490" t="s">
        <v>510</v>
      </c>
      <c r="F231" s="339">
        <v>125.0</v>
      </c>
      <c r="G231" s="341">
        <v>399.0</v>
      </c>
      <c r="H231" s="442"/>
      <c r="I231" s="462"/>
      <c r="J231" s="335">
        <v>62.0</v>
      </c>
      <c r="K231" s="332">
        <f t="shared" si="35"/>
        <v>0.1553884712</v>
      </c>
      <c r="L231" s="319">
        <f t="shared" si="36"/>
        <v>-62</v>
      </c>
      <c r="M231" s="332">
        <f t="shared" si="37"/>
        <v>-1</v>
      </c>
      <c r="N231" s="442"/>
      <c r="O231" s="491"/>
      <c r="P231" s="491"/>
      <c r="Q231" s="442"/>
      <c r="R231" s="442"/>
      <c r="S231" s="57"/>
      <c r="T231" s="57"/>
      <c r="U231" s="57"/>
      <c r="V231" s="57"/>
      <c r="W231" s="57"/>
      <c r="X231" s="57"/>
      <c r="Y231" s="57"/>
    </row>
    <row r="232" ht="15.75" hidden="1" customHeight="1">
      <c r="A232" s="288" t="s">
        <v>751</v>
      </c>
      <c r="B232" s="434"/>
      <c r="C232" s="435"/>
      <c r="D232" s="291"/>
      <c r="E232" s="450" t="s">
        <v>159</v>
      </c>
      <c r="F232" s="458"/>
      <c r="G232" s="438"/>
      <c r="H232" s="438"/>
      <c r="I232" s="441"/>
      <c r="J232" s="440"/>
      <c r="K232" s="441"/>
      <c r="L232" s="438"/>
      <c r="M232" s="441"/>
      <c r="N232" s="438"/>
      <c r="O232" s="441"/>
      <c r="P232" s="441"/>
      <c r="Q232" s="442"/>
      <c r="R232" s="438"/>
    </row>
    <row r="233" ht="15.75" hidden="1" customHeight="1">
      <c r="B233" s="434"/>
      <c r="C233" s="435"/>
      <c r="D233" s="291"/>
      <c r="E233" s="450" t="s">
        <v>160</v>
      </c>
      <c r="F233" s="459"/>
      <c r="G233" s="438"/>
      <c r="H233" s="438"/>
      <c r="I233" s="441"/>
      <c r="J233" s="440"/>
      <c r="K233" s="441"/>
      <c r="L233" s="438"/>
      <c r="M233" s="441"/>
      <c r="N233" s="438"/>
      <c r="O233" s="441"/>
      <c r="P233" s="441"/>
      <c r="Q233" s="442"/>
      <c r="R233" s="438"/>
    </row>
    <row r="234" ht="15.75" customHeight="1">
      <c r="B234" s="434"/>
      <c r="C234" s="435"/>
      <c r="D234" s="291"/>
      <c r="E234" s="450" t="s">
        <v>509</v>
      </c>
      <c r="F234" s="458"/>
      <c r="G234" s="438"/>
      <c r="H234" s="438"/>
      <c r="I234" s="441"/>
      <c r="J234" s="440"/>
      <c r="K234" s="441"/>
      <c r="L234" s="438"/>
      <c r="M234" s="441"/>
      <c r="N234" s="438"/>
      <c r="O234" s="441"/>
      <c r="P234" s="441"/>
      <c r="Q234" s="442"/>
      <c r="R234" s="438"/>
    </row>
    <row r="235" ht="15.75" hidden="1" customHeight="1">
      <c r="B235" s="434"/>
      <c r="C235" s="435"/>
      <c r="D235" s="291"/>
      <c r="E235" s="450" t="s">
        <v>510</v>
      </c>
      <c r="F235" s="458"/>
      <c r="G235" s="438"/>
      <c r="H235" s="438"/>
      <c r="I235" s="441"/>
      <c r="J235" s="440"/>
      <c r="K235" s="441"/>
      <c r="L235" s="438"/>
      <c r="M235" s="441"/>
      <c r="N235" s="438"/>
      <c r="O235" s="441"/>
      <c r="P235" s="441"/>
      <c r="Q235" s="442"/>
      <c r="R235" s="438"/>
    </row>
    <row r="236" ht="15.75" hidden="1" customHeight="1">
      <c r="A236" s="327" t="s">
        <v>753</v>
      </c>
      <c r="B236" s="460"/>
      <c r="C236" s="491"/>
      <c r="D236" s="342"/>
      <c r="E236" s="450" t="s">
        <v>159</v>
      </c>
      <c r="F236" s="339">
        <v>200.0</v>
      </c>
      <c r="G236" s="301">
        <v>499.0</v>
      </c>
      <c r="H236" s="301">
        <v>399.0</v>
      </c>
      <c r="I236" s="312" t="str">
        <f>G236/R236</f>
        <v>#DIV/0!</v>
      </c>
      <c r="J236" s="313">
        <v>99.0</v>
      </c>
      <c r="K236" s="538">
        <f t="shared" ref="K236:K259" si="38">J236/G236</f>
        <v>0.1983967936</v>
      </c>
      <c r="L236" s="315">
        <f t="shared" ref="L236:L259" si="39">Q236-J236</f>
        <v>-99</v>
      </c>
      <c r="M236" s="316">
        <f t="shared" ref="M236:M259" si="40">Q236/J236-1</f>
        <v>-1</v>
      </c>
      <c r="N236" s="442"/>
      <c r="O236" s="318" t="s">
        <v>112</v>
      </c>
      <c r="P236" s="318" t="s">
        <v>112</v>
      </c>
      <c r="Q236" s="442"/>
      <c r="R236" s="443"/>
    </row>
    <row r="237" ht="15.75" hidden="1" customHeight="1">
      <c r="B237" s="460"/>
      <c r="C237" s="491"/>
      <c r="D237" s="342"/>
      <c r="E237" s="450" t="s">
        <v>160</v>
      </c>
      <c r="F237" s="469">
        <v>200.0</v>
      </c>
      <c r="G237" s="301">
        <v>499.0</v>
      </c>
      <c r="H237" s="443"/>
      <c r="I237" s="455"/>
      <c r="J237" s="313">
        <v>115.0</v>
      </c>
      <c r="K237" s="539">
        <f t="shared" si="38"/>
        <v>0.2304609218</v>
      </c>
      <c r="L237" s="315">
        <f t="shared" si="39"/>
        <v>-115</v>
      </c>
      <c r="M237" s="316">
        <f t="shared" si="40"/>
        <v>-1</v>
      </c>
      <c r="N237" s="442"/>
      <c r="O237" s="491"/>
      <c r="P237" s="491"/>
      <c r="Q237" s="442"/>
      <c r="R237" s="443"/>
    </row>
    <row r="238" ht="15.75" customHeight="1">
      <c r="B238" s="460"/>
      <c r="C238" s="491"/>
      <c r="D238" s="342"/>
      <c r="E238" s="450" t="s">
        <v>509</v>
      </c>
      <c r="F238" s="339">
        <v>200.0</v>
      </c>
      <c r="G238" s="301">
        <v>549.0</v>
      </c>
      <c r="H238" s="443"/>
      <c r="I238" s="455"/>
      <c r="J238" s="313">
        <v>118.0</v>
      </c>
      <c r="K238" s="496">
        <f t="shared" si="38"/>
        <v>0.2149362477</v>
      </c>
      <c r="L238" s="315">
        <f t="shared" si="39"/>
        <v>-118</v>
      </c>
      <c r="M238" s="316">
        <f t="shared" si="40"/>
        <v>-1</v>
      </c>
      <c r="N238" s="442"/>
      <c r="O238" s="491"/>
      <c r="P238" s="491"/>
      <c r="Q238" s="442"/>
      <c r="R238" s="443"/>
    </row>
    <row r="239" ht="15.75" hidden="1" customHeight="1">
      <c r="B239" s="460"/>
      <c r="C239" s="491"/>
      <c r="D239" s="342"/>
      <c r="E239" s="450" t="s">
        <v>510</v>
      </c>
      <c r="F239" s="339">
        <v>200.0</v>
      </c>
      <c r="G239" s="301">
        <v>549.0</v>
      </c>
      <c r="H239" s="443"/>
      <c r="I239" s="455"/>
      <c r="J239" s="313">
        <v>120.0</v>
      </c>
      <c r="K239" s="495">
        <f t="shared" si="38"/>
        <v>0.218579235</v>
      </c>
      <c r="L239" s="315">
        <f t="shared" si="39"/>
        <v>-120</v>
      </c>
      <c r="M239" s="316">
        <f t="shared" si="40"/>
        <v>-1</v>
      </c>
      <c r="N239" s="442"/>
      <c r="O239" s="491"/>
      <c r="P239" s="491"/>
      <c r="Q239" s="442"/>
      <c r="R239" s="443"/>
    </row>
    <row r="240" ht="15.75" hidden="1" customHeight="1">
      <c r="A240" s="327" t="s">
        <v>755</v>
      </c>
      <c r="B240" s="460"/>
      <c r="C240" s="491"/>
      <c r="D240" s="342"/>
      <c r="E240" s="444" t="s">
        <v>159</v>
      </c>
      <c r="F240" s="339">
        <v>200.0</v>
      </c>
      <c r="G240" s="301">
        <v>499.0</v>
      </c>
      <c r="H240" s="341">
        <v>399.0</v>
      </c>
      <c r="I240" s="286" t="str">
        <f>G240/R240</f>
        <v>#DIV/0!</v>
      </c>
      <c r="J240" s="313">
        <v>120.0</v>
      </c>
      <c r="K240" s="502">
        <f t="shared" si="38"/>
        <v>0.2404809619</v>
      </c>
      <c r="L240" s="315">
        <f t="shared" si="39"/>
        <v>-120</v>
      </c>
      <c r="M240" s="316">
        <f t="shared" si="40"/>
        <v>-1</v>
      </c>
      <c r="N240" s="442"/>
      <c r="O240" s="318" t="s">
        <v>112</v>
      </c>
      <c r="P240" s="318" t="s">
        <v>112</v>
      </c>
      <c r="Q240" s="442"/>
      <c r="R240" s="442"/>
    </row>
    <row r="241" ht="15.75" hidden="1" customHeight="1">
      <c r="B241" s="460"/>
      <c r="C241" s="491"/>
      <c r="D241" s="342"/>
      <c r="E241" s="444" t="s">
        <v>160</v>
      </c>
      <c r="F241" s="469">
        <v>200.0</v>
      </c>
      <c r="G241" s="301">
        <v>499.0</v>
      </c>
      <c r="H241" s="442"/>
      <c r="I241" s="462"/>
      <c r="J241" s="313">
        <v>120.0</v>
      </c>
      <c r="K241" s="502">
        <f t="shared" si="38"/>
        <v>0.2404809619</v>
      </c>
      <c r="L241" s="315">
        <f t="shared" si="39"/>
        <v>-120</v>
      </c>
      <c r="M241" s="316">
        <f t="shared" si="40"/>
        <v>-1</v>
      </c>
      <c r="N241" s="442"/>
      <c r="O241" s="491"/>
      <c r="P241" s="491"/>
      <c r="Q241" s="442"/>
      <c r="R241" s="442"/>
    </row>
    <row r="242" ht="15.75" customHeight="1">
      <c r="B242" s="460"/>
      <c r="C242" s="491"/>
      <c r="D242" s="342"/>
      <c r="E242" s="444" t="s">
        <v>509</v>
      </c>
      <c r="F242" s="339">
        <v>200.0</v>
      </c>
      <c r="G242" s="301">
        <v>549.0</v>
      </c>
      <c r="H242" s="442"/>
      <c r="I242" s="462"/>
      <c r="J242" s="313">
        <v>120.0</v>
      </c>
      <c r="K242" s="495">
        <f t="shared" si="38"/>
        <v>0.218579235</v>
      </c>
      <c r="L242" s="315">
        <f t="shared" si="39"/>
        <v>-120</v>
      </c>
      <c r="M242" s="316">
        <f t="shared" si="40"/>
        <v>-1</v>
      </c>
      <c r="N242" s="442"/>
      <c r="O242" s="491"/>
      <c r="P242" s="491"/>
      <c r="Q242" s="442"/>
      <c r="R242" s="442"/>
    </row>
    <row r="243" ht="15.75" hidden="1" customHeight="1">
      <c r="B243" s="460"/>
      <c r="C243" s="491"/>
      <c r="D243" s="342"/>
      <c r="E243" s="444" t="s">
        <v>622</v>
      </c>
      <c r="F243" s="339">
        <v>200.0</v>
      </c>
      <c r="G243" s="301">
        <v>549.0</v>
      </c>
      <c r="H243" s="442"/>
      <c r="I243" s="462"/>
      <c r="J243" s="313">
        <v>120.0</v>
      </c>
      <c r="K243" s="495">
        <f t="shared" si="38"/>
        <v>0.218579235</v>
      </c>
      <c r="L243" s="315">
        <f t="shared" si="39"/>
        <v>-120</v>
      </c>
      <c r="M243" s="316">
        <f t="shared" si="40"/>
        <v>-1</v>
      </c>
      <c r="N243" s="442"/>
      <c r="O243" s="491"/>
      <c r="P243" s="491"/>
      <c r="Q243" s="442"/>
      <c r="R243" s="442"/>
    </row>
    <row r="244" ht="15.75" hidden="1" customHeight="1">
      <c r="A244" s="327" t="s">
        <v>598</v>
      </c>
      <c r="B244" s="370" t="s">
        <v>757</v>
      </c>
      <c r="C244" s="491"/>
      <c r="D244" s="342"/>
      <c r="E244" s="450" t="s">
        <v>159</v>
      </c>
      <c r="F244" s="339">
        <v>250.0</v>
      </c>
      <c r="G244" s="301">
        <v>399.0</v>
      </c>
      <c r="H244" s="301">
        <v>389.0</v>
      </c>
      <c r="I244" s="312" t="str">
        <f>G244/R244</f>
        <v>#DIV/0!</v>
      </c>
      <c r="J244" s="313">
        <v>72.0</v>
      </c>
      <c r="K244" s="485">
        <f t="shared" si="38"/>
        <v>0.1804511278</v>
      </c>
      <c r="L244" s="315">
        <f t="shared" si="39"/>
        <v>-72</v>
      </c>
      <c r="M244" s="316">
        <f t="shared" si="40"/>
        <v>-1</v>
      </c>
      <c r="N244" s="442"/>
      <c r="O244" s="318" t="s">
        <v>112</v>
      </c>
      <c r="P244" s="318" t="s">
        <v>112</v>
      </c>
      <c r="Q244" s="442"/>
      <c r="R244" s="443"/>
    </row>
    <row r="245" ht="15.75" hidden="1" customHeight="1">
      <c r="C245" s="491"/>
      <c r="D245" s="342"/>
      <c r="E245" s="450" t="s">
        <v>160</v>
      </c>
      <c r="F245" s="469">
        <v>250.0</v>
      </c>
      <c r="G245" s="301">
        <v>399.0</v>
      </c>
      <c r="H245" s="443"/>
      <c r="I245" s="455"/>
      <c r="J245" s="313">
        <v>72.0</v>
      </c>
      <c r="K245" s="485">
        <f t="shared" si="38"/>
        <v>0.1804511278</v>
      </c>
      <c r="L245" s="315">
        <f t="shared" si="39"/>
        <v>-72</v>
      </c>
      <c r="M245" s="316">
        <f t="shared" si="40"/>
        <v>-1</v>
      </c>
      <c r="N245" s="442"/>
      <c r="O245" s="491"/>
      <c r="P245" s="491"/>
      <c r="Q245" s="442"/>
      <c r="R245" s="443"/>
    </row>
    <row r="246" ht="15.75" customHeight="1">
      <c r="C246" s="491"/>
      <c r="D246" s="342"/>
      <c r="E246" s="450" t="s">
        <v>509</v>
      </c>
      <c r="F246" s="339">
        <v>250.0</v>
      </c>
      <c r="G246" s="301">
        <v>419.0</v>
      </c>
      <c r="H246" s="443"/>
      <c r="I246" s="455"/>
      <c r="J246" s="313">
        <v>72.0</v>
      </c>
      <c r="K246" s="509">
        <f t="shared" si="38"/>
        <v>0.1718377088</v>
      </c>
      <c r="L246" s="315">
        <f t="shared" si="39"/>
        <v>-72</v>
      </c>
      <c r="M246" s="316">
        <f t="shared" si="40"/>
        <v>-1</v>
      </c>
      <c r="N246" s="442"/>
      <c r="O246" s="491"/>
      <c r="P246" s="491"/>
      <c r="Q246" s="442"/>
      <c r="R246" s="443"/>
    </row>
    <row r="247" ht="15.75" hidden="1" customHeight="1">
      <c r="C247" s="491"/>
      <c r="D247" s="342"/>
      <c r="E247" s="450" t="s">
        <v>510</v>
      </c>
      <c r="F247" s="339">
        <v>250.0</v>
      </c>
      <c r="G247" s="301">
        <v>419.0</v>
      </c>
      <c r="H247" s="443"/>
      <c r="I247" s="455"/>
      <c r="J247" s="313">
        <v>72.0</v>
      </c>
      <c r="K247" s="509">
        <f t="shared" si="38"/>
        <v>0.1718377088</v>
      </c>
      <c r="L247" s="315">
        <f t="shared" si="39"/>
        <v>-72</v>
      </c>
      <c r="M247" s="316">
        <f t="shared" si="40"/>
        <v>-1</v>
      </c>
      <c r="N247" s="442"/>
      <c r="O247" s="491"/>
      <c r="P247" s="491"/>
      <c r="Q247" s="442"/>
      <c r="R247" s="443"/>
    </row>
    <row r="248" ht="15.75" hidden="1" customHeight="1">
      <c r="A248" s="327" t="s">
        <v>769</v>
      </c>
      <c r="B248" s="460"/>
      <c r="C248" s="491"/>
      <c r="D248" s="342"/>
      <c r="E248" s="450" t="s">
        <v>159</v>
      </c>
      <c r="F248" s="339">
        <v>200.0</v>
      </c>
      <c r="G248" s="301">
        <v>419.0</v>
      </c>
      <c r="H248" s="301">
        <v>369.0</v>
      </c>
      <c r="I248" s="312" t="str">
        <f>G248/R248</f>
        <v>#DIV/0!</v>
      </c>
      <c r="J248" s="313">
        <v>91.0</v>
      </c>
      <c r="K248" s="540">
        <f t="shared" si="38"/>
        <v>0.2171837709</v>
      </c>
      <c r="L248" s="315">
        <f t="shared" si="39"/>
        <v>-91</v>
      </c>
      <c r="M248" s="316">
        <f t="shared" si="40"/>
        <v>-1</v>
      </c>
      <c r="N248" s="452"/>
      <c r="O248" s="318" t="s">
        <v>112</v>
      </c>
      <c r="P248" s="318" t="s">
        <v>112</v>
      </c>
      <c r="Q248" s="442"/>
      <c r="R248" s="443"/>
    </row>
    <row r="249" ht="15.75" hidden="1" customHeight="1">
      <c r="B249" s="460"/>
      <c r="C249" s="491"/>
      <c r="D249" s="342"/>
      <c r="E249" s="450" t="s">
        <v>160</v>
      </c>
      <c r="F249" s="469">
        <v>200.0</v>
      </c>
      <c r="G249" s="301">
        <v>419.0</v>
      </c>
      <c r="H249" s="443"/>
      <c r="I249" s="455"/>
      <c r="J249" s="313">
        <v>93.0</v>
      </c>
      <c r="K249" s="541">
        <f t="shared" si="38"/>
        <v>0.2219570406</v>
      </c>
      <c r="L249" s="315">
        <f t="shared" si="39"/>
        <v>-93</v>
      </c>
      <c r="M249" s="316">
        <f t="shared" si="40"/>
        <v>-1</v>
      </c>
      <c r="N249" s="452"/>
      <c r="O249" s="454"/>
      <c r="P249" s="454"/>
      <c r="Q249" s="442"/>
      <c r="R249" s="443"/>
    </row>
    <row r="250" ht="15.75" customHeight="1">
      <c r="B250" s="460"/>
      <c r="C250" s="491"/>
      <c r="D250" s="342"/>
      <c r="E250" s="450" t="s">
        <v>509</v>
      </c>
      <c r="F250" s="339">
        <v>200.0</v>
      </c>
      <c r="G250" s="301">
        <v>439.0</v>
      </c>
      <c r="H250" s="443"/>
      <c r="I250" s="455"/>
      <c r="J250" s="313">
        <v>95.0</v>
      </c>
      <c r="K250" s="489">
        <f t="shared" si="38"/>
        <v>0.2164009112</v>
      </c>
      <c r="L250" s="315">
        <f t="shared" si="39"/>
        <v>-95</v>
      </c>
      <c r="M250" s="316">
        <f t="shared" si="40"/>
        <v>-1</v>
      </c>
      <c r="N250" s="452"/>
      <c r="O250" s="454"/>
      <c r="P250" s="454"/>
      <c r="Q250" s="442"/>
      <c r="R250" s="443"/>
    </row>
    <row r="251" ht="15.75" hidden="1" customHeight="1">
      <c r="B251" s="460"/>
      <c r="C251" s="491"/>
      <c r="D251" s="342"/>
      <c r="E251" s="450" t="s">
        <v>510</v>
      </c>
      <c r="F251" s="339">
        <v>200.0</v>
      </c>
      <c r="G251" s="301">
        <v>439.0</v>
      </c>
      <c r="H251" s="443"/>
      <c r="I251" s="455"/>
      <c r="J251" s="313">
        <v>100.0</v>
      </c>
      <c r="K251" s="542">
        <f t="shared" si="38"/>
        <v>0.2277904328</v>
      </c>
      <c r="L251" s="315">
        <f t="shared" si="39"/>
        <v>-100</v>
      </c>
      <c r="M251" s="316">
        <f t="shared" si="40"/>
        <v>-1</v>
      </c>
      <c r="N251" s="452"/>
      <c r="O251" s="454"/>
      <c r="P251" s="454"/>
      <c r="Q251" s="442"/>
      <c r="R251" s="443"/>
    </row>
    <row r="252" ht="15.75" hidden="1" customHeight="1">
      <c r="A252" s="327" t="s">
        <v>771</v>
      </c>
      <c r="B252" s="370" t="s">
        <v>772</v>
      </c>
      <c r="C252" s="491"/>
      <c r="D252" s="342"/>
      <c r="E252" s="450" t="s">
        <v>159</v>
      </c>
      <c r="F252" s="337">
        <v>200.0</v>
      </c>
      <c r="G252" s="311">
        <v>399.0</v>
      </c>
      <c r="H252" s="311">
        <v>379.0</v>
      </c>
      <c r="I252" s="312" t="str">
        <f>G252/R252</f>
        <v>#DIV/0!</v>
      </c>
      <c r="J252" s="313">
        <v>85.0</v>
      </c>
      <c r="K252" s="486">
        <f t="shared" si="38"/>
        <v>0.2130325815</v>
      </c>
      <c r="L252" s="315">
        <f t="shared" si="39"/>
        <v>-85</v>
      </c>
      <c r="M252" s="316">
        <f t="shared" si="40"/>
        <v>-1</v>
      </c>
      <c r="N252" s="442"/>
      <c r="O252" s="318" t="s">
        <v>112</v>
      </c>
      <c r="P252" s="318" t="s">
        <v>112</v>
      </c>
      <c r="Q252" s="442"/>
      <c r="R252" s="443"/>
    </row>
    <row r="253" ht="15.75" hidden="1" customHeight="1">
      <c r="C253" s="491"/>
      <c r="D253" s="342"/>
      <c r="E253" s="450" t="s">
        <v>160</v>
      </c>
      <c r="F253" s="492">
        <v>200.0</v>
      </c>
      <c r="G253" s="311">
        <v>399.0</v>
      </c>
      <c r="H253" s="443"/>
      <c r="I253" s="455"/>
      <c r="J253" s="313">
        <v>74.0</v>
      </c>
      <c r="K253" s="543">
        <f t="shared" si="38"/>
        <v>0.1854636591</v>
      </c>
      <c r="L253" s="315">
        <f t="shared" si="39"/>
        <v>-74</v>
      </c>
      <c r="M253" s="316">
        <f t="shared" si="40"/>
        <v>-1</v>
      </c>
      <c r="N253" s="442"/>
      <c r="O253" s="454"/>
      <c r="P253" s="454"/>
      <c r="Q253" s="442"/>
      <c r="R253" s="443"/>
    </row>
    <row r="254" ht="15.75" customHeight="1">
      <c r="C254" s="491"/>
      <c r="D254" s="342"/>
      <c r="E254" s="450" t="s">
        <v>509</v>
      </c>
      <c r="F254" s="337">
        <v>200.0</v>
      </c>
      <c r="G254" s="311">
        <v>419.0</v>
      </c>
      <c r="H254" s="443"/>
      <c r="I254" s="455"/>
      <c r="J254" s="313">
        <v>85.0</v>
      </c>
      <c r="K254" s="544">
        <f t="shared" si="38"/>
        <v>0.2028639618</v>
      </c>
      <c r="L254" s="315">
        <f t="shared" si="39"/>
        <v>-85</v>
      </c>
      <c r="M254" s="316">
        <f t="shared" si="40"/>
        <v>-1</v>
      </c>
      <c r="N254" s="442"/>
      <c r="O254" s="454"/>
      <c r="P254" s="454"/>
      <c r="Q254" s="442"/>
      <c r="R254" s="443"/>
    </row>
    <row r="255" ht="15.75" hidden="1" customHeight="1">
      <c r="C255" s="491"/>
      <c r="D255" s="342"/>
      <c r="E255" s="450" t="s">
        <v>510</v>
      </c>
      <c r="F255" s="337">
        <v>200.0</v>
      </c>
      <c r="G255" s="311">
        <v>419.0</v>
      </c>
      <c r="H255" s="443"/>
      <c r="I255" s="455"/>
      <c r="J255" s="313">
        <v>62.0</v>
      </c>
      <c r="K255" s="545">
        <f t="shared" si="38"/>
        <v>0.1479713604</v>
      </c>
      <c r="L255" s="315">
        <f t="shared" si="39"/>
        <v>-62</v>
      </c>
      <c r="M255" s="316">
        <f t="shared" si="40"/>
        <v>-1</v>
      </c>
      <c r="N255" s="442"/>
      <c r="O255" s="454"/>
      <c r="P255" s="454"/>
      <c r="Q255" s="442"/>
      <c r="R255" s="443"/>
    </row>
    <row r="256" ht="15.75" hidden="1" customHeight="1">
      <c r="A256" s="361" t="s">
        <v>793</v>
      </c>
      <c r="B256" s="330" t="s">
        <v>794</v>
      </c>
      <c r="C256" s="457"/>
      <c r="D256" s="425"/>
      <c r="E256" s="450" t="s">
        <v>159</v>
      </c>
      <c r="F256" s="337">
        <v>100.0</v>
      </c>
      <c r="G256" s="301">
        <v>449.0</v>
      </c>
      <c r="H256" s="301">
        <v>389.0</v>
      </c>
      <c r="I256" s="312" t="str">
        <f>G256/R256</f>
        <v>#DIV/0!</v>
      </c>
      <c r="J256" s="313">
        <v>87.0</v>
      </c>
      <c r="K256" s="516">
        <f t="shared" si="38"/>
        <v>0.1937639198</v>
      </c>
      <c r="L256" s="315">
        <f t="shared" si="39"/>
        <v>-87</v>
      </c>
      <c r="M256" s="316">
        <f t="shared" si="40"/>
        <v>-1</v>
      </c>
      <c r="N256" s="442"/>
      <c r="O256" s="373" t="s">
        <v>112</v>
      </c>
      <c r="P256" s="373" t="s">
        <v>112</v>
      </c>
      <c r="Q256" s="442"/>
      <c r="R256" s="443"/>
    </row>
    <row r="257" ht="15.75" hidden="1" customHeight="1">
      <c r="C257" s="457"/>
      <c r="D257" s="425"/>
      <c r="E257" s="450" t="s">
        <v>160</v>
      </c>
      <c r="F257" s="492">
        <v>100.0</v>
      </c>
      <c r="G257" s="301">
        <v>449.0</v>
      </c>
      <c r="H257" s="443"/>
      <c r="I257" s="455"/>
      <c r="J257" s="313">
        <v>88.0</v>
      </c>
      <c r="K257" s="546">
        <f t="shared" si="38"/>
        <v>0.1959910913</v>
      </c>
      <c r="L257" s="315">
        <f t="shared" si="39"/>
        <v>-88</v>
      </c>
      <c r="M257" s="316">
        <f t="shared" si="40"/>
        <v>-1</v>
      </c>
      <c r="N257" s="442"/>
      <c r="O257" s="547"/>
      <c r="P257" s="547"/>
      <c r="Q257" s="442"/>
      <c r="R257" s="443"/>
    </row>
    <row r="258" ht="15.75" customHeight="1">
      <c r="C258" s="457"/>
      <c r="D258" s="425"/>
      <c r="E258" s="450" t="s">
        <v>509</v>
      </c>
      <c r="F258" s="337">
        <v>100.0</v>
      </c>
      <c r="G258" s="301">
        <v>449.0</v>
      </c>
      <c r="H258" s="443"/>
      <c r="I258" s="455"/>
      <c r="J258" s="313">
        <v>88.0</v>
      </c>
      <c r="K258" s="546">
        <f t="shared" si="38"/>
        <v>0.1959910913</v>
      </c>
      <c r="L258" s="315">
        <f t="shared" si="39"/>
        <v>-88</v>
      </c>
      <c r="M258" s="316">
        <f t="shared" si="40"/>
        <v>-1</v>
      </c>
      <c r="N258" s="442"/>
      <c r="O258" s="547"/>
      <c r="P258" s="547"/>
      <c r="Q258" s="442"/>
      <c r="R258" s="443"/>
    </row>
    <row r="259" ht="15.75" hidden="1" customHeight="1">
      <c r="C259" s="457"/>
      <c r="D259" s="425"/>
      <c r="E259" s="450" t="s">
        <v>510</v>
      </c>
      <c r="F259" s="337">
        <v>100.0</v>
      </c>
      <c r="G259" s="301">
        <v>449.0</v>
      </c>
      <c r="H259" s="443"/>
      <c r="I259" s="455"/>
      <c r="J259" s="313">
        <v>98.0</v>
      </c>
      <c r="K259" s="495">
        <f t="shared" si="38"/>
        <v>0.2182628062</v>
      </c>
      <c r="L259" s="315">
        <f t="shared" si="39"/>
        <v>-98</v>
      </c>
      <c r="M259" s="316">
        <f t="shared" si="40"/>
        <v>-1</v>
      </c>
      <c r="N259" s="442"/>
      <c r="O259" s="547"/>
      <c r="P259" s="547"/>
      <c r="Q259" s="442"/>
      <c r="R259" s="443"/>
    </row>
    <row r="260" ht="15.75" hidden="1" customHeight="1">
      <c r="A260" s="288" t="s">
        <v>798</v>
      </c>
      <c r="B260" s="434"/>
      <c r="C260" s="435"/>
      <c r="D260" s="291"/>
      <c r="E260" s="450" t="s">
        <v>159</v>
      </c>
      <c r="F260" s="458"/>
      <c r="G260" s="438"/>
      <c r="H260" s="438"/>
      <c r="I260" s="441"/>
      <c r="J260" s="440"/>
      <c r="K260" s="441"/>
      <c r="L260" s="438"/>
      <c r="M260" s="441"/>
      <c r="N260" s="438"/>
      <c r="O260" s="435"/>
      <c r="P260" s="435"/>
      <c r="Q260" s="442"/>
      <c r="R260" s="443"/>
    </row>
    <row r="261" ht="15.75" hidden="1" customHeight="1">
      <c r="B261" s="434"/>
      <c r="C261" s="435"/>
      <c r="D261" s="291"/>
      <c r="E261" s="450" t="s">
        <v>160</v>
      </c>
      <c r="F261" s="459"/>
      <c r="G261" s="438"/>
      <c r="H261" s="438"/>
      <c r="I261" s="441"/>
      <c r="J261" s="440"/>
      <c r="K261" s="441"/>
      <c r="L261" s="438"/>
      <c r="M261" s="441"/>
      <c r="N261" s="438"/>
      <c r="O261" s="435"/>
      <c r="P261" s="435"/>
      <c r="Q261" s="442"/>
      <c r="R261" s="443"/>
    </row>
    <row r="262" ht="15.75" hidden="1" customHeight="1">
      <c r="B262" s="434"/>
      <c r="C262" s="435"/>
      <c r="D262" s="291"/>
      <c r="E262" s="450" t="s">
        <v>800</v>
      </c>
      <c r="F262" s="458"/>
      <c r="G262" s="438"/>
      <c r="H262" s="438"/>
      <c r="I262" s="441"/>
      <c r="J262" s="440"/>
      <c r="K262" s="441"/>
      <c r="L262" s="438"/>
      <c r="M262" s="441"/>
      <c r="N262" s="438"/>
      <c r="O262" s="435"/>
      <c r="P262" s="435"/>
      <c r="Q262" s="442"/>
      <c r="R262" s="443"/>
    </row>
    <row r="263" ht="15.75" hidden="1" customHeight="1">
      <c r="B263" s="434"/>
      <c r="C263" s="435"/>
      <c r="D263" s="291"/>
      <c r="E263" s="450" t="s">
        <v>510</v>
      </c>
      <c r="F263" s="458"/>
      <c r="G263" s="438"/>
      <c r="H263" s="438"/>
      <c r="I263" s="441"/>
      <c r="J263" s="440"/>
      <c r="K263" s="441"/>
      <c r="L263" s="438"/>
      <c r="M263" s="441"/>
      <c r="N263" s="438"/>
      <c r="O263" s="435"/>
      <c r="P263" s="435"/>
      <c r="Q263" s="442"/>
      <c r="R263" s="443"/>
    </row>
    <row r="264" ht="15.75" hidden="1" customHeight="1">
      <c r="A264" s="327" t="s">
        <v>801</v>
      </c>
      <c r="B264" s="460"/>
      <c r="C264" s="491"/>
      <c r="D264" s="342"/>
      <c r="E264" s="450" t="s">
        <v>159</v>
      </c>
      <c r="F264" s="339">
        <v>50.0</v>
      </c>
      <c r="G264" s="311">
        <v>219.0</v>
      </c>
      <c r="H264" s="311">
        <v>209.0</v>
      </c>
      <c r="I264" s="312" t="str">
        <f>G264/R264</f>
        <v>#DIV/0!</v>
      </c>
      <c r="J264" s="313">
        <v>17.0</v>
      </c>
      <c r="K264" s="548">
        <f t="shared" ref="K264:K299" si="41">J264/G264</f>
        <v>0.07762557078</v>
      </c>
      <c r="L264" s="315">
        <f t="shared" ref="L264:L299" si="42">Q264-J264</f>
        <v>-17</v>
      </c>
      <c r="M264" s="316">
        <f t="shared" ref="M264:M299" si="43">Q264/J264-1</f>
        <v>-1</v>
      </c>
      <c r="N264" s="452"/>
      <c r="O264" s="318" t="s">
        <v>112</v>
      </c>
      <c r="P264" s="318" t="s">
        <v>112</v>
      </c>
      <c r="Q264" s="442"/>
      <c r="R264" s="443"/>
    </row>
    <row r="265" ht="15.75" hidden="1" customHeight="1">
      <c r="B265" s="460"/>
      <c r="C265" s="491"/>
      <c r="D265" s="342"/>
      <c r="E265" s="450" t="s">
        <v>160</v>
      </c>
      <c r="F265" s="469">
        <v>50.0</v>
      </c>
      <c r="G265" s="311">
        <v>219.0</v>
      </c>
      <c r="H265" s="311">
        <v>199.0</v>
      </c>
      <c r="I265" s="455"/>
      <c r="J265" s="313">
        <v>16.0</v>
      </c>
      <c r="K265" s="549">
        <f t="shared" si="41"/>
        <v>0.07305936073</v>
      </c>
      <c r="L265" s="315">
        <f t="shared" si="42"/>
        <v>-16</v>
      </c>
      <c r="M265" s="316">
        <f t="shared" si="43"/>
        <v>-1</v>
      </c>
      <c r="N265" s="452"/>
      <c r="O265" s="454"/>
      <c r="P265" s="454"/>
      <c r="Q265" s="442"/>
      <c r="R265" s="443"/>
    </row>
    <row r="266" ht="15.75" customHeight="1">
      <c r="B266" s="460"/>
      <c r="C266" s="491"/>
      <c r="D266" s="342"/>
      <c r="E266" s="450" t="s">
        <v>509</v>
      </c>
      <c r="F266" s="339">
        <v>50.0</v>
      </c>
      <c r="G266" s="311">
        <v>239.0</v>
      </c>
      <c r="H266" s="311">
        <v>229.0</v>
      </c>
      <c r="I266" s="455"/>
      <c r="J266" s="313">
        <v>18.0</v>
      </c>
      <c r="K266" s="550">
        <f t="shared" si="41"/>
        <v>0.07531380753</v>
      </c>
      <c r="L266" s="315">
        <f t="shared" si="42"/>
        <v>-18</v>
      </c>
      <c r="M266" s="316">
        <f t="shared" si="43"/>
        <v>-1</v>
      </c>
      <c r="N266" s="452"/>
      <c r="O266" s="454"/>
      <c r="P266" s="454"/>
      <c r="Q266" s="442"/>
      <c r="R266" s="443"/>
    </row>
    <row r="267" ht="15.75" hidden="1" customHeight="1">
      <c r="B267" s="460"/>
      <c r="C267" s="491"/>
      <c r="D267" s="342"/>
      <c r="E267" s="450" t="s">
        <v>510</v>
      </c>
      <c r="F267" s="339">
        <v>50.0</v>
      </c>
      <c r="G267" s="311">
        <v>239.0</v>
      </c>
      <c r="H267" s="311">
        <v>229.0</v>
      </c>
      <c r="I267" s="455"/>
      <c r="J267" s="313">
        <v>21.0</v>
      </c>
      <c r="K267" s="551">
        <f t="shared" si="41"/>
        <v>0.08786610879</v>
      </c>
      <c r="L267" s="315">
        <f t="shared" si="42"/>
        <v>-21</v>
      </c>
      <c r="M267" s="316">
        <f t="shared" si="43"/>
        <v>-1</v>
      </c>
      <c r="N267" s="452"/>
      <c r="O267" s="454"/>
      <c r="P267" s="454"/>
      <c r="Q267" s="442"/>
      <c r="R267" s="443"/>
    </row>
    <row r="268" ht="15.75" hidden="1" customHeight="1">
      <c r="A268" s="327" t="s">
        <v>803</v>
      </c>
      <c r="B268" s="460"/>
      <c r="C268" s="491"/>
      <c r="D268" s="342"/>
      <c r="E268" s="450" t="s">
        <v>159</v>
      </c>
      <c r="F268" s="339">
        <v>50.0</v>
      </c>
      <c r="G268" s="311">
        <v>219.0</v>
      </c>
      <c r="H268" s="311">
        <v>209.0</v>
      </c>
      <c r="I268" s="312" t="str">
        <f>G268/R268</f>
        <v>#DIV/0!</v>
      </c>
      <c r="J268" s="313">
        <v>31.0</v>
      </c>
      <c r="K268" s="552">
        <f t="shared" si="41"/>
        <v>0.1415525114</v>
      </c>
      <c r="L268" s="315">
        <f t="shared" si="42"/>
        <v>-31</v>
      </c>
      <c r="M268" s="316">
        <f t="shared" si="43"/>
        <v>-1</v>
      </c>
      <c r="N268" s="452"/>
      <c r="O268" s="373" t="s">
        <v>112</v>
      </c>
      <c r="P268" s="373" t="s">
        <v>112</v>
      </c>
      <c r="Q268" s="442"/>
      <c r="R268" s="443"/>
    </row>
    <row r="269" ht="15.75" hidden="1" customHeight="1">
      <c r="B269" s="460"/>
      <c r="C269" s="491"/>
      <c r="D269" s="342"/>
      <c r="E269" s="450" t="s">
        <v>160</v>
      </c>
      <c r="F269" s="469">
        <v>50.0</v>
      </c>
      <c r="G269" s="311">
        <v>219.0</v>
      </c>
      <c r="H269" s="311">
        <v>199.0</v>
      </c>
      <c r="I269" s="455"/>
      <c r="J269" s="313">
        <v>30.0</v>
      </c>
      <c r="K269" s="553">
        <f t="shared" si="41"/>
        <v>0.1369863014</v>
      </c>
      <c r="L269" s="315">
        <f t="shared" si="42"/>
        <v>-30</v>
      </c>
      <c r="M269" s="316">
        <f t="shared" si="43"/>
        <v>-1</v>
      </c>
      <c r="N269" s="452"/>
      <c r="O269" s="547"/>
      <c r="P269" s="547"/>
      <c r="Q269" s="442"/>
      <c r="R269" s="443"/>
    </row>
    <row r="270" ht="15.75" customHeight="1">
      <c r="B270" s="460"/>
      <c r="C270" s="491"/>
      <c r="D270" s="342"/>
      <c r="E270" s="450" t="s">
        <v>509</v>
      </c>
      <c r="F270" s="339">
        <v>50.0</v>
      </c>
      <c r="G270" s="311">
        <v>239.0</v>
      </c>
      <c r="H270" s="311">
        <v>229.0</v>
      </c>
      <c r="I270" s="455"/>
      <c r="J270" s="313">
        <v>31.0</v>
      </c>
      <c r="K270" s="554">
        <f t="shared" si="41"/>
        <v>0.129707113</v>
      </c>
      <c r="L270" s="315">
        <f t="shared" si="42"/>
        <v>-31</v>
      </c>
      <c r="M270" s="316">
        <f t="shared" si="43"/>
        <v>-1</v>
      </c>
      <c r="N270" s="452"/>
      <c r="O270" s="547"/>
      <c r="P270" s="547"/>
      <c r="Q270" s="442"/>
      <c r="R270" s="443"/>
    </row>
    <row r="271" ht="15.75" hidden="1" customHeight="1">
      <c r="B271" s="460"/>
      <c r="C271" s="491"/>
      <c r="D271" s="342"/>
      <c r="E271" s="450" t="s">
        <v>510</v>
      </c>
      <c r="F271" s="339">
        <v>50.0</v>
      </c>
      <c r="G271" s="311">
        <v>239.0</v>
      </c>
      <c r="H271" s="311">
        <v>229.0</v>
      </c>
      <c r="I271" s="455"/>
      <c r="J271" s="313">
        <v>35.0</v>
      </c>
      <c r="K271" s="555">
        <f t="shared" si="41"/>
        <v>0.1464435146</v>
      </c>
      <c r="L271" s="315">
        <f t="shared" si="42"/>
        <v>-35</v>
      </c>
      <c r="M271" s="316">
        <f t="shared" si="43"/>
        <v>-1</v>
      </c>
      <c r="N271" s="452"/>
      <c r="O271" s="547"/>
      <c r="P271" s="547"/>
      <c r="Q271" s="442"/>
      <c r="R271" s="443"/>
    </row>
    <row r="272" ht="15.75" hidden="1" customHeight="1">
      <c r="A272" s="327" t="s">
        <v>804</v>
      </c>
      <c r="B272" s="460"/>
      <c r="C272" s="491"/>
      <c r="D272" s="342"/>
      <c r="E272" s="450" t="s">
        <v>159</v>
      </c>
      <c r="F272" s="339">
        <v>50.0</v>
      </c>
      <c r="G272" s="311">
        <v>219.0</v>
      </c>
      <c r="H272" s="311">
        <v>209.0</v>
      </c>
      <c r="I272" s="312" t="str">
        <f>G272/R272</f>
        <v>#DIV/0!</v>
      </c>
      <c r="J272" s="313">
        <v>31.0</v>
      </c>
      <c r="K272" s="552">
        <f t="shared" si="41"/>
        <v>0.1415525114</v>
      </c>
      <c r="L272" s="315">
        <f t="shared" si="42"/>
        <v>-31</v>
      </c>
      <c r="M272" s="316">
        <f t="shared" si="43"/>
        <v>-1</v>
      </c>
      <c r="N272" s="452"/>
      <c r="O272" s="318" t="s">
        <v>112</v>
      </c>
      <c r="P272" s="318" t="s">
        <v>112</v>
      </c>
      <c r="Q272" s="442"/>
      <c r="R272" s="443"/>
    </row>
    <row r="273" ht="15.75" hidden="1" customHeight="1">
      <c r="B273" s="460"/>
      <c r="C273" s="491"/>
      <c r="D273" s="342"/>
      <c r="E273" s="450" t="s">
        <v>160</v>
      </c>
      <c r="F273" s="469">
        <v>50.0</v>
      </c>
      <c r="G273" s="311">
        <v>219.0</v>
      </c>
      <c r="H273" s="311">
        <v>199.0</v>
      </c>
      <c r="I273" s="455"/>
      <c r="J273" s="313">
        <v>30.0</v>
      </c>
      <c r="K273" s="553">
        <f t="shared" si="41"/>
        <v>0.1369863014</v>
      </c>
      <c r="L273" s="315">
        <f t="shared" si="42"/>
        <v>-30</v>
      </c>
      <c r="M273" s="316">
        <f t="shared" si="43"/>
        <v>-1</v>
      </c>
      <c r="N273" s="452"/>
      <c r="O273" s="454"/>
      <c r="P273" s="454"/>
      <c r="Q273" s="442"/>
      <c r="R273" s="443"/>
    </row>
    <row r="274" ht="15.75" customHeight="1">
      <c r="B274" s="460"/>
      <c r="C274" s="491"/>
      <c r="D274" s="342"/>
      <c r="E274" s="450" t="s">
        <v>509</v>
      </c>
      <c r="F274" s="339">
        <v>50.0</v>
      </c>
      <c r="G274" s="311">
        <v>239.0</v>
      </c>
      <c r="H274" s="311">
        <v>229.0</v>
      </c>
      <c r="I274" s="455"/>
      <c r="J274" s="313">
        <v>31.0</v>
      </c>
      <c r="K274" s="554">
        <f t="shared" si="41"/>
        <v>0.129707113</v>
      </c>
      <c r="L274" s="315">
        <f t="shared" si="42"/>
        <v>-31</v>
      </c>
      <c r="M274" s="316">
        <f t="shared" si="43"/>
        <v>-1</v>
      </c>
      <c r="N274" s="452"/>
      <c r="O274" s="454"/>
      <c r="P274" s="454"/>
      <c r="Q274" s="442"/>
      <c r="R274" s="443"/>
    </row>
    <row r="275" ht="15.75" hidden="1" customHeight="1">
      <c r="B275" s="460"/>
      <c r="C275" s="491"/>
      <c r="D275" s="342"/>
      <c r="E275" s="450" t="s">
        <v>510</v>
      </c>
      <c r="F275" s="339">
        <v>50.0</v>
      </c>
      <c r="G275" s="311">
        <v>239.0</v>
      </c>
      <c r="H275" s="311">
        <v>229.0</v>
      </c>
      <c r="I275" s="455"/>
      <c r="J275" s="313">
        <v>32.0</v>
      </c>
      <c r="K275" s="556">
        <f t="shared" si="41"/>
        <v>0.1338912134</v>
      </c>
      <c r="L275" s="315">
        <f t="shared" si="42"/>
        <v>-32</v>
      </c>
      <c r="M275" s="316">
        <f t="shared" si="43"/>
        <v>-1</v>
      </c>
      <c r="N275" s="452"/>
      <c r="O275" s="454"/>
      <c r="P275" s="454"/>
      <c r="Q275" s="442"/>
      <c r="R275" s="443"/>
    </row>
    <row r="276" ht="15.75" hidden="1" customHeight="1">
      <c r="A276" s="327" t="s">
        <v>805</v>
      </c>
      <c r="B276" s="460"/>
      <c r="C276" s="491"/>
      <c r="D276" s="342"/>
      <c r="E276" s="450" t="s">
        <v>159</v>
      </c>
      <c r="F276" s="339">
        <v>50.0</v>
      </c>
      <c r="G276" s="311">
        <v>219.0</v>
      </c>
      <c r="H276" s="311">
        <v>209.0</v>
      </c>
      <c r="I276" s="312" t="str">
        <f>G276/R276</f>
        <v>#DIV/0!</v>
      </c>
      <c r="J276" s="313">
        <v>32.0</v>
      </c>
      <c r="K276" s="555">
        <f t="shared" si="41"/>
        <v>0.1461187215</v>
      </c>
      <c r="L276" s="315">
        <f t="shared" si="42"/>
        <v>-32</v>
      </c>
      <c r="M276" s="316">
        <f t="shared" si="43"/>
        <v>-1</v>
      </c>
      <c r="N276" s="452"/>
      <c r="O276" s="318" t="s">
        <v>112</v>
      </c>
      <c r="P276" s="318" t="s">
        <v>112</v>
      </c>
      <c r="Q276" s="442"/>
      <c r="R276" s="443"/>
    </row>
    <row r="277" ht="15.75" hidden="1" customHeight="1">
      <c r="B277" s="460"/>
      <c r="C277" s="491"/>
      <c r="D277" s="342"/>
      <c r="E277" s="450" t="s">
        <v>160</v>
      </c>
      <c r="F277" s="469">
        <v>50.0</v>
      </c>
      <c r="G277" s="311">
        <v>219.0</v>
      </c>
      <c r="H277" s="311">
        <v>199.0</v>
      </c>
      <c r="I277" s="455"/>
      <c r="J277" s="313">
        <v>31.0</v>
      </c>
      <c r="K277" s="552">
        <f t="shared" si="41"/>
        <v>0.1415525114</v>
      </c>
      <c r="L277" s="315">
        <f t="shared" si="42"/>
        <v>-31</v>
      </c>
      <c r="M277" s="316">
        <f t="shared" si="43"/>
        <v>-1</v>
      </c>
      <c r="N277" s="452"/>
      <c r="O277" s="454"/>
      <c r="P277" s="454"/>
      <c r="Q277" s="442"/>
      <c r="R277" s="443"/>
    </row>
    <row r="278" ht="15.75" customHeight="1">
      <c r="B278" s="460"/>
      <c r="C278" s="491"/>
      <c r="D278" s="342"/>
      <c r="E278" s="450" t="s">
        <v>509</v>
      </c>
      <c r="F278" s="339">
        <v>50.0</v>
      </c>
      <c r="G278" s="311">
        <v>239.0</v>
      </c>
      <c r="H278" s="311">
        <v>229.0</v>
      </c>
      <c r="I278" s="455"/>
      <c r="J278" s="313">
        <v>33.0</v>
      </c>
      <c r="K278" s="557">
        <f t="shared" si="41"/>
        <v>0.1380753138</v>
      </c>
      <c r="L278" s="315">
        <f t="shared" si="42"/>
        <v>-33</v>
      </c>
      <c r="M278" s="316">
        <f t="shared" si="43"/>
        <v>-1</v>
      </c>
      <c r="N278" s="452"/>
      <c r="O278" s="454"/>
      <c r="P278" s="454"/>
      <c r="Q278" s="442"/>
      <c r="R278" s="443"/>
    </row>
    <row r="279" ht="15.75" hidden="1" customHeight="1">
      <c r="B279" s="460"/>
      <c r="C279" s="491"/>
      <c r="D279" s="342"/>
      <c r="E279" s="450" t="s">
        <v>510</v>
      </c>
      <c r="F279" s="339">
        <v>50.0</v>
      </c>
      <c r="G279" s="311">
        <v>239.0</v>
      </c>
      <c r="H279" s="311">
        <v>229.0</v>
      </c>
      <c r="I279" s="455"/>
      <c r="J279" s="313">
        <v>38.0</v>
      </c>
      <c r="K279" s="558">
        <f t="shared" si="41"/>
        <v>0.1589958159</v>
      </c>
      <c r="L279" s="315">
        <f t="shared" si="42"/>
        <v>-38</v>
      </c>
      <c r="M279" s="316">
        <f t="shared" si="43"/>
        <v>-1</v>
      </c>
      <c r="N279" s="452"/>
      <c r="O279" s="454"/>
      <c r="P279" s="454"/>
      <c r="Q279" s="442"/>
      <c r="R279" s="443"/>
    </row>
    <row r="280" ht="15.75" hidden="1" customHeight="1">
      <c r="A280" s="374" t="s">
        <v>806</v>
      </c>
      <c r="B280" s="460"/>
      <c r="C280" s="491"/>
      <c r="D280" s="342"/>
      <c r="E280" s="450" t="s">
        <v>159</v>
      </c>
      <c r="F280" s="339">
        <v>50.0</v>
      </c>
      <c r="G280" s="311">
        <v>219.0</v>
      </c>
      <c r="H280" s="311">
        <v>209.0</v>
      </c>
      <c r="I280" s="312" t="str">
        <f>G280/R280</f>
        <v>#DIV/0!</v>
      </c>
      <c r="J280" s="313">
        <v>28.0</v>
      </c>
      <c r="K280" s="559">
        <f t="shared" si="41"/>
        <v>0.1278538813</v>
      </c>
      <c r="L280" s="315">
        <f t="shared" si="42"/>
        <v>-28</v>
      </c>
      <c r="M280" s="316">
        <f t="shared" si="43"/>
        <v>-1</v>
      </c>
      <c r="N280" s="452"/>
      <c r="O280" s="318" t="s">
        <v>112</v>
      </c>
      <c r="P280" s="318" t="s">
        <v>112</v>
      </c>
      <c r="Q280" s="442"/>
      <c r="R280" s="443"/>
    </row>
    <row r="281" ht="15.75" hidden="1" customHeight="1">
      <c r="B281" s="460"/>
      <c r="C281" s="491"/>
      <c r="D281" s="342"/>
      <c r="E281" s="450" t="s">
        <v>160</v>
      </c>
      <c r="F281" s="469">
        <v>50.0</v>
      </c>
      <c r="G281" s="311">
        <v>219.0</v>
      </c>
      <c r="H281" s="311">
        <v>199.0</v>
      </c>
      <c r="I281" s="455"/>
      <c r="J281" s="313">
        <v>26.0</v>
      </c>
      <c r="K281" s="410">
        <f t="shared" si="41"/>
        <v>0.1187214612</v>
      </c>
      <c r="L281" s="315">
        <f t="shared" si="42"/>
        <v>-26</v>
      </c>
      <c r="M281" s="316">
        <f t="shared" si="43"/>
        <v>-1</v>
      </c>
      <c r="N281" s="452"/>
      <c r="O281" s="454"/>
      <c r="P281" s="454"/>
      <c r="Q281" s="442"/>
      <c r="R281" s="443"/>
    </row>
    <row r="282" ht="15.75" customHeight="1">
      <c r="B282" s="460"/>
      <c r="C282" s="491"/>
      <c r="D282" s="342"/>
      <c r="E282" s="450" t="s">
        <v>509</v>
      </c>
      <c r="F282" s="339">
        <v>50.0</v>
      </c>
      <c r="G282" s="311">
        <v>239.0</v>
      </c>
      <c r="H282" s="311">
        <v>229.0</v>
      </c>
      <c r="I282" s="455"/>
      <c r="J282" s="313">
        <v>29.0</v>
      </c>
      <c r="K282" s="560">
        <f t="shared" si="41"/>
        <v>0.1213389121</v>
      </c>
      <c r="L282" s="315">
        <f t="shared" si="42"/>
        <v>-29</v>
      </c>
      <c r="M282" s="316">
        <f t="shared" si="43"/>
        <v>-1</v>
      </c>
      <c r="N282" s="452"/>
      <c r="O282" s="454"/>
      <c r="P282" s="454"/>
      <c r="Q282" s="442"/>
      <c r="R282" s="443"/>
    </row>
    <row r="283" ht="15.75" hidden="1" customHeight="1">
      <c r="B283" s="460"/>
      <c r="C283" s="491"/>
      <c r="D283" s="342"/>
      <c r="E283" s="450" t="s">
        <v>510</v>
      </c>
      <c r="F283" s="339">
        <v>50.0</v>
      </c>
      <c r="G283" s="311">
        <v>239.0</v>
      </c>
      <c r="H283" s="311">
        <v>229.0</v>
      </c>
      <c r="I283" s="455"/>
      <c r="J283" s="313">
        <v>33.0</v>
      </c>
      <c r="K283" s="557">
        <f t="shared" si="41"/>
        <v>0.1380753138</v>
      </c>
      <c r="L283" s="315">
        <f t="shared" si="42"/>
        <v>-33</v>
      </c>
      <c r="M283" s="316">
        <f t="shared" si="43"/>
        <v>-1</v>
      </c>
      <c r="N283" s="452"/>
      <c r="O283" s="454"/>
      <c r="P283" s="454"/>
      <c r="Q283" s="442"/>
      <c r="R283" s="443"/>
    </row>
    <row r="284" ht="15.75" hidden="1" customHeight="1">
      <c r="A284" s="327" t="s">
        <v>807</v>
      </c>
      <c r="B284" s="460"/>
      <c r="C284" s="491"/>
      <c r="D284" s="342"/>
      <c r="E284" s="450" t="s">
        <v>159</v>
      </c>
      <c r="F284" s="339">
        <v>50.0</v>
      </c>
      <c r="G284" s="311">
        <v>219.0</v>
      </c>
      <c r="H284" s="311">
        <v>209.0</v>
      </c>
      <c r="I284" s="312" t="str">
        <f>G284/R284</f>
        <v>#DIV/0!</v>
      </c>
      <c r="J284" s="313">
        <v>43.0</v>
      </c>
      <c r="K284" s="515">
        <f t="shared" si="41"/>
        <v>0.196347032</v>
      </c>
      <c r="L284" s="315">
        <f t="shared" si="42"/>
        <v>-43</v>
      </c>
      <c r="M284" s="316">
        <f t="shared" si="43"/>
        <v>-1</v>
      </c>
      <c r="N284" s="442"/>
      <c r="O284" s="318" t="s">
        <v>112</v>
      </c>
      <c r="P284" s="318" t="s">
        <v>112</v>
      </c>
      <c r="Q284" s="442"/>
      <c r="R284" s="443"/>
    </row>
    <row r="285" ht="15.75" hidden="1" customHeight="1">
      <c r="B285" s="460"/>
      <c r="C285" s="491"/>
      <c r="D285" s="342"/>
      <c r="E285" s="450" t="s">
        <v>160</v>
      </c>
      <c r="F285" s="469">
        <v>50.0</v>
      </c>
      <c r="G285" s="311">
        <v>219.0</v>
      </c>
      <c r="H285" s="311">
        <v>199.0</v>
      </c>
      <c r="I285" s="455"/>
      <c r="J285" s="313">
        <v>41.0</v>
      </c>
      <c r="K285" s="561">
        <f t="shared" si="41"/>
        <v>0.1872146119</v>
      </c>
      <c r="L285" s="315">
        <f t="shared" si="42"/>
        <v>-41</v>
      </c>
      <c r="M285" s="316">
        <f t="shared" si="43"/>
        <v>-1</v>
      </c>
      <c r="N285" s="442"/>
      <c r="O285" s="491"/>
      <c r="P285" s="491"/>
      <c r="Q285" s="442"/>
      <c r="R285" s="443"/>
    </row>
    <row r="286" ht="15.75" customHeight="1">
      <c r="B286" s="460"/>
      <c r="C286" s="491"/>
      <c r="D286" s="342"/>
      <c r="E286" s="450" t="s">
        <v>509</v>
      </c>
      <c r="F286" s="339">
        <v>50.0</v>
      </c>
      <c r="G286" s="311">
        <v>239.0</v>
      </c>
      <c r="H286" s="311">
        <v>229.0</v>
      </c>
      <c r="I286" s="455"/>
      <c r="J286" s="313">
        <v>43.0</v>
      </c>
      <c r="K286" s="485">
        <f t="shared" si="41"/>
        <v>0.179916318</v>
      </c>
      <c r="L286" s="315">
        <f t="shared" si="42"/>
        <v>-43</v>
      </c>
      <c r="M286" s="316">
        <f t="shared" si="43"/>
        <v>-1</v>
      </c>
      <c r="N286" s="442"/>
      <c r="O286" s="491"/>
      <c r="P286" s="491"/>
      <c r="Q286" s="442"/>
      <c r="R286" s="443"/>
    </row>
    <row r="287" ht="15.75" hidden="1" customHeight="1">
      <c r="B287" s="460"/>
      <c r="C287" s="491"/>
      <c r="D287" s="342"/>
      <c r="E287" s="450" t="s">
        <v>510</v>
      </c>
      <c r="F287" s="339">
        <v>50.0</v>
      </c>
      <c r="G287" s="311">
        <v>239.0</v>
      </c>
      <c r="H287" s="311">
        <v>229.0</v>
      </c>
      <c r="I287" s="455"/>
      <c r="J287" s="313">
        <v>45.0</v>
      </c>
      <c r="K287" s="476">
        <f t="shared" si="41"/>
        <v>0.1882845188</v>
      </c>
      <c r="L287" s="315">
        <f t="shared" si="42"/>
        <v>-45</v>
      </c>
      <c r="M287" s="316">
        <f t="shared" si="43"/>
        <v>-1</v>
      </c>
      <c r="N287" s="442"/>
      <c r="O287" s="491"/>
      <c r="P287" s="491"/>
      <c r="Q287" s="442"/>
      <c r="R287" s="443"/>
    </row>
    <row r="288" ht="15.75" hidden="1" customHeight="1">
      <c r="A288" s="327" t="s">
        <v>808</v>
      </c>
      <c r="B288" s="460"/>
      <c r="C288" s="491"/>
      <c r="D288" s="342"/>
      <c r="E288" s="450" t="s">
        <v>159</v>
      </c>
      <c r="F288" s="339">
        <v>50.0</v>
      </c>
      <c r="G288" s="311">
        <v>219.0</v>
      </c>
      <c r="H288" s="311">
        <v>209.0</v>
      </c>
      <c r="I288" s="312" t="str">
        <f>G288/R288</f>
        <v>#DIV/0!</v>
      </c>
      <c r="J288" s="313">
        <v>26.0</v>
      </c>
      <c r="K288" s="410">
        <f t="shared" si="41"/>
        <v>0.1187214612</v>
      </c>
      <c r="L288" s="315">
        <f t="shared" si="42"/>
        <v>-26</v>
      </c>
      <c r="M288" s="316">
        <f t="shared" si="43"/>
        <v>-1</v>
      </c>
      <c r="N288" s="452"/>
      <c r="O288" s="318" t="s">
        <v>112</v>
      </c>
      <c r="P288" s="318" t="s">
        <v>112</v>
      </c>
      <c r="Q288" s="442"/>
      <c r="R288" s="443"/>
    </row>
    <row r="289" ht="15.75" hidden="1" customHeight="1">
      <c r="B289" s="460"/>
      <c r="C289" s="491"/>
      <c r="D289" s="342"/>
      <c r="E289" s="450" t="s">
        <v>160</v>
      </c>
      <c r="F289" s="469">
        <v>50.0</v>
      </c>
      <c r="G289" s="311">
        <v>219.0</v>
      </c>
      <c r="H289" s="311">
        <v>199.0</v>
      </c>
      <c r="I289" s="455"/>
      <c r="J289" s="313">
        <v>24.0</v>
      </c>
      <c r="K289" s="562">
        <f t="shared" si="41"/>
        <v>0.1095890411</v>
      </c>
      <c r="L289" s="315">
        <f t="shared" si="42"/>
        <v>-24</v>
      </c>
      <c r="M289" s="316">
        <f t="shared" si="43"/>
        <v>-1</v>
      </c>
      <c r="N289" s="452"/>
      <c r="O289" s="454"/>
      <c r="P289" s="454"/>
      <c r="Q289" s="442"/>
      <c r="R289" s="443"/>
    </row>
    <row r="290" ht="15.75" customHeight="1">
      <c r="B290" s="460"/>
      <c r="C290" s="491"/>
      <c r="D290" s="342"/>
      <c r="E290" s="450" t="s">
        <v>509</v>
      </c>
      <c r="F290" s="339">
        <v>50.0</v>
      </c>
      <c r="G290" s="311">
        <v>239.0</v>
      </c>
      <c r="H290" s="311">
        <v>229.0</v>
      </c>
      <c r="I290" s="455"/>
      <c r="J290" s="313">
        <v>25.0</v>
      </c>
      <c r="K290" s="563">
        <f t="shared" si="41"/>
        <v>0.1046025105</v>
      </c>
      <c r="L290" s="315">
        <f t="shared" si="42"/>
        <v>-25</v>
      </c>
      <c r="M290" s="316">
        <f t="shared" si="43"/>
        <v>-1</v>
      </c>
      <c r="N290" s="452"/>
      <c r="O290" s="454"/>
      <c r="P290" s="454"/>
      <c r="Q290" s="442"/>
      <c r="R290" s="443"/>
    </row>
    <row r="291" ht="15.75" hidden="1" customHeight="1">
      <c r="B291" s="460"/>
      <c r="C291" s="491"/>
      <c r="D291" s="342"/>
      <c r="E291" s="450" t="s">
        <v>510</v>
      </c>
      <c r="F291" s="339">
        <v>50.0</v>
      </c>
      <c r="G291" s="311">
        <v>239.0</v>
      </c>
      <c r="H291" s="311">
        <v>229.0</v>
      </c>
      <c r="I291" s="455"/>
      <c r="J291" s="313">
        <v>28.0</v>
      </c>
      <c r="K291" s="564">
        <f t="shared" si="41"/>
        <v>0.1171548117</v>
      </c>
      <c r="L291" s="315">
        <f t="shared" si="42"/>
        <v>-28</v>
      </c>
      <c r="M291" s="316">
        <f t="shared" si="43"/>
        <v>-1</v>
      </c>
      <c r="N291" s="452"/>
      <c r="O291" s="454"/>
      <c r="P291" s="454"/>
      <c r="Q291" s="442"/>
      <c r="R291" s="443"/>
    </row>
    <row r="292" ht="15.75" hidden="1" customHeight="1">
      <c r="A292" s="329" t="s">
        <v>809</v>
      </c>
      <c r="B292" s="460"/>
      <c r="C292" s="491"/>
      <c r="D292" s="342"/>
      <c r="E292" s="450" t="s">
        <v>159</v>
      </c>
      <c r="F292" s="339">
        <v>50.0</v>
      </c>
      <c r="G292" s="311">
        <v>219.0</v>
      </c>
      <c r="H292" s="311">
        <v>209.0</v>
      </c>
      <c r="I292" s="312" t="str">
        <f>G292/R292</f>
        <v>#DIV/0!</v>
      </c>
      <c r="J292" s="313">
        <v>37.0</v>
      </c>
      <c r="K292" s="477">
        <f t="shared" si="41"/>
        <v>0.1689497717</v>
      </c>
      <c r="L292" s="315">
        <f t="shared" si="42"/>
        <v>-37</v>
      </c>
      <c r="M292" s="316">
        <f t="shared" si="43"/>
        <v>-1</v>
      </c>
      <c r="N292" s="442"/>
      <c r="O292" s="373" t="s">
        <v>112</v>
      </c>
      <c r="P292" s="373" t="s">
        <v>112</v>
      </c>
      <c r="Q292" s="442"/>
      <c r="R292" s="443"/>
    </row>
    <row r="293" ht="15.75" hidden="1" customHeight="1">
      <c r="B293" s="460"/>
      <c r="C293" s="491"/>
      <c r="D293" s="342"/>
      <c r="E293" s="450" t="s">
        <v>160</v>
      </c>
      <c r="F293" s="469">
        <v>50.0</v>
      </c>
      <c r="G293" s="311">
        <v>219.0</v>
      </c>
      <c r="H293" s="311">
        <v>199.0</v>
      </c>
      <c r="I293" s="455"/>
      <c r="J293" s="313">
        <v>37.0</v>
      </c>
      <c r="K293" s="477">
        <f t="shared" si="41"/>
        <v>0.1689497717</v>
      </c>
      <c r="L293" s="315">
        <f t="shared" si="42"/>
        <v>-37</v>
      </c>
      <c r="M293" s="316">
        <f t="shared" si="43"/>
        <v>-1</v>
      </c>
      <c r="N293" s="442"/>
      <c r="O293" s="462"/>
      <c r="P293" s="462"/>
      <c r="Q293" s="442"/>
      <c r="R293" s="443"/>
    </row>
    <row r="294" ht="15.75" customHeight="1">
      <c r="B294" s="460"/>
      <c r="C294" s="491"/>
      <c r="D294" s="342"/>
      <c r="E294" s="450" t="s">
        <v>509</v>
      </c>
      <c r="F294" s="339">
        <v>50.0</v>
      </c>
      <c r="G294" s="311">
        <v>239.0</v>
      </c>
      <c r="H294" s="311">
        <v>229.0</v>
      </c>
      <c r="I294" s="455"/>
      <c r="J294" s="313">
        <v>33.0</v>
      </c>
      <c r="K294" s="557">
        <f t="shared" si="41"/>
        <v>0.1380753138</v>
      </c>
      <c r="L294" s="315">
        <f t="shared" si="42"/>
        <v>-33</v>
      </c>
      <c r="M294" s="316">
        <f t="shared" si="43"/>
        <v>-1</v>
      </c>
      <c r="N294" s="442"/>
      <c r="O294" s="462"/>
      <c r="P294" s="462"/>
      <c r="Q294" s="442"/>
      <c r="R294" s="443"/>
    </row>
    <row r="295" ht="15.75" hidden="1" customHeight="1">
      <c r="B295" s="460"/>
      <c r="C295" s="491"/>
      <c r="D295" s="342"/>
      <c r="E295" s="450" t="s">
        <v>510</v>
      </c>
      <c r="F295" s="339">
        <v>50.0</v>
      </c>
      <c r="G295" s="311">
        <v>239.0</v>
      </c>
      <c r="H295" s="311">
        <v>229.0</v>
      </c>
      <c r="I295" s="455"/>
      <c r="J295" s="313">
        <v>44.0</v>
      </c>
      <c r="K295" s="565">
        <f t="shared" si="41"/>
        <v>0.1841004184</v>
      </c>
      <c r="L295" s="315">
        <f t="shared" si="42"/>
        <v>-44</v>
      </c>
      <c r="M295" s="316">
        <f t="shared" si="43"/>
        <v>-1</v>
      </c>
      <c r="N295" s="442"/>
      <c r="O295" s="462"/>
      <c r="P295" s="462"/>
      <c r="Q295" s="442"/>
      <c r="R295" s="443"/>
    </row>
    <row r="296" ht="15.75" hidden="1" customHeight="1">
      <c r="A296" s="329" t="s">
        <v>810</v>
      </c>
      <c r="B296" s="460"/>
      <c r="C296" s="491"/>
      <c r="D296" s="342"/>
      <c r="E296" s="450" t="s">
        <v>159</v>
      </c>
      <c r="F296" s="339">
        <v>50.0</v>
      </c>
      <c r="G296" s="311">
        <v>219.0</v>
      </c>
      <c r="H296" s="311">
        <v>209.0</v>
      </c>
      <c r="I296" s="312" t="str">
        <f>G296/R296</f>
        <v>#DIV/0!</v>
      </c>
      <c r="J296" s="313">
        <v>28.0</v>
      </c>
      <c r="K296" s="559">
        <f t="shared" si="41"/>
        <v>0.1278538813</v>
      </c>
      <c r="L296" s="315">
        <f t="shared" si="42"/>
        <v>-28</v>
      </c>
      <c r="M296" s="316">
        <f t="shared" si="43"/>
        <v>-1</v>
      </c>
      <c r="N296" s="442"/>
      <c r="O296" s="373" t="s">
        <v>112</v>
      </c>
      <c r="P296" s="373" t="s">
        <v>112</v>
      </c>
      <c r="Q296" s="442"/>
      <c r="R296" s="443"/>
    </row>
    <row r="297" ht="15.75" hidden="1" customHeight="1">
      <c r="B297" s="460"/>
      <c r="C297" s="491"/>
      <c r="D297" s="342"/>
      <c r="E297" s="450" t="s">
        <v>160</v>
      </c>
      <c r="F297" s="469">
        <v>50.0</v>
      </c>
      <c r="G297" s="311">
        <v>219.0</v>
      </c>
      <c r="H297" s="311">
        <v>199.0</v>
      </c>
      <c r="I297" s="455"/>
      <c r="J297" s="313">
        <v>29.0</v>
      </c>
      <c r="K297" s="566">
        <f t="shared" si="41"/>
        <v>0.1324200913</v>
      </c>
      <c r="L297" s="315">
        <f t="shared" si="42"/>
        <v>-29</v>
      </c>
      <c r="M297" s="316">
        <f t="shared" si="43"/>
        <v>-1</v>
      </c>
      <c r="N297" s="442"/>
      <c r="O297" s="462"/>
      <c r="P297" s="462"/>
      <c r="Q297" s="442"/>
      <c r="R297" s="443"/>
    </row>
    <row r="298" ht="15.75" customHeight="1">
      <c r="B298" s="460"/>
      <c r="C298" s="491"/>
      <c r="D298" s="342"/>
      <c r="E298" s="450" t="s">
        <v>509</v>
      </c>
      <c r="F298" s="339">
        <v>50.0</v>
      </c>
      <c r="G298" s="311">
        <v>239.0</v>
      </c>
      <c r="H298" s="311">
        <v>229.0</v>
      </c>
      <c r="I298" s="455"/>
      <c r="J298" s="313">
        <v>29.0</v>
      </c>
      <c r="K298" s="560">
        <f t="shared" si="41"/>
        <v>0.1213389121</v>
      </c>
      <c r="L298" s="315">
        <f t="shared" si="42"/>
        <v>-29</v>
      </c>
      <c r="M298" s="316">
        <f t="shared" si="43"/>
        <v>-1</v>
      </c>
      <c r="N298" s="442"/>
      <c r="O298" s="462"/>
      <c r="P298" s="462"/>
      <c r="Q298" s="442"/>
      <c r="R298" s="443"/>
    </row>
    <row r="299" ht="15.75" hidden="1" customHeight="1">
      <c r="B299" s="460"/>
      <c r="C299" s="491"/>
      <c r="D299" s="342"/>
      <c r="E299" s="450" t="s">
        <v>510</v>
      </c>
      <c r="F299" s="339">
        <v>50.0</v>
      </c>
      <c r="G299" s="311">
        <v>239.0</v>
      </c>
      <c r="H299" s="311">
        <v>229.0</v>
      </c>
      <c r="I299" s="455"/>
      <c r="J299" s="313">
        <v>35.0</v>
      </c>
      <c r="K299" s="555">
        <f t="shared" si="41"/>
        <v>0.1464435146</v>
      </c>
      <c r="L299" s="315">
        <f t="shared" si="42"/>
        <v>-35</v>
      </c>
      <c r="M299" s="316">
        <f t="shared" si="43"/>
        <v>-1</v>
      </c>
      <c r="N299" s="442"/>
      <c r="O299" s="462"/>
      <c r="P299" s="462"/>
      <c r="Q299" s="442"/>
      <c r="R299" s="443"/>
    </row>
    <row r="300" ht="15.75" hidden="1" customHeight="1">
      <c r="A300" s="375" t="s">
        <v>961</v>
      </c>
      <c r="B300" s="434"/>
      <c r="C300" s="435"/>
      <c r="D300" s="291"/>
      <c r="E300" s="450" t="s">
        <v>159</v>
      </c>
      <c r="F300" s="458"/>
      <c r="G300" s="438"/>
      <c r="H300" s="438"/>
      <c r="I300" s="441"/>
      <c r="J300" s="440"/>
      <c r="K300" s="441"/>
      <c r="L300" s="438"/>
      <c r="M300" s="441"/>
      <c r="N300" s="438"/>
      <c r="O300" s="441"/>
      <c r="P300" s="441"/>
      <c r="Q300" s="442"/>
      <c r="R300" s="443"/>
    </row>
    <row r="301" ht="15.75" hidden="1" customHeight="1">
      <c r="B301" s="434"/>
      <c r="C301" s="435"/>
      <c r="D301" s="291"/>
      <c r="E301" s="450" t="s">
        <v>160</v>
      </c>
      <c r="F301" s="459"/>
      <c r="G301" s="438"/>
      <c r="H301" s="438"/>
      <c r="I301" s="441"/>
      <c r="J301" s="440"/>
      <c r="K301" s="441"/>
      <c r="L301" s="438"/>
      <c r="M301" s="441"/>
      <c r="N301" s="438"/>
      <c r="O301" s="441"/>
      <c r="P301" s="441"/>
      <c r="Q301" s="442"/>
      <c r="R301" s="443"/>
    </row>
    <row r="302" ht="15.75" customHeight="1">
      <c r="B302" s="434"/>
      <c r="C302" s="435"/>
      <c r="D302" s="291"/>
      <c r="E302" s="450" t="s">
        <v>509</v>
      </c>
      <c r="F302" s="458"/>
      <c r="G302" s="438"/>
      <c r="H302" s="438"/>
      <c r="I302" s="441"/>
      <c r="J302" s="440"/>
      <c r="K302" s="441"/>
      <c r="L302" s="438"/>
      <c r="M302" s="441"/>
      <c r="N302" s="438"/>
      <c r="O302" s="441"/>
      <c r="P302" s="441"/>
      <c r="Q302" s="442"/>
      <c r="R302" s="443"/>
    </row>
    <row r="303" ht="15.75" hidden="1" customHeight="1">
      <c r="B303" s="434"/>
      <c r="C303" s="435"/>
      <c r="D303" s="291"/>
      <c r="E303" s="450" t="s">
        <v>510</v>
      </c>
      <c r="F303" s="458"/>
      <c r="G303" s="438"/>
      <c r="H303" s="438"/>
      <c r="I303" s="441"/>
      <c r="J303" s="440"/>
      <c r="K303" s="441"/>
      <c r="L303" s="438"/>
      <c r="M303" s="441"/>
      <c r="N303" s="438"/>
      <c r="O303" s="441"/>
      <c r="P303" s="441"/>
      <c r="Q303" s="442"/>
      <c r="R303" s="443"/>
    </row>
    <row r="304" ht="15.75" hidden="1" customHeight="1">
      <c r="A304" s="327" t="s">
        <v>845</v>
      </c>
      <c r="B304" s="460"/>
      <c r="C304" s="491"/>
      <c r="D304" s="342"/>
      <c r="E304" s="450" t="s">
        <v>159</v>
      </c>
      <c r="F304" s="339">
        <v>50.0</v>
      </c>
      <c r="G304" s="311">
        <v>219.0</v>
      </c>
      <c r="H304" s="311">
        <v>189.0</v>
      </c>
      <c r="I304" s="312" t="str">
        <f>G304/R304</f>
        <v>#DIV/0!</v>
      </c>
      <c r="J304" s="313">
        <v>33.0</v>
      </c>
      <c r="K304" s="479">
        <f t="shared" ref="K304:K315" si="44">J304/G304</f>
        <v>0.1506849315</v>
      </c>
      <c r="L304" s="315">
        <f t="shared" ref="L304:L315" si="45">Q304-J304</f>
        <v>-33</v>
      </c>
      <c r="M304" s="316">
        <f t="shared" ref="M304:M315" si="46">Q304/J304-1</f>
        <v>-1</v>
      </c>
      <c r="N304" s="442"/>
      <c r="O304" s="318" t="s">
        <v>112</v>
      </c>
      <c r="P304" s="318" t="s">
        <v>112</v>
      </c>
      <c r="Q304" s="442"/>
      <c r="R304" s="443"/>
    </row>
    <row r="305" ht="15.75" hidden="1" customHeight="1">
      <c r="B305" s="460"/>
      <c r="C305" s="491"/>
      <c r="D305" s="342"/>
      <c r="E305" s="450" t="s">
        <v>160</v>
      </c>
      <c r="F305" s="469">
        <v>50.0</v>
      </c>
      <c r="G305" s="311">
        <v>219.0</v>
      </c>
      <c r="H305" s="311">
        <v>189.0</v>
      </c>
      <c r="I305" s="455"/>
      <c r="J305" s="313">
        <v>33.0</v>
      </c>
      <c r="K305" s="479">
        <f t="shared" si="44"/>
        <v>0.1506849315</v>
      </c>
      <c r="L305" s="315">
        <f t="shared" si="45"/>
        <v>-33</v>
      </c>
      <c r="M305" s="316">
        <f t="shared" si="46"/>
        <v>-1</v>
      </c>
      <c r="N305" s="442"/>
      <c r="O305" s="491"/>
      <c r="P305" s="491"/>
      <c r="Q305" s="442"/>
      <c r="R305" s="443"/>
    </row>
    <row r="306" ht="15.75" customHeight="1">
      <c r="B306" s="460"/>
      <c r="C306" s="491"/>
      <c r="D306" s="342"/>
      <c r="E306" s="450" t="s">
        <v>509</v>
      </c>
      <c r="F306" s="339">
        <v>50.0</v>
      </c>
      <c r="G306" s="311">
        <v>229.0</v>
      </c>
      <c r="H306" s="311">
        <v>199.0</v>
      </c>
      <c r="I306" s="455"/>
      <c r="J306" s="313">
        <v>33.0</v>
      </c>
      <c r="K306" s="567">
        <f t="shared" si="44"/>
        <v>0.1441048035</v>
      </c>
      <c r="L306" s="315">
        <f t="shared" si="45"/>
        <v>-33</v>
      </c>
      <c r="M306" s="316">
        <f t="shared" si="46"/>
        <v>-1</v>
      </c>
      <c r="N306" s="442"/>
      <c r="O306" s="491"/>
      <c r="P306" s="491"/>
      <c r="Q306" s="442"/>
      <c r="R306" s="443"/>
    </row>
    <row r="307" ht="15.75" hidden="1" customHeight="1">
      <c r="B307" s="460"/>
      <c r="C307" s="491"/>
      <c r="D307" s="342"/>
      <c r="E307" s="450" t="s">
        <v>510</v>
      </c>
      <c r="F307" s="339">
        <v>50.0</v>
      </c>
      <c r="G307" s="311">
        <v>229.0</v>
      </c>
      <c r="H307" s="311">
        <v>199.0</v>
      </c>
      <c r="I307" s="455"/>
      <c r="J307" s="313">
        <v>33.0</v>
      </c>
      <c r="K307" s="567">
        <f t="shared" si="44"/>
        <v>0.1441048035</v>
      </c>
      <c r="L307" s="315">
        <f t="shared" si="45"/>
        <v>-33</v>
      </c>
      <c r="M307" s="316">
        <f t="shared" si="46"/>
        <v>-1</v>
      </c>
      <c r="N307" s="442"/>
      <c r="O307" s="491"/>
      <c r="P307" s="491"/>
      <c r="Q307" s="442"/>
      <c r="R307" s="443"/>
    </row>
    <row r="308" ht="15.75" hidden="1" customHeight="1">
      <c r="A308" s="327" t="s">
        <v>846</v>
      </c>
      <c r="B308" s="460"/>
      <c r="C308" s="491"/>
      <c r="D308" s="342"/>
      <c r="E308" s="490" t="s">
        <v>159</v>
      </c>
      <c r="F308" s="339">
        <v>50.0</v>
      </c>
      <c r="G308" s="334">
        <v>219.0</v>
      </c>
      <c r="H308" s="442"/>
      <c r="I308" s="462"/>
      <c r="J308" s="335">
        <v>34.0</v>
      </c>
      <c r="K308" s="332">
        <f t="shared" si="44"/>
        <v>0.1552511416</v>
      </c>
      <c r="L308" s="319">
        <f t="shared" si="45"/>
        <v>-34</v>
      </c>
      <c r="M308" s="332">
        <f t="shared" si="46"/>
        <v>-1</v>
      </c>
      <c r="N308" s="442"/>
      <c r="O308" s="491"/>
      <c r="P308" s="491"/>
      <c r="Q308" s="442"/>
      <c r="R308" s="442"/>
      <c r="S308" s="57"/>
      <c r="T308" s="57"/>
      <c r="U308" s="57"/>
      <c r="V308" s="57"/>
      <c r="W308" s="57"/>
      <c r="X308" s="57"/>
      <c r="Y308" s="57"/>
    </row>
    <row r="309" ht="15.75" hidden="1" customHeight="1">
      <c r="B309" s="460"/>
      <c r="C309" s="491"/>
      <c r="D309" s="342"/>
      <c r="E309" s="490" t="s">
        <v>160</v>
      </c>
      <c r="F309" s="469">
        <v>50.0</v>
      </c>
      <c r="G309" s="334">
        <v>219.0</v>
      </c>
      <c r="H309" s="442"/>
      <c r="I309" s="462"/>
      <c r="J309" s="335">
        <v>34.0</v>
      </c>
      <c r="K309" s="332">
        <f t="shared" si="44"/>
        <v>0.1552511416</v>
      </c>
      <c r="L309" s="319">
        <f t="shared" si="45"/>
        <v>-34</v>
      </c>
      <c r="M309" s="332">
        <f t="shared" si="46"/>
        <v>-1</v>
      </c>
      <c r="N309" s="442"/>
      <c r="O309" s="491"/>
      <c r="P309" s="491"/>
      <c r="Q309" s="442"/>
      <c r="R309" s="442"/>
      <c r="S309" s="57"/>
      <c r="T309" s="57"/>
      <c r="U309" s="57"/>
      <c r="V309" s="57"/>
      <c r="W309" s="57"/>
      <c r="X309" s="57"/>
      <c r="Y309" s="57"/>
    </row>
    <row r="310" ht="15.75" customHeight="1">
      <c r="B310" s="460"/>
      <c r="C310" s="491"/>
      <c r="D310" s="342"/>
      <c r="E310" s="490" t="s">
        <v>509</v>
      </c>
      <c r="F310" s="339">
        <v>50.0</v>
      </c>
      <c r="G310" s="334">
        <v>229.0</v>
      </c>
      <c r="H310" s="442"/>
      <c r="I310" s="462"/>
      <c r="J310" s="335">
        <v>34.0</v>
      </c>
      <c r="K310" s="332">
        <f t="shared" si="44"/>
        <v>0.1484716157</v>
      </c>
      <c r="L310" s="319">
        <f t="shared" si="45"/>
        <v>-34</v>
      </c>
      <c r="M310" s="332">
        <f t="shared" si="46"/>
        <v>-1</v>
      </c>
      <c r="N310" s="442"/>
      <c r="O310" s="491"/>
      <c r="P310" s="491"/>
      <c r="Q310" s="442"/>
      <c r="R310" s="442"/>
      <c r="S310" s="57"/>
      <c r="T310" s="57"/>
      <c r="U310" s="57"/>
      <c r="V310" s="57"/>
      <c r="W310" s="57"/>
      <c r="X310" s="57"/>
      <c r="Y310" s="57"/>
    </row>
    <row r="311" ht="15.75" hidden="1" customHeight="1">
      <c r="B311" s="460"/>
      <c r="C311" s="491"/>
      <c r="D311" s="342"/>
      <c r="E311" s="490" t="s">
        <v>510</v>
      </c>
      <c r="F311" s="339">
        <v>50.0</v>
      </c>
      <c r="G311" s="334">
        <v>229.0</v>
      </c>
      <c r="H311" s="442"/>
      <c r="I311" s="462"/>
      <c r="J311" s="335">
        <v>34.0</v>
      </c>
      <c r="K311" s="332">
        <f t="shared" si="44"/>
        <v>0.1484716157</v>
      </c>
      <c r="L311" s="319">
        <f t="shared" si="45"/>
        <v>-34</v>
      </c>
      <c r="M311" s="332">
        <f t="shared" si="46"/>
        <v>-1</v>
      </c>
      <c r="N311" s="442"/>
      <c r="O311" s="491"/>
      <c r="P311" s="491"/>
      <c r="Q311" s="442"/>
      <c r="R311" s="442"/>
      <c r="S311" s="57"/>
      <c r="T311" s="57"/>
      <c r="U311" s="57"/>
      <c r="V311" s="57"/>
      <c r="W311" s="57"/>
      <c r="X311" s="57"/>
      <c r="Y311" s="57"/>
    </row>
    <row r="312" ht="15.75" hidden="1" customHeight="1">
      <c r="A312" s="327" t="s">
        <v>847</v>
      </c>
      <c r="B312" s="460"/>
      <c r="C312" s="491"/>
      <c r="D312" s="342"/>
      <c r="E312" s="490" t="s">
        <v>159</v>
      </c>
      <c r="F312" s="339">
        <v>50.0</v>
      </c>
      <c r="G312" s="334">
        <v>259.0</v>
      </c>
      <c r="H312" s="442"/>
      <c r="I312" s="462"/>
      <c r="J312" s="335">
        <v>41.0</v>
      </c>
      <c r="K312" s="332">
        <f t="shared" si="44"/>
        <v>0.1583011583</v>
      </c>
      <c r="L312" s="319">
        <f t="shared" si="45"/>
        <v>-41</v>
      </c>
      <c r="M312" s="332">
        <f t="shared" si="46"/>
        <v>-1</v>
      </c>
      <c r="N312" s="442"/>
      <c r="O312" s="491"/>
      <c r="P312" s="491"/>
      <c r="Q312" s="442"/>
      <c r="R312" s="442"/>
      <c r="S312" s="57"/>
      <c r="T312" s="57"/>
      <c r="U312" s="57"/>
      <c r="V312" s="57"/>
      <c r="W312" s="57"/>
      <c r="X312" s="57"/>
      <c r="Y312" s="57"/>
    </row>
    <row r="313" ht="15.75" hidden="1" customHeight="1">
      <c r="B313" s="460"/>
      <c r="C313" s="491"/>
      <c r="D313" s="342"/>
      <c r="E313" s="490" t="s">
        <v>160</v>
      </c>
      <c r="F313" s="469">
        <v>50.0</v>
      </c>
      <c r="G313" s="334">
        <v>259.0</v>
      </c>
      <c r="H313" s="442"/>
      <c r="I313" s="462"/>
      <c r="J313" s="335">
        <v>41.0</v>
      </c>
      <c r="K313" s="332">
        <f t="shared" si="44"/>
        <v>0.1583011583</v>
      </c>
      <c r="L313" s="319">
        <f t="shared" si="45"/>
        <v>-41</v>
      </c>
      <c r="M313" s="332">
        <f t="shared" si="46"/>
        <v>-1</v>
      </c>
      <c r="N313" s="442"/>
      <c r="O313" s="491"/>
      <c r="P313" s="491"/>
      <c r="Q313" s="442"/>
      <c r="R313" s="442"/>
      <c r="S313" s="57"/>
      <c r="T313" s="57"/>
      <c r="U313" s="57"/>
      <c r="V313" s="57"/>
      <c r="W313" s="57"/>
      <c r="X313" s="57"/>
      <c r="Y313" s="57"/>
    </row>
    <row r="314" ht="15.75" customHeight="1">
      <c r="B314" s="460"/>
      <c r="C314" s="491"/>
      <c r="D314" s="342"/>
      <c r="E314" s="490" t="s">
        <v>509</v>
      </c>
      <c r="F314" s="339">
        <v>50.0</v>
      </c>
      <c r="G314" s="334">
        <v>269.0</v>
      </c>
      <c r="H314" s="442"/>
      <c r="I314" s="462"/>
      <c r="J314" s="335">
        <v>41.0</v>
      </c>
      <c r="K314" s="332">
        <f t="shared" si="44"/>
        <v>0.1524163569</v>
      </c>
      <c r="L314" s="319">
        <f t="shared" si="45"/>
        <v>-41</v>
      </c>
      <c r="M314" s="332">
        <f t="shared" si="46"/>
        <v>-1</v>
      </c>
      <c r="N314" s="442"/>
      <c r="O314" s="491"/>
      <c r="P314" s="491"/>
      <c r="Q314" s="442"/>
      <c r="R314" s="442"/>
      <c r="S314" s="57"/>
      <c r="T314" s="57"/>
      <c r="U314" s="57"/>
      <c r="V314" s="57"/>
      <c r="W314" s="57"/>
      <c r="X314" s="57"/>
      <c r="Y314" s="57"/>
    </row>
    <row r="315" ht="15.75" hidden="1" customHeight="1">
      <c r="B315" s="460"/>
      <c r="C315" s="491"/>
      <c r="D315" s="342"/>
      <c r="E315" s="490" t="s">
        <v>510</v>
      </c>
      <c r="F315" s="339">
        <v>50.0</v>
      </c>
      <c r="G315" s="334">
        <v>269.0</v>
      </c>
      <c r="H315" s="442"/>
      <c r="I315" s="462"/>
      <c r="J315" s="335">
        <v>41.0</v>
      </c>
      <c r="K315" s="332">
        <f t="shared" si="44"/>
        <v>0.1524163569</v>
      </c>
      <c r="L315" s="319">
        <f t="shared" si="45"/>
        <v>-41</v>
      </c>
      <c r="M315" s="332">
        <f t="shared" si="46"/>
        <v>-1</v>
      </c>
      <c r="N315" s="442"/>
      <c r="O315" s="491"/>
      <c r="P315" s="491"/>
      <c r="Q315" s="442"/>
      <c r="R315" s="442"/>
      <c r="S315" s="57"/>
      <c r="T315" s="57"/>
      <c r="U315" s="57"/>
      <c r="V315" s="57"/>
      <c r="W315" s="57"/>
      <c r="X315" s="57"/>
      <c r="Y315" s="57"/>
    </row>
    <row r="316" ht="15.75" hidden="1" customHeight="1">
      <c r="A316" s="288" t="s">
        <v>850</v>
      </c>
      <c r="B316" s="434"/>
      <c r="C316" s="435"/>
      <c r="D316" s="291"/>
      <c r="E316" s="450" t="s">
        <v>159</v>
      </c>
      <c r="F316" s="458"/>
      <c r="G316" s="438"/>
      <c r="H316" s="438"/>
      <c r="I316" s="441"/>
      <c r="J316" s="440"/>
      <c r="K316" s="441"/>
      <c r="L316" s="438"/>
      <c r="M316" s="441"/>
      <c r="N316" s="438"/>
      <c r="O316" s="435"/>
      <c r="P316" s="435"/>
      <c r="Q316" s="442"/>
      <c r="R316" s="443"/>
    </row>
    <row r="317" ht="15.75" hidden="1" customHeight="1">
      <c r="B317" s="434"/>
      <c r="C317" s="435"/>
      <c r="D317" s="291"/>
      <c r="E317" s="450" t="s">
        <v>160</v>
      </c>
      <c r="F317" s="459"/>
      <c r="G317" s="438"/>
      <c r="H317" s="438"/>
      <c r="I317" s="441"/>
      <c r="J317" s="440"/>
      <c r="K317" s="441"/>
      <c r="L317" s="438"/>
      <c r="M317" s="441"/>
      <c r="N317" s="438"/>
      <c r="O317" s="435"/>
      <c r="P317" s="435"/>
      <c r="Q317" s="442"/>
      <c r="R317" s="443"/>
    </row>
    <row r="318" ht="15.75" hidden="1" customHeight="1">
      <c r="B318" s="434"/>
      <c r="C318" s="435"/>
      <c r="D318" s="291"/>
      <c r="E318" s="450" t="s">
        <v>800</v>
      </c>
      <c r="F318" s="458"/>
      <c r="G318" s="438"/>
      <c r="H318" s="438"/>
      <c r="I318" s="441"/>
      <c r="J318" s="440"/>
      <c r="K318" s="441"/>
      <c r="L318" s="438"/>
      <c r="M318" s="441"/>
      <c r="N318" s="438"/>
      <c r="O318" s="435"/>
      <c r="P318" s="435"/>
      <c r="Q318" s="442"/>
      <c r="R318" s="443"/>
    </row>
    <row r="319" ht="15.75" hidden="1" customHeight="1">
      <c r="B319" s="434"/>
      <c r="C319" s="435"/>
      <c r="D319" s="291"/>
      <c r="E319" s="450" t="s">
        <v>510</v>
      </c>
      <c r="F319" s="458"/>
      <c r="G319" s="438"/>
      <c r="H319" s="438"/>
      <c r="I319" s="441"/>
      <c r="J319" s="440"/>
      <c r="K319" s="441"/>
      <c r="L319" s="438"/>
      <c r="M319" s="441"/>
      <c r="N319" s="438"/>
      <c r="O319" s="435"/>
      <c r="P319" s="435"/>
      <c r="Q319" s="442"/>
      <c r="R319" s="443"/>
    </row>
    <row r="320" ht="15.75" hidden="1" customHeight="1">
      <c r="A320" s="327" t="s">
        <v>851</v>
      </c>
      <c r="B320" s="460"/>
      <c r="C320" s="491"/>
      <c r="D320" s="342"/>
      <c r="E320" s="450" t="s">
        <v>159</v>
      </c>
      <c r="F320" s="337">
        <v>50.0</v>
      </c>
      <c r="G320" s="301">
        <v>749.0</v>
      </c>
      <c r="H320" s="301">
        <v>649.0</v>
      </c>
      <c r="I320" s="312" t="str">
        <f>G320/R320</f>
        <v>#DIV/0!</v>
      </c>
      <c r="J320" s="313">
        <v>192.0</v>
      </c>
      <c r="K320" s="568">
        <f t="shared" ref="K320:K327" si="47">J320/G320</f>
        <v>0.2563417891</v>
      </c>
      <c r="L320" s="315">
        <f t="shared" ref="L320:L327" si="48">Q320-J320</f>
        <v>-192</v>
      </c>
      <c r="M320" s="316">
        <f t="shared" ref="M320:M327" si="49">Q320/J320-1</f>
        <v>-1</v>
      </c>
      <c r="N320" s="442"/>
      <c r="O320" s="318" t="s">
        <v>112</v>
      </c>
      <c r="P320" s="318" t="s">
        <v>112</v>
      </c>
      <c r="Q320" s="442"/>
      <c r="R320" s="443"/>
    </row>
    <row r="321" ht="15.75" hidden="1" customHeight="1">
      <c r="B321" s="460"/>
      <c r="C321" s="491"/>
      <c r="D321" s="342"/>
      <c r="E321" s="450" t="s">
        <v>160</v>
      </c>
      <c r="F321" s="492">
        <v>50.0</v>
      </c>
      <c r="G321" s="301">
        <v>749.0</v>
      </c>
      <c r="H321" s="301">
        <v>599.0</v>
      </c>
      <c r="I321" s="455"/>
      <c r="J321" s="313">
        <v>192.0</v>
      </c>
      <c r="K321" s="568">
        <f t="shared" si="47"/>
        <v>0.2563417891</v>
      </c>
      <c r="L321" s="315">
        <f t="shared" si="48"/>
        <v>-192</v>
      </c>
      <c r="M321" s="316">
        <f t="shared" si="49"/>
        <v>-1</v>
      </c>
      <c r="N321" s="442"/>
      <c r="O321" s="454"/>
      <c r="P321" s="454"/>
      <c r="Q321" s="442"/>
      <c r="R321" s="443"/>
    </row>
    <row r="322" ht="15.75" customHeight="1">
      <c r="B322" s="460"/>
      <c r="C322" s="491"/>
      <c r="D322" s="342"/>
      <c r="E322" s="450" t="s">
        <v>509</v>
      </c>
      <c r="F322" s="337">
        <v>50.0</v>
      </c>
      <c r="G322" s="301">
        <v>799.0</v>
      </c>
      <c r="H322" s="301">
        <v>699.0</v>
      </c>
      <c r="I322" s="455"/>
      <c r="J322" s="313">
        <v>192.0</v>
      </c>
      <c r="K322" s="502">
        <f t="shared" si="47"/>
        <v>0.2403003755</v>
      </c>
      <c r="L322" s="315">
        <f t="shared" si="48"/>
        <v>-192</v>
      </c>
      <c r="M322" s="316">
        <f t="shared" si="49"/>
        <v>-1</v>
      </c>
      <c r="N322" s="442"/>
      <c r="O322" s="454"/>
      <c r="P322" s="454"/>
      <c r="Q322" s="442"/>
      <c r="R322" s="443"/>
    </row>
    <row r="323" ht="15.75" hidden="1" customHeight="1">
      <c r="B323" s="460"/>
      <c r="C323" s="491"/>
      <c r="D323" s="342"/>
      <c r="E323" s="490" t="s">
        <v>510</v>
      </c>
      <c r="F323" s="337">
        <v>50.0</v>
      </c>
      <c r="G323" s="341">
        <v>799.0</v>
      </c>
      <c r="H323" s="341">
        <v>699.0</v>
      </c>
      <c r="I323" s="462"/>
      <c r="J323" s="335">
        <v>192.0</v>
      </c>
      <c r="K323" s="332">
        <f t="shared" si="47"/>
        <v>0.2403003755</v>
      </c>
      <c r="L323" s="319">
        <f t="shared" si="48"/>
        <v>-192</v>
      </c>
      <c r="M323" s="332">
        <f t="shared" si="49"/>
        <v>-1</v>
      </c>
      <c r="N323" s="442"/>
      <c r="O323" s="491"/>
      <c r="P323" s="491"/>
      <c r="Q323" s="442"/>
      <c r="R323" s="442"/>
      <c r="S323" s="57"/>
      <c r="T323" s="57"/>
      <c r="U323" s="57"/>
      <c r="V323" s="57"/>
      <c r="W323" s="57"/>
      <c r="X323" s="57"/>
      <c r="Y323" s="57"/>
    </row>
    <row r="324" ht="15.75" hidden="1" customHeight="1">
      <c r="A324" s="327" t="s">
        <v>852</v>
      </c>
      <c r="B324" s="460"/>
      <c r="C324" s="491"/>
      <c r="D324" s="342"/>
      <c r="E324" s="490" t="s">
        <v>159</v>
      </c>
      <c r="F324" s="337">
        <v>50.0</v>
      </c>
      <c r="G324" s="341">
        <v>699.0</v>
      </c>
      <c r="H324" s="442"/>
      <c r="I324" s="462"/>
      <c r="J324" s="335">
        <v>119.0</v>
      </c>
      <c r="K324" s="332">
        <f t="shared" si="47"/>
        <v>0.1702432046</v>
      </c>
      <c r="L324" s="319">
        <f t="shared" si="48"/>
        <v>-119</v>
      </c>
      <c r="M324" s="332">
        <f t="shared" si="49"/>
        <v>-1</v>
      </c>
      <c r="N324" s="442"/>
      <c r="O324" s="491"/>
      <c r="P324" s="491"/>
      <c r="Q324" s="442"/>
      <c r="R324" s="442"/>
      <c r="S324" s="57"/>
      <c r="T324" s="57"/>
      <c r="U324" s="57"/>
      <c r="V324" s="57"/>
      <c r="W324" s="57"/>
      <c r="X324" s="57"/>
      <c r="Y324" s="57"/>
    </row>
    <row r="325" ht="15.75" hidden="1" customHeight="1">
      <c r="B325" s="460"/>
      <c r="C325" s="491"/>
      <c r="D325" s="342"/>
      <c r="E325" s="490" t="s">
        <v>160</v>
      </c>
      <c r="F325" s="492">
        <v>50.0</v>
      </c>
      <c r="G325" s="341">
        <v>699.0</v>
      </c>
      <c r="H325" s="442"/>
      <c r="I325" s="462"/>
      <c r="J325" s="335">
        <v>119.0</v>
      </c>
      <c r="K325" s="332">
        <f t="shared" si="47"/>
        <v>0.1702432046</v>
      </c>
      <c r="L325" s="319">
        <f t="shared" si="48"/>
        <v>-119</v>
      </c>
      <c r="M325" s="332">
        <f t="shared" si="49"/>
        <v>-1</v>
      </c>
      <c r="N325" s="442"/>
      <c r="O325" s="491"/>
      <c r="P325" s="491"/>
      <c r="Q325" s="442"/>
      <c r="R325" s="442"/>
      <c r="S325" s="57"/>
      <c r="T325" s="57"/>
      <c r="U325" s="57"/>
      <c r="V325" s="57"/>
      <c r="W325" s="57"/>
      <c r="X325" s="57"/>
      <c r="Y325" s="57"/>
    </row>
    <row r="326" ht="15.75" customHeight="1">
      <c r="B326" s="460"/>
      <c r="C326" s="491"/>
      <c r="D326" s="342"/>
      <c r="E326" s="490" t="s">
        <v>509</v>
      </c>
      <c r="F326" s="337">
        <v>50.0</v>
      </c>
      <c r="G326" s="341">
        <v>699.0</v>
      </c>
      <c r="H326" s="442"/>
      <c r="I326" s="462"/>
      <c r="J326" s="335">
        <v>119.0</v>
      </c>
      <c r="K326" s="332">
        <f t="shared" si="47"/>
        <v>0.1702432046</v>
      </c>
      <c r="L326" s="319">
        <f t="shared" si="48"/>
        <v>-119</v>
      </c>
      <c r="M326" s="332">
        <f t="shared" si="49"/>
        <v>-1</v>
      </c>
      <c r="N326" s="442"/>
      <c r="O326" s="491"/>
      <c r="P326" s="491"/>
      <c r="Q326" s="442"/>
      <c r="R326" s="442"/>
      <c r="S326" s="57"/>
      <c r="T326" s="57"/>
      <c r="U326" s="57"/>
      <c r="V326" s="57"/>
      <c r="W326" s="57"/>
      <c r="X326" s="57"/>
      <c r="Y326" s="57"/>
    </row>
    <row r="327" ht="15.75" hidden="1" customHeight="1">
      <c r="B327" s="460"/>
      <c r="C327" s="491"/>
      <c r="D327" s="342"/>
      <c r="E327" s="490" t="s">
        <v>510</v>
      </c>
      <c r="F327" s="337">
        <v>50.0</v>
      </c>
      <c r="G327" s="341">
        <v>699.0</v>
      </c>
      <c r="H327" s="442"/>
      <c r="I327" s="462"/>
      <c r="J327" s="335">
        <v>119.0</v>
      </c>
      <c r="K327" s="332">
        <f t="shared" si="47"/>
        <v>0.1702432046</v>
      </c>
      <c r="L327" s="319">
        <f t="shared" si="48"/>
        <v>-119</v>
      </c>
      <c r="M327" s="332">
        <f t="shared" si="49"/>
        <v>-1</v>
      </c>
      <c r="N327" s="442"/>
      <c r="O327" s="491"/>
      <c r="P327" s="491"/>
      <c r="Q327" s="442"/>
      <c r="R327" s="442"/>
      <c r="S327" s="57"/>
      <c r="T327" s="57"/>
      <c r="U327" s="57"/>
      <c r="V327" s="57"/>
      <c r="W327" s="57"/>
      <c r="X327" s="57"/>
      <c r="Y327" s="57"/>
    </row>
    <row r="328" ht="15.75" hidden="1" customHeight="1">
      <c r="A328" s="288" t="s">
        <v>962</v>
      </c>
      <c r="B328" s="434"/>
      <c r="C328" s="435"/>
      <c r="D328" s="291"/>
      <c r="E328" s="450" t="s">
        <v>159</v>
      </c>
      <c r="F328" s="458"/>
      <c r="G328" s="438"/>
      <c r="H328" s="438"/>
      <c r="I328" s="441"/>
      <c r="J328" s="440"/>
      <c r="K328" s="441"/>
      <c r="L328" s="438"/>
      <c r="M328" s="441"/>
      <c r="N328" s="438"/>
      <c r="O328" s="435"/>
      <c r="P328" s="435"/>
      <c r="Q328" s="442"/>
      <c r="R328" s="443"/>
    </row>
    <row r="329" ht="15.75" hidden="1" customHeight="1">
      <c r="B329" s="434"/>
      <c r="C329" s="435"/>
      <c r="D329" s="291"/>
      <c r="E329" s="450" t="s">
        <v>160</v>
      </c>
      <c r="F329" s="459"/>
      <c r="G329" s="438"/>
      <c r="H329" s="438"/>
      <c r="I329" s="441"/>
      <c r="J329" s="440"/>
      <c r="K329" s="441"/>
      <c r="L329" s="438"/>
      <c r="M329" s="441"/>
      <c r="N329" s="438"/>
      <c r="O329" s="435"/>
      <c r="P329" s="435"/>
      <c r="Q329" s="442"/>
      <c r="R329" s="443"/>
    </row>
    <row r="330" ht="15.75" hidden="1" customHeight="1">
      <c r="B330" s="434"/>
      <c r="C330" s="435"/>
      <c r="D330" s="291"/>
      <c r="E330" s="450" t="s">
        <v>800</v>
      </c>
      <c r="F330" s="458"/>
      <c r="G330" s="438"/>
      <c r="H330" s="438"/>
      <c r="I330" s="441"/>
      <c r="J330" s="440"/>
      <c r="K330" s="441"/>
      <c r="L330" s="438"/>
      <c r="M330" s="441"/>
      <c r="N330" s="438"/>
      <c r="O330" s="435"/>
      <c r="P330" s="435"/>
      <c r="Q330" s="442"/>
      <c r="R330" s="443"/>
    </row>
    <row r="331" ht="15.75" hidden="1" customHeight="1">
      <c r="B331" s="434"/>
      <c r="C331" s="435"/>
      <c r="D331" s="291"/>
      <c r="E331" s="450" t="s">
        <v>510</v>
      </c>
      <c r="F331" s="458"/>
      <c r="G331" s="438"/>
      <c r="H331" s="438"/>
      <c r="I331" s="441"/>
      <c r="J331" s="440"/>
      <c r="K331" s="441"/>
      <c r="L331" s="438"/>
      <c r="M331" s="441"/>
      <c r="N331" s="438"/>
      <c r="O331" s="435"/>
      <c r="P331" s="435"/>
      <c r="Q331" s="442"/>
      <c r="R331" s="443"/>
    </row>
    <row r="332" ht="15.75" hidden="1" customHeight="1">
      <c r="A332" s="327" t="s">
        <v>855</v>
      </c>
      <c r="B332" s="460"/>
      <c r="C332" s="491"/>
      <c r="D332" s="342"/>
      <c r="E332" s="450" t="s">
        <v>159</v>
      </c>
      <c r="F332" s="339">
        <v>50.0</v>
      </c>
      <c r="G332" s="311">
        <v>399.0</v>
      </c>
      <c r="H332" s="311">
        <v>399.0</v>
      </c>
      <c r="I332" s="312" t="str">
        <f>G332/R332</f>
        <v>#DIV/0!</v>
      </c>
      <c r="J332" s="313">
        <v>67.0</v>
      </c>
      <c r="K332" s="520">
        <f t="shared" ref="K332:K351" si="50">J332/G332</f>
        <v>0.1679197995</v>
      </c>
      <c r="L332" s="315">
        <f t="shared" ref="L332:L351" si="51">Q332-J332</f>
        <v>-67</v>
      </c>
      <c r="M332" s="316">
        <f t="shared" ref="M332:M351" si="52">Q332/J332-1</f>
        <v>-1</v>
      </c>
      <c r="N332" s="442"/>
      <c r="O332" s="318" t="s">
        <v>112</v>
      </c>
      <c r="P332" s="318" t="s">
        <v>112</v>
      </c>
      <c r="Q332" s="442"/>
      <c r="R332" s="443"/>
    </row>
    <row r="333" ht="15.75" hidden="1" customHeight="1">
      <c r="B333" s="460"/>
      <c r="C333" s="491"/>
      <c r="D333" s="342"/>
      <c r="E333" s="450" t="s">
        <v>160</v>
      </c>
      <c r="F333" s="469">
        <v>50.0</v>
      </c>
      <c r="G333" s="311">
        <v>389.0</v>
      </c>
      <c r="H333" s="311">
        <v>389.0</v>
      </c>
      <c r="I333" s="455"/>
      <c r="J333" s="313">
        <v>67.0</v>
      </c>
      <c r="K333" s="509">
        <f t="shared" si="50"/>
        <v>0.1722365039</v>
      </c>
      <c r="L333" s="315">
        <f t="shared" si="51"/>
        <v>-67</v>
      </c>
      <c r="M333" s="316">
        <f t="shared" si="52"/>
        <v>-1</v>
      </c>
      <c r="N333" s="442"/>
      <c r="O333" s="491"/>
      <c r="P333" s="491"/>
      <c r="Q333" s="442"/>
      <c r="R333" s="443"/>
    </row>
    <row r="334" ht="15.75" customHeight="1">
      <c r="B334" s="460"/>
      <c r="C334" s="491"/>
      <c r="D334" s="342"/>
      <c r="E334" s="450" t="s">
        <v>509</v>
      </c>
      <c r="F334" s="339">
        <v>50.0</v>
      </c>
      <c r="G334" s="311">
        <v>429.0</v>
      </c>
      <c r="H334" s="311">
        <v>429.0</v>
      </c>
      <c r="I334" s="455"/>
      <c r="J334" s="313">
        <v>67.0</v>
      </c>
      <c r="K334" s="470">
        <f t="shared" si="50"/>
        <v>0.1561771562</v>
      </c>
      <c r="L334" s="315">
        <f t="shared" si="51"/>
        <v>-67</v>
      </c>
      <c r="M334" s="316">
        <f t="shared" si="52"/>
        <v>-1</v>
      </c>
      <c r="N334" s="442"/>
      <c r="O334" s="491"/>
      <c r="P334" s="491"/>
      <c r="Q334" s="442"/>
      <c r="R334" s="443"/>
    </row>
    <row r="335" ht="15.75" hidden="1" customHeight="1">
      <c r="B335" s="460"/>
      <c r="C335" s="491"/>
      <c r="D335" s="342"/>
      <c r="E335" s="450" t="s">
        <v>510</v>
      </c>
      <c r="F335" s="339">
        <v>50.0</v>
      </c>
      <c r="G335" s="311">
        <v>429.0</v>
      </c>
      <c r="H335" s="311">
        <v>429.0</v>
      </c>
      <c r="I335" s="455"/>
      <c r="J335" s="313">
        <v>67.0</v>
      </c>
      <c r="K335" s="470">
        <f t="shared" si="50"/>
        <v>0.1561771562</v>
      </c>
      <c r="L335" s="315">
        <f t="shared" si="51"/>
        <v>-67</v>
      </c>
      <c r="M335" s="316">
        <f t="shared" si="52"/>
        <v>-1</v>
      </c>
      <c r="N335" s="442"/>
      <c r="O335" s="491"/>
      <c r="P335" s="491"/>
      <c r="Q335" s="442"/>
      <c r="R335" s="443"/>
    </row>
    <row r="336" ht="15.75" hidden="1" customHeight="1">
      <c r="A336" s="327" t="s">
        <v>856</v>
      </c>
      <c r="B336" s="460"/>
      <c r="C336" s="491"/>
      <c r="D336" s="342"/>
      <c r="E336" s="450" t="s">
        <v>159</v>
      </c>
      <c r="F336" s="339">
        <v>50.0</v>
      </c>
      <c r="G336" s="311">
        <v>449.0</v>
      </c>
      <c r="H336" s="311">
        <v>449.0</v>
      </c>
      <c r="I336" s="312" t="str">
        <f>G336/R336</f>
        <v>#DIV/0!</v>
      </c>
      <c r="J336" s="313">
        <v>104.0</v>
      </c>
      <c r="K336" s="493">
        <f t="shared" si="50"/>
        <v>0.2316258352</v>
      </c>
      <c r="L336" s="315">
        <f t="shared" si="51"/>
        <v>-104</v>
      </c>
      <c r="M336" s="316">
        <f t="shared" si="52"/>
        <v>-1</v>
      </c>
      <c r="N336" s="442"/>
      <c r="O336" s="318" t="s">
        <v>112</v>
      </c>
      <c r="P336" s="318" t="s">
        <v>112</v>
      </c>
      <c r="Q336" s="442"/>
      <c r="R336" s="443"/>
    </row>
    <row r="337" ht="15.75" hidden="1" customHeight="1">
      <c r="B337" s="460"/>
      <c r="C337" s="491"/>
      <c r="D337" s="342"/>
      <c r="E337" s="450" t="s">
        <v>160</v>
      </c>
      <c r="F337" s="469">
        <v>50.0</v>
      </c>
      <c r="G337" s="311">
        <v>449.0</v>
      </c>
      <c r="H337" s="311">
        <v>429.0</v>
      </c>
      <c r="I337" s="455"/>
      <c r="J337" s="313">
        <v>104.0</v>
      </c>
      <c r="K337" s="493">
        <f t="shared" si="50"/>
        <v>0.2316258352</v>
      </c>
      <c r="L337" s="315">
        <f t="shared" si="51"/>
        <v>-104</v>
      </c>
      <c r="M337" s="316">
        <f t="shared" si="52"/>
        <v>-1</v>
      </c>
      <c r="N337" s="442"/>
      <c r="O337" s="491"/>
      <c r="P337" s="491"/>
      <c r="Q337" s="442"/>
      <c r="R337" s="443"/>
    </row>
    <row r="338" ht="15.75" customHeight="1">
      <c r="B338" s="460"/>
      <c r="C338" s="491"/>
      <c r="D338" s="342"/>
      <c r="E338" s="450" t="s">
        <v>509</v>
      </c>
      <c r="F338" s="339">
        <v>50.0</v>
      </c>
      <c r="G338" s="311">
        <v>479.0</v>
      </c>
      <c r="H338" s="311">
        <v>479.0</v>
      </c>
      <c r="I338" s="455"/>
      <c r="J338" s="313">
        <v>104.0</v>
      </c>
      <c r="K338" s="489">
        <f t="shared" si="50"/>
        <v>0.2171189979</v>
      </c>
      <c r="L338" s="315">
        <f t="shared" si="51"/>
        <v>-104</v>
      </c>
      <c r="M338" s="316">
        <f t="shared" si="52"/>
        <v>-1</v>
      </c>
      <c r="N338" s="442"/>
      <c r="O338" s="491"/>
      <c r="P338" s="491"/>
      <c r="Q338" s="442"/>
      <c r="R338" s="443"/>
    </row>
    <row r="339" ht="15.75" hidden="1" customHeight="1">
      <c r="B339" s="460"/>
      <c r="C339" s="491"/>
      <c r="D339" s="342"/>
      <c r="E339" s="450" t="s">
        <v>510</v>
      </c>
      <c r="F339" s="339">
        <v>50.0</v>
      </c>
      <c r="G339" s="311">
        <v>479.0</v>
      </c>
      <c r="H339" s="311">
        <v>479.0</v>
      </c>
      <c r="I339" s="455"/>
      <c r="J339" s="313">
        <v>104.0</v>
      </c>
      <c r="K339" s="489">
        <f t="shared" si="50"/>
        <v>0.2171189979</v>
      </c>
      <c r="L339" s="315">
        <f t="shared" si="51"/>
        <v>-104</v>
      </c>
      <c r="M339" s="316">
        <f t="shared" si="52"/>
        <v>-1</v>
      </c>
      <c r="N339" s="442"/>
      <c r="O339" s="491"/>
      <c r="P339" s="491"/>
      <c r="Q339" s="442"/>
      <c r="R339" s="443"/>
    </row>
    <row r="340" ht="15.75" hidden="1" customHeight="1">
      <c r="A340" s="327" t="s">
        <v>857</v>
      </c>
      <c r="B340" s="460"/>
      <c r="C340" s="491"/>
      <c r="D340" s="342"/>
      <c r="E340" s="450" t="s">
        <v>159</v>
      </c>
      <c r="F340" s="339">
        <v>50.0</v>
      </c>
      <c r="G340" s="311">
        <v>549.0</v>
      </c>
      <c r="H340" s="311">
        <v>539.0</v>
      </c>
      <c r="I340" s="312" t="str">
        <f>G340/R340</f>
        <v>#DIV/0!</v>
      </c>
      <c r="J340" s="313">
        <v>121.0</v>
      </c>
      <c r="K340" s="488">
        <f t="shared" si="50"/>
        <v>0.2204007286</v>
      </c>
      <c r="L340" s="315">
        <f t="shared" si="51"/>
        <v>-121</v>
      </c>
      <c r="M340" s="316">
        <f t="shared" si="52"/>
        <v>-1</v>
      </c>
      <c r="N340" s="442"/>
      <c r="O340" s="373" t="s">
        <v>112</v>
      </c>
      <c r="P340" s="373" t="s">
        <v>112</v>
      </c>
      <c r="Q340" s="442"/>
      <c r="R340" s="443"/>
    </row>
    <row r="341" ht="15.75" hidden="1" customHeight="1">
      <c r="B341" s="460"/>
      <c r="C341" s="491"/>
      <c r="D341" s="342"/>
      <c r="E341" s="450" t="s">
        <v>160</v>
      </c>
      <c r="F341" s="469">
        <v>50.0</v>
      </c>
      <c r="G341" s="311">
        <v>549.0</v>
      </c>
      <c r="H341" s="311">
        <v>459.0</v>
      </c>
      <c r="I341" s="455"/>
      <c r="J341" s="313">
        <v>121.0</v>
      </c>
      <c r="K341" s="488">
        <f t="shared" si="50"/>
        <v>0.2204007286</v>
      </c>
      <c r="L341" s="315">
        <f t="shared" si="51"/>
        <v>-121</v>
      </c>
      <c r="M341" s="316">
        <f t="shared" si="52"/>
        <v>-1</v>
      </c>
      <c r="N341" s="442"/>
      <c r="O341" s="462"/>
      <c r="P341" s="462"/>
      <c r="Q341" s="442"/>
      <c r="R341" s="443"/>
    </row>
    <row r="342" ht="15.75" customHeight="1">
      <c r="B342" s="460"/>
      <c r="C342" s="491"/>
      <c r="D342" s="342"/>
      <c r="E342" s="450" t="s">
        <v>509</v>
      </c>
      <c r="F342" s="339">
        <v>50.0</v>
      </c>
      <c r="G342" s="311">
        <v>589.0</v>
      </c>
      <c r="H342" s="311">
        <v>589.0</v>
      </c>
      <c r="I342" s="455"/>
      <c r="J342" s="313">
        <v>121.0</v>
      </c>
      <c r="K342" s="569">
        <f t="shared" si="50"/>
        <v>0.2054329372</v>
      </c>
      <c r="L342" s="315">
        <f t="shared" si="51"/>
        <v>-121</v>
      </c>
      <c r="M342" s="316">
        <f t="shared" si="52"/>
        <v>-1</v>
      </c>
      <c r="N342" s="442"/>
      <c r="O342" s="462"/>
      <c r="P342" s="462"/>
      <c r="Q342" s="442"/>
      <c r="R342" s="443"/>
    </row>
    <row r="343" ht="15.75" hidden="1" customHeight="1">
      <c r="B343" s="460"/>
      <c r="C343" s="491"/>
      <c r="D343" s="342"/>
      <c r="E343" s="450" t="s">
        <v>510</v>
      </c>
      <c r="F343" s="339">
        <v>50.0</v>
      </c>
      <c r="G343" s="311">
        <v>589.0</v>
      </c>
      <c r="H343" s="311">
        <v>589.0</v>
      </c>
      <c r="I343" s="455"/>
      <c r="J343" s="313">
        <v>121.0</v>
      </c>
      <c r="K343" s="569">
        <f t="shared" si="50"/>
        <v>0.2054329372</v>
      </c>
      <c r="L343" s="315">
        <f t="shared" si="51"/>
        <v>-121</v>
      </c>
      <c r="M343" s="316">
        <f t="shared" si="52"/>
        <v>-1</v>
      </c>
      <c r="N343" s="442"/>
      <c r="O343" s="462"/>
      <c r="P343" s="462"/>
      <c r="Q343" s="442"/>
      <c r="R343" s="443"/>
    </row>
    <row r="344" ht="15.75" hidden="1" customHeight="1">
      <c r="A344" s="327" t="s">
        <v>858</v>
      </c>
      <c r="B344" s="460"/>
      <c r="C344" s="491"/>
      <c r="D344" s="342"/>
      <c r="E344" s="450" t="s">
        <v>159</v>
      </c>
      <c r="F344" s="339">
        <v>50.0</v>
      </c>
      <c r="G344" s="301">
        <v>529.0</v>
      </c>
      <c r="H344" s="301">
        <v>499.0</v>
      </c>
      <c r="I344" s="312" t="str">
        <f>G344/R344</f>
        <v>#DIV/0!</v>
      </c>
      <c r="J344" s="313">
        <v>164.0</v>
      </c>
      <c r="K344" s="570">
        <f t="shared" si="50"/>
        <v>0.3100189036</v>
      </c>
      <c r="L344" s="315">
        <f t="shared" si="51"/>
        <v>-164</v>
      </c>
      <c r="M344" s="316">
        <f t="shared" si="52"/>
        <v>-1</v>
      </c>
      <c r="N344" s="452"/>
      <c r="O344" s="373" t="s">
        <v>112</v>
      </c>
      <c r="P344" s="373" t="s">
        <v>112</v>
      </c>
      <c r="Q344" s="442"/>
      <c r="R344" s="443"/>
    </row>
    <row r="345" ht="15.75" hidden="1" customHeight="1">
      <c r="B345" s="460"/>
      <c r="C345" s="491"/>
      <c r="D345" s="342"/>
      <c r="E345" s="450" t="s">
        <v>160</v>
      </c>
      <c r="F345" s="469">
        <v>50.0</v>
      </c>
      <c r="G345" s="301">
        <v>529.0</v>
      </c>
      <c r="H345" s="301">
        <v>459.0</v>
      </c>
      <c r="I345" s="455"/>
      <c r="J345" s="313">
        <v>164.0</v>
      </c>
      <c r="K345" s="570">
        <f t="shared" si="50"/>
        <v>0.3100189036</v>
      </c>
      <c r="L345" s="315">
        <f t="shared" si="51"/>
        <v>-164</v>
      </c>
      <c r="M345" s="316">
        <f t="shared" si="52"/>
        <v>-1</v>
      </c>
      <c r="N345" s="452"/>
      <c r="O345" s="547"/>
      <c r="P345" s="547"/>
      <c r="Q345" s="442"/>
      <c r="R345" s="443"/>
    </row>
    <row r="346" ht="15.75" customHeight="1">
      <c r="B346" s="460"/>
      <c r="C346" s="491"/>
      <c r="D346" s="342"/>
      <c r="E346" s="450" t="s">
        <v>509</v>
      </c>
      <c r="F346" s="339">
        <v>50.0</v>
      </c>
      <c r="G346" s="301">
        <v>549.0</v>
      </c>
      <c r="H346" s="301">
        <v>499.0</v>
      </c>
      <c r="I346" s="455"/>
      <c r="J346" s="313">
        <v>164.0</v>
      </c>
      <c r="K346" s="571">
        <f t="shared" si="50"/>
        <v>0.2987249545</v>
      </c>
      <c r="L346" s="315">
        <f t="shared" si="51"/>
        <v>-164</v>
      </c>
      <c r="M346" s="316">
        <f t="shared" si="52"/>
        <v>-1</v>
      </c>
      <c r="N346" s="452"/>
      <c r="O346" s="547"/>
      <c r="P346" s="547"/>
      <c r="Q346" s="442"/>
      <c r="R346" s="443"/>
    </row>
    <row r="347" ht="15.75" hidden="1" customHeight="1">
      <c r="B347" s="460"/>
      <c r="C347" s="491"/>
      <c r="D347" s="342"/>
      <c r="E347" s="490" t="s">
        <v>510</v>
      </c>
      <c r="F347" s="339">
        <v>50.0</v>
      </c>
      <c r="G347" s="341">
        <v>549.0</v>
      </c>
      <c r="H347" s="341">
        <v>499.0</v>
      </c>
      <c r="I347" s="462"/>
      <c r="J347" s="335">
        <v>164.0</v>
      </c>
      <c r="K347" s="332">
        <f t="shared" si="50"/>
        <v>0.2987249545</v>
      </c>
      <c r="L347" s="319">
        <f t="shared" si="51"/>
        <v>-164</v>
      </c>
      <c r="M347" s="332">
        <f t="shared" si="52"/>
        <v>-1</v>
      </c>
      <c r="N347" s="442"/>
      <c r="O347" s="462"/>
      <c r="P347" s="462"/>
      <c r="Q347" s="442"/>
      <c r="R347" s="442"/>
      <c r="S347" s="57"/>
      <c r="T347" s="57"/>
      <c r="U347" s="57"/>
      <c r="V347" s="57"/>
      <c r="W347" s="57"/>
      <c r="X347" s="57"/>
      <c r="Y347" s="57"/>
    </row>
    <row r="348" ht="15.75" hidden="1" customHeight="1">
      <c r="A348" s="327" t="s">
        <v>859</v>
      </c>
      <c r="B348" s="460"/>
      <c r="C348" s="491"/>
      <c r="D348" s="342"/>
      <c r="E348" s="490" t="s">
        <v>159</v>
      </c>
      <c r="F348" s="339">
        <v>50.0</v>
      </c>
      <c r="G348" s="341">
        <v>499.0</v>
      </c>
      <c r="H348" s="442"/>
      <c r="I348" s="462"/>
      <c r="J348" s="335">
        <v>92.0</v>
      </c>
      <c r="K348" s="332">
        <f t="shared" si="50"/>
        <v>0.1843687375</v>
      </c>
      <c r="L348" s="319">
        <f t="shared" si="51"/>
        <v>-92</v>
      </c>
      <c r="M348" s="332">
        <f t="shared" si="52"/>
        <v>-1</v>
      </c>
      <c r="N348" s="442"/>
      <c r="O348" s="462"/>
      <c r="P348" s="462"/>
      <c r="Q348" s="442"/>
      <c r="R348" s="442"/>
      <c r="S348" s="57"/>
      <c r="T348" s="57"/>
      <c r="U348" s="57"/>
      <c r="V348" s="57"/>
      <c r="W348" s="57"/>
      <c r="X348" s="57"/>
      <c r="Y348" s="57"/>
    </row>
    <row r="349" ht="15.75" hidden="1" customHeight="1">
      <c r="B349" s="460"/>
      <c r="C349" s="491"/>
      <c r="D349" s="342"/>
      <c r="E349" s="490" t="s">
        <v>160</v>
      </c>
      <c r="F349" s="469">
        <v>50.0</v>
      </c>
      <c r="G349" s="341">
        <v>499.0</v>
      </c>
      <c r="H349" s="442"/>
      <c r="I349" s="462"/>
      <c r="J349" s="335">
        <v>92.0</v>
      </c>
      <c r="K349" s="332">
        <f t="shared" si="50"/>
        <v>0.1843687375</v>
      </c>
      <c r="L349" s="319">
        <f t="shared" si="51"/>
        <v>-92</v>
      </c>
      <c r="M349" s="332">
        <f t="shared" si="52"/>
        <v>-1</v>
      </c>
      <c r="N349" s="442"/>
      <c r="O349" s="462"/>
      <c r="P349" s="462"/>
      <c r="Q349" s="442"/>
      <c r="R349" s="442"/>
      <c r="S349" s="57"/>
      <c r="T349" s="57"/>
      <c r="U349" s="57"/>
      <c r="V349" s="57"/>
      <c r="W349" s="57"/>
      <c r="X349" s="57"/>
      <c r="Y349" s="57"/>
    </row>
    <row r="350" ht="15.75" customHeight="1">
      <c r="B350" s="460"/>
      <c r="C350" s="491"/>
      <c r="D350" s="342"/>
      <c r="E350" s="490" t="s">
        <v>509</v>
      </c>
      <c r="F350" s="339">
        <v>50.0</v>
      </c>
      <c r="G350" s="341">
        <v>549.0</v>
      </c>
      <c r="H350" s="442"/>
      <c r="I350" s="462"/>
      <c r="J350" s="335">
        <v>92.0</v>
      </c>
      <c r="K350" s="332">
        <f t="shared" si="50"/>
        <v>0.1675774135</v>
      </c>
      <c r="L350" s="319">
        <f t="shared" si="51"/>
        <v>-92</v>
      </c>
      <c r="M350" s="332">
        <f t="shared" si="52"/>
        <v>-1</v>
      </c>
      <c r="N350" s="442"/>
      <c r="O350" s="462"/>
      <c r="P350" s="462"/>
      <c r="Q350" s="442"/>
      <c r="R350" s="442"/>
      <c r="S350" s="57"/>
      <c r="T350" s="57"/>
      <c r="U350" s="57"/>
      <c r="V350" s="57"/>
      <c r="W350" s="57"/>
      <c r="X350" s="57"/>
      <c r="Y350" s="57"/>
    </row>
    <row r="351" ht="15.75" hidden="1" customHeight="1">
      <c r="B351" s="460"/>
      <c r="C351" s="491"/>
      <c r="D351" s="342"/>
      <c r="E351" s="490" t="s">
        <v>510</v>
      </c>
      <c r="F351" s="339">
        <v>50.0</v>
      </c>
      <c r="G351" s="341">
        <v>549.0</v>
      </c>
      <c r="H351" s="442"/>
      <c r="I351" s="462"/>
      <c r="J351" s="335">
        <v>92.0</v>
      </c>
      <c r="K351" s="332">
        <f t="shared" si="50"/>
        <v>0.1675774135</v>
      </c>
      <c r="L351" s="319">
        <f t="shared" si="51"/>
        <v>-92</v>
      </c>
      <c r="M351" s="332">
        <f t="shared" si="52"/>
        <v>-1</v>
      </c>
      <c r="N351" s="442"/>
      <c r="O351" s="462"/>
      <c r="P351" s="462"/>
      <c r="Q351" s="442"/>
      <c r="R351" s="442"/>
      <c r="S351" s="57"/>
      <c r="T351" s="57"/>
      <c r="U351" s="57"/>
      <c r="V351" s="57"/>
      <c r="W351" s="57"/>
      <c r="X351" s="57"/>
      <c r="Y351" s="57"/>
    </row>
    <row r="352" ht="15.75" hidden="1" customHeight="1">
      <c r="A352" s="376" t="s">
        <v>867</v>
      </c>
      <c r="B352" s="434"/>
      <c r="C352" s="435"/>
      <c r="D352" s="291"/>
      <c r="E352" s="450" t="s">
        <v>159</v>
      </c>
      <c r="F352" s="458"/>
      <c r="G352" s="438"/>
      <c r="H352" s="438"/>
      <c r="I352" s="441"/>
      <c r="J352" s="440"/>
      <c r="K352" s="441"/>
      <c r="L352" s="438"/>
      <c r="M352" s="441"/>
      <c r="N352" s="438"/>
      <c r="O352" s="441"/>
      <c r="P352" s="441"/>
      <c r="Q352" s="442"/>
      <c r="R352" s="443"/>
    </row>
    <row r="353" ht="15.75" hidden="1" customHeight="1">
      <c r="B353" s="434"/>
      <c r="C353" s="435"/>
      <c r="D353" s="291"/>
      <c r="E353" s="450" t="s">
        <v>160</v>
      </c>
      <c r="F353" s="459"/>
      <c r="G353" s="438"/>
      <c r="H353" s="438"/>
      <c r="I353" s="441"/>
      <c r="J353" s="440"/>
      <c r="K353" s="441"/>
      <c r="L353" s="438"/>
      <c r="M353" s="441"/>
      <c r="N353" s="438"/>
      <c r="O353" s="441"/>
      <c r="P353" s="441"/>
      <c r="Q353" s="442"/>
      <c r="R353" s="443"/>
    </row>
    <row r="354" ht="15.75" customHeight="1">
      <c r="B354" s="434"/>
      <c r="C354" s="435"/>
      <c r="D354" s="291"/>
      <c r="E354" s="450" t="s">
        <v>509</v>
      </c>
      <c r="F354" s="458"/>
      <c r="G354" s="438"/>
      <c r="H354" s="438"/>
      <c r="I354" s="441"/>
      <c r="J354" s="440"/>
      <c r="K354" s="441"/>
      <c r="L354" s="438"/>
      <c r="M354" s="441"/>
      <c r="N354" s="438"/>
      <c r="O354" s="441"/>
      <c r="P354" s="441"/>
      <c r="Q354" s="442"/>
      <c r="R354" s="443"/>
    </row>
    <row r="355" ht="15.75" hidden="1" customHeight="1">
      <c r="B355" s="434"/>
      <c r="C355" s="435"/>
      <c r="D355" s="291"/>
      <c r="E355" s="450" t="s">
        <v>510</v>
      </c>
      <c r="F355" s="458"/>
      <c r="G355" s="438"/>
      <c r="H355" s="438"/>
      <c r="I355" s="441"/>
      <c r="J355" s="440"/>
      <c r="K355" s="441"/>
      <c r="L355" s="438"/>
      <c r="M355" s="441"/>
      <c r="N355" s="438"/>
      <c r="O355" s="441"/>
      <c r="P355" s="441"/>
      <c r="Q355" s="442"/>
      <c r="R355" s="443"/>
    </row>
    <row r="356" ht="15.75" hidden="1" customHeight="1">
      <c r="A356" s="327" t="s">
        <v>868</v>
      </c>
      <c r="B356" s="460"/>
      <c r="C356" s="491"/>
      <c r="D356" s="342"/>
      <c r="E356" s="490" t="s">
        <v>159</v>
      </c>
      <c r="F356" s="339">
        <v>50.0</v>
      </c>
      <c r="G356" s="334">
        <v>449.0</v>
      </c>
      <c r="H356" s="334">
        <v>399.0</v>
      </c>
      <c r="I356" s="286" t="str">
        <f>G356/R356</f>
        <v>#DIV/0!</v>
      </c>
      <c r="J356" s="335">
        <v>87.0</v>
      </c>
      <c r="K356" s="332">
        <f t="shared" ref="K356:K365" si="53">J356/G356</f>
        <v>0.1937639198</v>
      </c>
      <c r="L356" s="319">
        <f t="shared" ref="L356:L365" si="54">Q356-J356</f>
        <v>-87</v>
      </c>
      <c r="M356" s="332">
        <f t="shared" ref="M356:M365" si="55">Q356/J356-1</f>
        <v>-1</v>
      </c>
      <c r="N356" s="442"/>
      <c r="O356" s="332" t="s">
        <v>112</v>
      </c>
      <c r="P356" s="332" t="s">
        <v>112</v>
      </c>
      <c r="Q356" s="442"/>
      <c r="R356" s="442"/>
      <c r="S356" s="57"/>
      <c r="T356" s="57"/>
      <c r="U356" s="57"/>
      <c r="V356" s="57"/>
      <c r="W356" s="57"/>
      <c r="X356" s="57"/>
      <c r="Y356" s="57"/>
    </row>
    <row r="357" ht="15.75" hidden="1" customHeight="1">
      <c r="B357" s="460"/>
      <c r="C357" s="491"/>
      <c r="D357" s="342"/>
      <c r="E357" s="490" t="s">
        <v>160</v>
      </c>
      <c r="F357" s="469">
        <v>50.0</v>
      </c>
      <c r="G357" s="334">
        <v>449.0</v>
      </c>
      <c r="H357" s="334">
        <v>359.0</v>
      </c>
      <c r="I357" s="462"/>
      <c r="J357" s="335">
        <v>87.0</v>
      </c>
      <c r="K357" s="332">
        <f t="shared" si="53"/>
        <v>0.1937639198</v>
      </c>
      <c r="L357" s="319">
        <f t="shared" si="54"/>
        <v>-87</v>
      </c>
      <c r="M357" s="332">
        <f t="shared" si="55"/>
        <v>-1</v>
      </c>
      <c r="N357" s="442"/>
      <c r="O357" s="462"/>
      <c r="P357" s="462"/>
      <c r="Q357" s="442"/>
      <c r="R357" s="442"/>
      <c r="S357" s="57"/>
      <c r="T357" s="57"/>
      <c r="U357" s="57"/>
      <c r="V357" s="57"/>
      <c r="W357" s="57"/>
      <c r="X357" s="57"/>
      <c r="Y357" s="57"/>
    </row>
    <row r="358" ht="15.75" customHeight="1">
      <c r="B358" s="460"/>
      <c r="C358" s="491"/>
      <c r="D358" s="342"/>
      <c r="E358" s="490" t="s">
        <v>509</v>
      </c>
      <c r="F358" s="339">
        <v>50.0</v>
      </c>
      <c r="G358" s="334">
        <v>469.0</v>
      </c>
      <c r="H358" s="334">
        <v>399.0</v>
      </c>
      <c r="I358" s="462"/>
      <c r="J358" s="335">
        <v>87.0</v>
      </c>
      <c r="K358" s="332">
        <f t="shared" si="53"/>
        <v>0.1855010661</v>
      </c>
      <c r="L358" s="319">
        <f t="shared" si="54"/>
        <v>-87</v>
      </c>
      <c r="M358" s="332">
        <f t="shared" si="55"/>
        <v>-1</v>
      </c>
      <c r="N358" s="442"/>
      <c r="O358" s="462"/>
      <c r="P358" s="462"/>
      <c r="Q358" s="442"/>
      <c r="R358" s="442"/>
      <c r="S358" s="57"/>
      <c r="T358" s="57"/>
      <c r="U358" s="57"/>
      <c r="V358" s="57"/>
      <c r="W358" s="57"/>
      <c r="X358" s="57"/>
      <c r="Y358" s="57"/>
    </row>
    <row r="359" ht="15.75" hidden="1" customHeight="1">
      <c r="B359" s="460"/>
      <c r="C359" s="491"/>
      <c r="D359" s="342"/>
      <c r="E359" s="490" t="s">
        <v>510</v>
      </c>
      <c r="F359" s="339">
        <v>50.0</v>
      </c>
      <c r="G359" s="334">
        <v>469.0</v>
      </c>
      <c r="H359" s="334">
        <v>399.0</v>
      </c>
      <c r="I359" s="462"/>
      <c r="J359" s="335">
        <v>87.0</v>
      </c>
      <c r="K359" s="332">
        <f t="shared" si="53"/>
        <v>0.1855010661</v>
      </c>
      <c r="L359" s="319">
        <f t="shared" si="54"/>
        <v>-87</v>
      </c>
      <c r="M359" s="332">
        <f t="shared" si="55"/>
        <v>-1</v>
      </c>
      <c r="N359" s="442"/>
      <c r="O359" s="462"/>
      <c r="P359" s="462"/>
      <c r="Q359" s="442"/>
      <c r="R359" s="442"/>
      <c r="S359" s="57"/>
      <c r="T359" s="57"/>
      <c r="U359" s="57"/>
      <c r="V359" s="57"/>
      <c r="W359" s="57"/>
      <c r="X359" s="57"/>
      <c r="Y359" s="57"/>
    </row>
    <row r="360" ht="15.75" hidden="1" customHeight="1">
      <c r="A360" s="327" t="s">
        <v>869</v>
      </c>
      <c r="B360" s="460"/>
      <c r="C360" s="491"/>
      <c r="D360" s="342"/>
      <c r="E360" s="490" t="s">
        <v>159</v>
      </c>
      <c r="F360" s="339">
        <v>50.0</v>
      </c>
      <c r="G360" s="334">
        <v>499.0</v>
      </c>
      <c r="H360" s="334">
        <v>439.0</v>
      </c>
      <c r="I360" s="286" t="str">
        <f>G360/R360</f>
        <v>#DIV/0!</v>
      </c>
      <c r="J360" s="335">
        <v>97.0</v>
      </c>
      <c r="K360" s="332">
        <f t="shared" si="53"/>
        <v>0.1943887776</v>
      </c>
      <c r="L360" s="319">
        <f t="shared" si="54"/>
        <v>-97</v>
      </c>
      <c r="M360" s="332">
        <f t="shared" si="55"/>
        <v>-1</v>
      </c>
      <c r="N360" s="442"/>
      <c r="O360" s="332" t="s">
        <v>112</v>
      </c>
      <c r="P360" s="332" t="s">
        <v>112</v>
      </c>
      <c r="Q360" s="442"/>
      <c r="R360" s="442"/>
      <c r="S360" s="57"/>
      <c r="T360" s="57"/>
      <c r="U360" s="57"/>
      <c r="V360" s="57"/>
      <c r="W360" s="57"/>
      <c r="X360" s="57"/>
      <c r="Y360" s="57"/>
    </row>
    <row r="361" ht="15.75" hidden="1" customHeight="1">
      <c r="B361" s="460"/>
      <c r="C361" s="491"/>
      <c r="D361" s="342"/>
      <c r="E361" s="490" t="s">
        <v>160</v>
      </c>
      <c r="F361" s="469">
        <v>50.0</v>
      </c>
      <c r="G361" s="334">
        <v>499.0</v>
      </c>
      <c r="H361" s="334">
        <v>429.0</v>
      </c>
      <c r="I361" s="462"/>
      <c r="J361" s="335">
        <v>97.0</v>
      </c>
      <c r="K361" s="332">
        <f t="shared" si="53"/>
        <v>0.1943887776</v>
      </c>
      <c r="L361" s="319">
        <f t="shared" si="54"/>
        <v>-97</v>
      </c>
      <c r="M361" s="332">
        <f t="shared" si="55"/>
        <v>-1</v>
      </c>
      <c r="N361" s="442"/>
      <c r="O361" s="462"/>
      <c r="P361" s="462"/>
      <c r="Q361" s="442"/>
      <c r="R361" s="442"/>
      <c r="S361" s="57"/>
      <c r="T361" s="57"/>
      <c r="U361" s="57"/>
      <c r="V361" s="57"/>
      <c r="W361" s="57"/>
      <c r="X361" s="57"/>
      <c r="Y361" s="57"/>
    </row>
    <row r="362" ht="15.75" customHeight="1">
      <c r="B362" s="460"/>
      <c r="C362" s="491"/>
      <c r="D362" s="342"/>
      <c r="E362" s="490" t="s">
        <v>509</v>
      </c>
      <c r="F362" s="339">
        <v>50.0</v>
      </c>
      <c r="G362" s="334">
        <v>549.0</v>
      </c>
      <c r="H362" s="334">
        <v>459.0</v>
      </c>
      <c r="I362" s="462"/>
      <c r="J362" s="335">
        <v>97.0</v>
      </c>
      <c r="K362" s="332">
        <f t="shared" si="53"/>
        <v>0.1766848816</v>
      </c>
      <c r="L362" s="319">
        <f t="shared" si="54"/>
        <v>-97</v>
      </c>
      <c r="M362" s="332">
        <f t="shared" si="55"/>
        <v>-1</v>
      </c>
      <c r="N362" s="442"/>
      <c r="O362" s="462"/>
      <c r="P362" s="462"/>
      <c r="Q362" s="442"/>
      <c r="R362" s="442"/>
      <c r="S362" s="57"/>
      <c r="T362" s="57"/>
      <c r="U362" s="57"/>
      <c r="V362" s="57"/>
      <c r="W362" s="57"/>
      <c r="X362" s="57"/>
      <c r="Y362" s="57"/>
    </row>
    <row r="363" ht="15.75" hidden="1" customHeight="1">
      <c r="B363" s="460"/>
      <c r="C363" s="491"/>
      <c r="D363" s="342"/>
      <c r="E363" s="490" t="s">
        <v>510</v>
      </c>
      <c r="F363" s="339">
        <v>50.0</v>
      </c>
      <c r="G363" s="334">
        <v>549.0</v>
      </c>
      <c r="H363" s="334">
        <v>459.0</v>
      </c>
      <c r="I363" s="462"/>
      <c r="J363" s="335">
        <v>97.0</v>
      </c>
      <c r="K363" s="332">
        <f t="shared" si="53"/>
        <v>0.1766848816</v>
      </c>
      <c r="L363" s="319">
        <f t="shared" si="54"/>
        <v>-97</v>
      </c>
      <c r="M363" s="332">
        <f t="shared" si="55"/>
        <v>-1</v>
      </c>
      <c r="N363" s="442"/>
      <c r="O363" s="462"/>
      <c r="P363" s="462"/>
      <c r="Q363" s="442"/>
      <c r="R363" s="442"/>
      <c r="S363" s="57"/>
      <c r="T363" s="57"/>
      <c r="U363" s="57"/>
      <c r="V363" s="57"/>
      <c r="W363" s="57"/>
      <c r="X363" s="57"/>
      <c r="Y363" s="57"/>
    </row>
    <row r="364" ht="15.75" hidden="1" customHeight="1">
      <c r="A364" s="327" t="s">
        <v>870</v>
      </c>
      <c r="B364" s="460"/>
      <c r="C364" s="491"/>
      <c r="D364" s="342"/>
      <c r="E364" s="490" t="s">
        <v>159</v>
      </c>
      <c r="F364" s="339">
        <v>50.0</v>
      </c>
      <c r="G364" s="334">
        <v>699.0</v>
      </c>
      <c r="H364" s="442"/>
      <c r="I364" s="462"/>
      <c r="J364" s="335">
        <v>120.0</v>
      </c>
      <c r="K364" s="332">
        <f t="shared" si="53"/>
        <v>0.1716738197</v>
      </c>
      <c r="L364" s="319">
        <f t="shared" si="54"/>
        <v>-120</v>
      </c>
      <c r="M364" s="332">
        <f t="shared" si="55"/>
        <v>-1</v>
      </c>
      <c r="N364" s="442"/>
      <c r="O364" s="462"/>
      <c r="P364" s="462"/>
      <c r="Q364" s="442"/>
      <c r="R364" s="442"/>
      <c r="S364" s="57"/>
      <c r="T364" s="57"/>
      <c r="U364" s="57"/>
      <c r="V364" s="57"/>
      <c r="W364" s="57"/>
      <c r="X364" s="57"/>
      <c r="Y364" s="57"/>
    </row>
    <row r="365" ht="15.75" hidden="1" customHeight="1">
      <c r="B365" s="460"/>
      <c r="C365" s="491"/>
      <c r="D365" s="342"/>
      <c r="E365" s="490" t="s">
        <v>160</v>
      </c>
      <c r="F365" s="469">
        <v>50.0</v>
      </c>
      <c r="G365" s="334">
        <v>699.0</v>
      </c>
      <c r="H365" s="442"/>
      <c r="I365" s="462"/>
      <c r="J365" s="335">
        <v>120.0</v>
      </c>
      <c r="K365" s="332">
        <f t="shared" si="53"/>
        <v>0.1716738197</v>
      </c>
      <c r="L365" s="319">
        <f t="shared" si="54"/>
        <v>-120</v>
      </c>
      <c r="M365" s="332">
        <f t="shared" si="55"/>
        <v>-1</v>
      </c>
      <c r="N365" s="442"/>
      <c r="O365" s="462"/>
      <c r="P365" s="462"/>
      <c r="Q365" s="442"/>
      <c r="R365" s="442"/>
      <c r="S365" s="57"/>
      <c r="T365" s="57"/>
      <c r="U365" s="57"/>
      <c r="V365" s="57"/>
      <c r="W365" s="57"/>
      <c r="X365" s="57"/>
      <c r="Y365" s="57"/>
    </row>
    <row r="366" ht="15.75" hidden="1" customHeight="1">
      <c r="B366" s="572"/>
      <c r="C366" s="573"/>
      <c r="D366" s="574"/>
      <c r="E366" s="450"/>
      <c r="F366" s="575"/>
      <c r="G366" s="576"/>
      <c r="H366" s="577"/>
      <c r="I366" s="578"/>
      <c r="J366" s="579"/>
      <c r="K366" s="509"/>
      <c r="L366" s="580"/>
      <c r="M366" s="581"/>
      <c r="N366" s="577"/>
      <c r="O366" s="578"/>
      <c r="P366" s="578"/>
      <c r="Q366" s="577"/>
      <c r="R366" s="577"/>
    </row>
    <row r="367" ht="15.75" customHeight="1">
      <c r="B367" s="460"/>
      <c r="C367" s="491"/>
      <c r="D367" s="342"/>
      <c r="E367" s="490" t="s">
        <v>509</v>
      </c>
      <c r="F367" s="339">
        <v>50.0</v>
      </c>
      <c r="G367" s="334">
        <v>799.0</v>
      </c>
      <c r="H367" s="442"/>
      <c r="I367" s="462"/>
      <c r="J367" s="335">
        <v>120.0</v>
      </c>
      <c r="K367" s="332">
        <f t="shared" ref="K367:K368" si="56">J367/G367</f>
        <v>0.1501877347</v>
      </c>
      <c r="L367" s="319">
        <f t="shared" ref="L367:L368" si="57">Q367-J367</f>
        <v>-120</v>
      </c>
      <c r="M367" s="332">
        <f t="shared" ref="M367:M368" si="58">Q367/J367-1</f>
        <v>-1</v>
      </c>
      <c r="N367" s="442"/>
      <c r="O367" s="462"/>
      <c r="P367" s="462"/>
      <c r="Q367" s="442"/>
      <c r="R367" s="442"/>
      <c r="S367" s="57"/>
      <c r="T367" s="57"/>
      <c r="U367" s="57"/>
      <c r="V367" s="57"/>
      <c r="W367" s="57"/>
      <c r="X367" s="57"/>
      <c r="Y367" s="57"/>
    </row>
    <row r="368" ht="15.75" hidden="1" customHeight="1">
      <c r="B368" s="460"/>
      <c r="C368" s="491"/>
      <c r="D368" s="342"/>
      <c r="E368" s="490" t="s">
        <v>622</v>
      </c>
      <c r="F368" s="339">
        <v>50.0</v>
      </c>
      <c r="G368" s="334">
        <v>799.0</v>
      </c>
      <c r="H368" s="442"/>
      <c r="I368" s="462"/>
      <c r="J368" s="335">
        <v>120.0</v>
      </c>
      <c r="K368" s="332">
        <f t="shared" si="56"/>
        <v>0.1501877347</v>
      </c>
      <c r="L368" s="319">
        <f t="shared" si="57"/>
        <v>-120</v>
      </c>
      <c r="M368" s="332">
        <f t="shared" si="58"/>
        <v>-1</v>
      </c>
      <c r="N368" s="442"/>
      <c r="O368" s="462"/>
      <c r="P368" s="462"/>
      <c r="Q368" s="442"/>
      <c r="R368" s="442"/>
      <c r="S368" s="57"/>
      <c r="T368" s="57"/>
      <c r="U368" s="57"/>
      <c r="V368" s="57"/>
      <c r="W368" s="57"/>
      <c r="X368" s="57"/>
      <c r="Y368" s="57"/>
    </row>
    <row r="369" ht="15.75" hidden="1" customHeight="1">
      <c r="A369" s="446" t="s">
        <v>963</v>
      </c>
      <c r="B369" s="434"/>
      <c r="C369" s="435"/>
      <c r="D369" s="291"/>
      <c r="E369" s="436"/>
      <c r="F369" s="458"/>
      <c r="G369" s="438"/>
      <c r="H369" s="438"/>
      <c r="I369" s="441"/>
      <c r="J369" s="440"/>
      <c r="K369" s="441"/>
      <c r="L369" s="438"/>
      <c r="M369" s="441"/>
      <c r="N369" s="438"/>
      <c r="O369" s="441"/>
      <c r="P369" s="441"/>
      <c r="Q369" s="442"/>
      <c r="R369" s="443"/>
    </row>
    <row r="370" ht="15.75" hidden="1" customHeight="1">
      <c r="B370" s="434"/>
      <c r="C370" s="435"/>
      <c r="D370" s="291"/>
      <c r="E370" s="436"/>
      <c r="F370" s="458"/>
      <c r="G370" s="438"/>
      <c r="H370" s="438"/>
      <c r="I370" s="441"/>
      <c r="J370" s="440"/>
      <c r="K370" s="441"/>
      <c r="L370" s="438"/>
      <c r="M370" s="441"/>
      <c r="N370" s="438"/>
      <c r="O370" s="441"/>
      <c r="P370" s="441"/>
      <c r="Q370" s="442"/>
      <c r="R370" s="443"/>
    </row>
    <row r="371" ht="15.75" hidden="1" customHeight="1">
      <c r="B371" s="434"/>
      <c r="C371" s="435"/>
      <c r="D371" s="291"/>
      <c r="E371" s="436"/>
      <c r="F371" s="458"/>
      <c r="G371" s="438"/>
      <c r="H371" s="438"/>
      <c r="I371" s="441"/>
      <c r="J371" s="440"/>
      <c r="K371" s="441"/>
      <c r="L371" s="438"/>
      <c r="M371" s="441"/>
      <c r="N371" s="438"/>
      <c r="O371" s="441"/>
      <c r="P371" s="441"/>
      <c r="Q371" s="442"/>
      <c r="R371" s="443"/>
    </row>
    <row r="372" ht="15.75" hidden="1" customHeight="1">
      <c r="A372" s="288" t="s">
        <v>876</v>
      </c>
      <c r="B372" s="434"/>
      <c r="C372" s="435"/>
      <c r="D372" s="291"/>
      <c r="E372" s="537" t="s">
        <v>159</v>
      </c>
      <c r="F372" s="356"/>
      <c r="G372" s="357"/>
      <c r="H372" s="438"/>
      <c r="I372" s="441"/>
      <c r="J372" s="325"/>
      <c r="K372" s="297"/>
      <c r="L372" s="326"/>
      <c r="M372" s="297"/>
      <c r="N372" s="438"/>
      <c r="O372" s="441"/>
      <c r="P372" s="441"/>
      <c r="Q372" s="438"/>
      <c r="R372" s="438"/>
      <c r="S372" s="54"/>
      <c r="T372" s="54"/>
      <c r="U372" s="54"/>
      <c r="V372" s="54"/>
      <c r="W372" s="54"/>
      <c r="X372" s="54"/>
      <c r="Y372" s="54"/>
    </row>
    <row r="373" ht="15.75" hidden="1" customHeight="1">
      <c r="B373" s="434"/>
      <c r="C373" s="435"/>
      <c r="D373" s="291"/>
      <c r="E373" s="537" t="s">
        <v>160</v>
      </c>
      <c r="F373" s="356"/>
      <c r="G373" s="357"/>
      <c r="H373" s="438"/>
      <c r="I373" s="441"/>
      <c r="J373" s="325"/>
      <c r="K373" s="297"/>
      <c r="L373" s="326"/>
      <c r="M373" s="297"/>
      <c r="N373" s="438"/>
      <c r="O373" s="441"/>
      <c r="P373" s="441"/>
      <c r="Q373" s="438"/>
      <c r="R373" s="438"/>
      <c r="S373" s="54"/>
      <c r="T373" s="54"/>
      <c r="U373" s="54"/>
      <c r="V373" s="54"/>
      <c r="W373" s="54"/>
      <c r="X373" s="54"/>
      <c r="Y373" s="54"/>
    </row>
    <row r="374" ht="15.75" customHeight="1">
      <c r="B374" s="434"/>
      <c r="C374" s="435"/>
      <c r="D374" s="291"/>
      <c r="E374" s="537" t="s">
        <v>509</v>
      </c>
      <c r="F374" s="356"/>
      <c r="G374" s="357"/>
      <c r="H374" s="438"/>
      <c r="I374" s="441"/>
      <c r="J374" s="325"/>
      <c r="K374" s="297"/>
      <c r="L374" s="326"/>
      <c r="M374" s="297"/>
      <c r="N374" s="438"/>
      <c r="O374" s="441"/>
      <c r="P374" s="441"/>
      <c r="Q374" s="438"/>
      <c r="R374" s="438"/>
      <c r="S374" s="54"/>
      <c r="T374" s="54"/>
      <c r="U374" s="54"/>
      <c r="V374" s="54"/>
      <c r="W374" s="54"/>
      <c r="X374" s="54"/>
      <c r="Y374" s="54"/>
    </row>
    <row r="375" ht="15.75" hidden="1" customHeight="1">
      <c r="B375" s="434"/>
      <c r="C375" s="435"/>
      <c r="D375" s="291"/>
      <c r="E375" s="537" t="s">
        <v>622</v>
      </c>
      <c r="F375" s="356"/>
      <c r="G375" s="357"/>
      <c r="H375" s="438"/>
      <c r="I375" s="441"/>
      <c r="J375" s="325"/>
      <c r="K375" s="297"/>
      <c r="L375" s="326"/>
      <c r="M375" s="297"/>
      <c r="N375" s="438"/>
      <c r="O375" s="441"/>
      <c r="P375" s="441"/>
      <c r="Q375" s="438"/>
      <c r="R375" s="438"/>
      <c r="S375" s="54"/>
      <c r="T375" s="54"/>
      <c r="U375" s="54"/>
      <c r="V375" s="54"/>
      <c r="W375" s="54"/>
      <c r="X375" s="54"/>
      <c r="Y375" s="54"/>
    </row>
    <row r="376" ht="15.75" hidden="1" customHeight="1">
      <c r="A376" s="327" t="s">
        <v>877</v>
      </c>
      <c r="B376" s="460"/>
      <c r="C376" s="491"/>
      <c r="D376" s="342"/>
      <c r="E376" s="490" t="s">
        <v>159</v>
      </c>
      <c r="F376" s="339">
        <v>50.0</v>
      </c>
      <c r="G376" s="334">
        <v>299.0</v>
      </c>
      <c r="H376" s="442"/>
      <c r="I376" s="462"/>
      <c r="J376" s="335">
        <v>50.0</v>
      </c>
      <c r="K376" s="332">
        <f>J376/G376</f>
        <v>0.1672240803</v>
      </c>
      <c r="L376" s="319">
        <f>Q376-J376</f>
        <v>-50</v>
      </c>
      <c r="M376" s="332">
        <f>Q376/J376-1</f>
        <v>-1</v>
      </c>
      <c r="N376" s="442"/>
      <c r="O376" s="462"/>
      <c r="P376" s="462"/>
      <c r="Q376" s="442"/>
      <c r="R376" s="442"/>
      <c r="S376" s="57"/>
      <c r="T376" s="57"/>
      <c r="U376" s="57"/>
      <c r="V376" s="57"/>
      <c r="W376" s="57"/>
      <c r="X376" s="57"/>
      <c r="Y376" s="57"/>
    </row>
    <row r="377" ht="15.75" hidden="1" customHeight="1">
      <c r="B377" s="572"/>
      <c r="C377" s="573"/>
      <c r="D377" s="574"/>
      <c r="E377" s="450"/>
      <c r="F377" s="575"/>
      <c r="G377" s="576"/>
      <c r="H377" s="577"/>
      <c r="I377" s="578"/>
      <c r="J377" s="579"/>
      <c r="K377" s="582"/>
      <c r="L377" s="580"/>
      <c r="M377" s="581"/>
      <c r="N377" s="577"/>
      <c r="O377" s="578"/>
      <c r="P377" s="578"/>
      <c r="Q377" s="577"/>
      <c r="R377" s="577"/>
    </row>
    <row r="378" ht="15.75" hidden="1" customHeight="1">
      <c r="B378" s="460"/>
      <c r="C378" s="491"/>
      <c r="D378" s="342"/>
      <c r="E378" s="490" t="s">
        <v>160</v>
      </c>
      <c r="F378" s="469">
        <v>50.0</v>
      </c>
      <c r="G378" s="334">
        <v>299.0</v>
      </c>
      <c r="H378" s="442"/>
      <c r="I378" s="462"/>
      <c r="J378" s="335">
        <v>50.0</v>
      </c>
      <c r="K378" s="332">
        <f t="shared" ref="K378:K387" si="59">J378/G378</f>
        <v>0.1672240803</v>
      </c>
      <c r="L378" s="319">
        <f t="shared" ref="L378:L387" si="60">Q378-J378</f>
        <v>-50</v>
      </c>
      <c r="M378" s="332">
        <f t="shared" ref="M378:M387" si="61">Q378/J378-1</f>
        <v>-1</v>
      </c>
      <c r="N378" s="442"/>
      <c r="O378" s="462"/>
      <c r="P378" s="462"/>
      <c r="Q378" s="442"/>
      <c r="R378" s="442"/>
      <c r="S378" s="57"/>
      <c r="T378" s="57"/>
      <c r="U378" s="57"/>
      <c r="V378" s="57"/>
      <c r="W378" s="57"/>
      <c r="X378" s="57"/>
      <c r="Y378" s="57"/>
    </row>
    <row r="379" ht="15.75" customHeight="1">
      <c r="B379" s="460"/>
      <c r="C379" s="491"/>
      <c r="D379" s="342"/>
      <c r="E379" s="490" t="s">
        <v>509</v>
      </c>
      <c r="F379" s="339">
        <v>50.0</v>
      </c>
      <c r="G379" s="334">
        <v>299.0</v>
      </c>
      <c r="H379" s="442"/>
      <c r="I379" s="462"/>
      <c r="J379" s="335">
        <v>50.0</v>
      </c>
      <c r="K379" s="332">
        <f t="shared" si="59"/>
        <v>0.1672240803</v>
      </c>
      <c r="L379" s="319">
        <f t="shared" si="60"/>
        <v>-50</v>
      </c>
      <c r="M379" s="332">
        <f t="shared" si="61"/>
        <v>-1</v>
      </c>
      <c r="N379" s="442"/>
      <c r="O379" s="462"/>
      <c r="P379" s="462"/>
      <c r="Q379" s="442"/>
      <c r="R379" s="442"/>
      <c r="S379" s="57"/>
      <c r="T379" s="57"/>
      <c r="U379" s="57"/>
      <c r="V379" s="57"/>
      <c r="W379" s="57"/>
      <c r="X379" s="57"/>
      <c r="Y379" s="57"/>
    </row>
    <row r="380" ht="15.75" hidden="1" customHeight="1">
      <c r="B380" s="460"/>
      <c r="C380" s="491"/>
      <c r="D380" s="342"/>
      <c r="E380" s="490" t="s">
        <v>510</v>
      </c>
      <c r="F380" s="339">
        <v>50.0</v>
      </c>
      <c r="G380" s="334">
        <v>299.0</v>
      </c>
      <c r="H380" s="442"/>
      <c r="I380" s="462"/>
      <c r="J380" s="335">
        <v>50.0</v>
      </c>
      <c r="K380" s="332">
        <f t="shared" si="59"/>
        <v>0.1672240803</v>
      </c>
      <c r="L380" s="319">
        <f t="shared" si="60"/>
        <v>-50</v>
      </c>
      <c r="M380" s="332">
        <f t="shared" si="61"/>
        <v>-1</v>
      </c>
      <c r="N380" s="442"/>
      <c r="O380" s="462"/>
      <c r="P380" s="462"/>
      <c r="Q380" s="442"/>
      <c r="R380" s="442"/>
      <c r="S380" s="57"/>
      <c r="T380" s="57"/>
      <c r="U380" s="57"/>
      <c r="V380" s="57"/>
      <c r="W380" s="57"/>
      <c r="X380" s="57"/>
      <c r="Y380" s="57"/>
    </row>
    <row r="381" ht="15.75" hidden="1" customHeight="1">
      <c r="A381" s="327" t="s">
        <v>878</v>
      </c>
      <c r="B381" s="460"/>
      <c r="C381" s="491"/>
      <c r="D381" s="342"/>
      <c r="E381" s="450" t="s">
        <v>159</v>
      </c>
      <c r="F381" s="339">
        <v>50.0</v>
      </c>
      <c r="G381" s="311">
        <v>479.0</v>
      </c>
      <c r="H381" s="311">
        <v>459.0</v>
      </c>
      <c r="I381" s="312" t="str">
        <f>G381/R381</f>
        <v>#DIV/0!</v>
      </c>
      <c r="J381" s="313">
        <v>84.0</v>
      </c>
      <c r="K381" s="316">
        <f t="shared" si="59"/>
        <v>0.1753653445</v>
      </c>
      <c r="L381" s="315">
        <f t="shared" si="60"/>
        <v>-84</v>
      </c>
      <c r="M381" s="316">
        <f t="shared" si="61"/>
        <v>-1</v>
      </c>
      <c r="N381" s="442"/>
      <c r="O381" s="373" t="s">
        <v>112</v>
      </c>
      <c r="P381" s="373" t="s">
        <v>112</v>
      </c>
      <c r="Q381" s="442"/>
      <c r="R381" s="443"/>
    </row>
    <row r="382" ht="15.75" hidden="1" customHeight="1">
      <c r="B382" s="460"/>
      <c r="C382" s="491"/>
      <c r="D382" s="342"/>
      <c r="E382" s="450" t="s">
        <v>160</v>
      </c>
      <c r="F382" s="469">
        <v>50.0</v>
      </c>
      <c r="G382" s="311">
        <v>479.0</v>
      </c>
      <c r="H382" s="311">
        <v>429.0</v>
      </c>
      <c r="I382" s="455"/>
      <c r="J382" s="313">
        <v>84.0</v>
      </c>
      <c r="K382" s="316">
        <f t="shared" si="59"/>
        <v>0.1753653445</v>
      </c>
      <c r="L382" s="315">
        <f t="shared" si="60"/>
        <v>-84</v>
      </c>
      <c r="M382" s="316">
        <f t="shared" si="61"/>
        <v>-1</v>
      </c>
      <c r="N382" s="442"/>
      <c r="O382" s="462"/>
      <c r="P382" s="462"/>
      <c r="Q382" s="442"/>
      <c r="R382" s="443"/>
    </row>
    <row r="383" ht="15.75" customHeight="1">
      <c r="B383" s="460"/>
      <c r="C383" s="491"/>
      <c r="D383" s="342"/>
      <c r="E383" s="450" t="s">
        <v>509</v>
      </c>
      <c r="F383" s="339">
        <v>50.0</v>
      </c>
      <c r="G383" s="311">
        <v>499.0</v>
      </c>
      <c r="H383" s="311">
        <v>469.0</v>
      </c>
      <c r="I383" s="455"/>
      <c r="J383" s="313">
        <v>84.0</v>
      </c>
      <c r="K383" s="477">
        <f t="shared" si="59"/>
        <v>0.1683366733</v>
      </c>
      <c r="L383" s="315">
        <f t="shared" si="60"/>
        <v>-84</v>
      </c>
      <c r="M383" s="316">
        <f t="shared" si="61"/>
        <v>-1</v>
      </c>
      <c r="N383" s="442"/>
      <c r="O383" s="462"/>
      <c r="P383" s="462"/>
      <c r="Q383" s="442"/>
      <c r="R383" s="443"/>
    </row>
    <row r="384" ht="15.75" hidden="1" customHeight="1">
      <c r="B384" s="460"/>
      <c r="C384" s="491"/>
      <c r="D384" s="342"/>
      <c r="E384" s="450" t="s">
        <v>510</v>
      </c>
      <c r="F384" s="339">
        <v>50.0</v>
      </c>
      <c r="G384" s="311">
        <v>499.0</v>
      </c>
      <c r="H384" s="443"/>
      <c r="I384" s="455"/>
      <c r="J384" s="313">
        <v>84.0</v>
      </c>
      <c r="K384" s="477">
        <f t="shared" si="59"/>
        <v>0.1683366733</v>
      </c>
      <c r="L384" s="315">
        <f t="shared" si="60"/>
        <v>-84</v>
      </c>
      <c r="M384" s="316">
        <f t="shared" si="61"/>
        <v>-1</v>
      </c>
      <c r="N384" s="442"/>
      <c r="O384" s="462"/>
      <c r="P384" s="462"/>
      <c r="Q384" s="442"/>
      <c r="R384" s="443"/>
    </row>
    <row r="385" ht="15.75" hidden="1" customHeight="1">
      <c r="A385" s="327" t="s">
        <v>879</v>
      </c>
      <c r="B385" s="460"/>
      <c r="C385" s="491"/>
      <c r="D385" s="342"/>
      <c r="E385" s="450" t="s">
        <v>159</v>
      </c>
      <c r="F385" s="339">
        <v>50.0</v>
      </c>
      <c r="G385" s="311">
        <v>459.0</v>
      </c>
      <c r="H385" s="311">
        <v>449.0</v>
      </c>
      <c r="I385" s="312" t="str">
        <f>G385/R385</f>
        <v>#DIV/0!</v>
      </c>
      <c r="J385" s="313">
        <v>66.0</v>
      </c>
      <c r="K385" s="583">
        <f t="shared" si="59"/>
        <v>0.1437908497</v>
      </c>
      <c r="L385" s="315">
        <f t="shared" si="60"/>
        <v>-66</v>
      </c>
      <c r="M385" s="316">
        <f t="shared" si="61"/>
        <v>-1</v>
      </c>
      <c r="N385" s="442"/>
      <c r="O385" s="373" t="s">
        <v>112</v>
      </c>
      <c r="P385" s="373" t="s">
        <v>112</v>
      </c>
      <c r="Q385" s="442"/>
      <c r="R385" s="443"/>
    </row>
    <row r="386" ht="15.75" hidden="1" customHeight="1">
      <c r="B386" s="460"/>
      <c r="C386" s="491"/>
      <c r="D386" s="342"/>
      <c r="E386" s="450" t="s">
        <v>160</v>
      </c>
      <c r="F386" s="469">
        <v>50.0</v>
      </c>
      <c r="G386" s="311">
        <v>459.0</v>
      </c>
      <c r="H386" s="311">
        <v>389.0</v>
      </c>
      <c r="I386" s="455"/>
      <c r="J386" s="313">
        <v>66.0</v>
      </c>
      <c r="K386" s="583">
        <f t="shared" si="59"/>
        <v>0.1437908497</v>
      </c>
      <c r="L386" s="315">
        <f t="shared" si="60"/>
        <v>-66</v>
      </c>
      <c r="M386" s="316">
        <f t="shared" si="61"/>
        <v>-1</v>
      </c>
      <c r="N386" s="442"/>
      <c r="O386" s="462"/>
      <c r="P386" s="462"/>
      <c r="Q386" s="442"/>
      <c r="R386" s="443"/>
    </row>
    <row r="387" ht="15.75" customHeight="1">
      <c r="B387" s="460"/>
      <c r="C387" s="491"/>
      <c r="D387" s="342"/>
      <c r="E387" s="450" t="s">
        <v>509</v>
      </c>
      <c r="F387" s="339">
        <v>50.0</v>
      </c>
      <c r="G387" s="311">
        <v>479.0</v>
      </c>
      <c r="H387" s="311">
        <v>429.0</v>
      </c>
      <c r="I387" s="455"/>
      <c r="J387" s="313">
        <v>66.0</v>
      </c>
      <c r="K387" s="584">
        <f t="shared" si="59"/>
        <v>0.1377870564</v>
      </c>
      <c r="L387" s="315">
        <f t="shared" si="60"/>
        <v>-66</v>
      </c>
      <c r="M387" s="316">
        <f t="shared" si="61"/>
        <v>-1</v>
      </c>
      <c r="N387" s="442"/>
      <c r="O387" s="462"/>
      <c r="P387" s="462"/>
      <c r="Q387" s="442"/>
      <c r="R387" s="443"/>
    </row>
    <row r="388" ht="15.75" hidden="1" customHeight="1">
      <c r="A388" s="288" t="s">
        <v>964</v>
      </c>
      <c r="B388" s="434"/>
      <c r="C388" s="435"/>
      <c r="D388" s="291"/>
      <c r="E388" s="450" t="s">
        <v>159</v>
      </c>
      <c r="F388" s="458"/>
      <c r="G388" s="438"/>
      <c r="H388" s="438"/>
      <c r="I388" s="441"/>
      <c r="J388" s="440"/>
      <c r="K388" s="441"/>
      <c r="L388" s="438"/>
      <c r="M388" s="441"/>
      <c r="N388" s="438"/>
      <c r="O388" s="441"/>
      <c r="P388" s="441"/>
      <c r="Q388" s="442"/>
      <c r="R388" s="443"/>
    </row>
    <row r="389" ht="15.75" hidden="1" customHeight="1">
      <c r="B389" s="434"/>
      <c r="C389" s="435"/>
      <c r="D389" s="291"/>
      <c r="E389" s="450" t="s">
        <v>160</v>
      </c>
      <c r="F389" s="459"/>
      <c r="G389" s="438"/>
      <c r="H389" s="438"/>
      <c r="I389" s="441"/>
      <c r="J389" s="440"/>
      <c r="K389" s="441"/>
      <c r="L389" s="438"/>
      <c r="M389" s="441"/>
      <c r="N389" s="438"/>
      <c r="O389" s="441"/>
      <c r="P389" s="441"/>
      <c r="Q389" s="442"/>
      <c r="R389" s="443"/>
    </row>
    <row r="390" ht="15.75" customHeight="1">
      <c r="B390" s="434"/>
      <c r="C390" s="435"/>
      <c r="D390" s="291"/>
      <c r="E390" s="450" t="s">
        <v>509</v>
      </c>
      <c r="F390" s="458"/>
      <c r="G390" s="438"/>
      <c r="H390" s="438"/>
      <c r="I390" s="441"/>
      <c r="J390" s="440"/>
      <c r="K390" s="441"/>
      <c r="L390" s="438"/>
      <c r="M390" s="441"/>
      <c r="N390" s="438"/>
      <c r="O390" s="441"/>
      <c r="P390" s="441"/>
      <c r="Q390" s="442"/>
      <c r="R390" s="443"/>
    </row>
    <row r="391" ht="15.75" hidden="1" customHeight="1">
      <c r="B391" s="434"/>
      <c r="C391" s="435"/>
      <c r="D391" s="291"/>
      <c r="E391" s="450" t="s">
        <v>510</v>
      </c>
      <c r="F391" s="458"/>
      <c r="G391" s="438"/>
      <c r="H391" s="438"/>
      <c r="I391" s="441"/>
      <c r="J391" s="440"/>
      <c r="K391" s="441"/>
      <c r="L391" s="438"/>
      <c r="M391" s="441"/>
      <c r="N391" s="438"/>
      <c r="O391" s="441"/>
      <c r="P391" s="441"/>
      <c r="Q391" s="442"/>
      <c r="R391" s="443"/>
    </row>
    <row r="392" ht="15.75" hidden="1" customHeight="1">
      <c r="A392" s="327" t="s">
        <v>886</v>
      </c>
      <c r="B392" s="460"/>
      <c r="C392" s="491"/>
      <c r="D392" s="342"/>
      <c r="E392" s="490" t="s">
        <v>159</v>
      </c>
      <c r="F392" s="337">
        <v>50.0</v>
      </c>
      <c r="G392" s="341">
        <v>479.0</v>
      </c>
      <c r="H392" s="442"/>
      <c r="I392" s="462"/>
      <c r="J392" s="335">
        <v>81.0</v>
      </c>
      <c r="K392" s="332">
        <f t="shared" ref="K392:K403" si="62">J392/G392</f>
        <v>0.1691022965</v>
      </c>
      <c r="L392" s="319">
        <f t="shared" ref="L392:L403" si="63">Q392-J392</f>
        <v>-81</v>
      </c>
      <c r="M392" s="332">
        <f t="shared" ref="M392:M403" si="64">Q392/J392-1</f>
        <v>-1</v>
      </c>
      <c r="N392" s="442"/>
      <c r="O392" s="462"/>
      <c r="P392" s="462"/>
      <c r="Q392" s="442"/>
      <c r="R392" s="442"/>
      <c r="S392" s="57"/>
      <c r="T392" s="57"/>
      <c r="U392" s="57"/>
      <c r="V392" s="57"/>
      <c r="W392" s="57"/>
      <c r="X392" s="57"/>
      <c r="Y392" s="57"/>
    </row>
    <row r="393" ht="15.75" hidden="1" customHeight="1">
      <c r="B393" s="460"/>
      <c r="C393" s="491"/>
      <c r="D393" s="342"/>
      <c r="E393" s="490" t="s">
        <v>160</v>
      </c>
      <c r="F393" s="492">
        <v>50.0</v>
      </c>
      <c r="G393" s="341">
        <v>479.0</v>
      </c>
      <c r="H393" s="442"/>
      <c r="I393" s="462"/>
      <c r="J393" s="335">
        <v>81.0</v>
      </c>
      <c r="K393" s="332">
        <f t="shared" si="62"/>
        <v>0.1691022965</v>
      </c>
      <c r="L393" s="319">
        <f t="shared" si="63"/>
        <v>-81</v>
      </c>
      <c r="M393" s="332">
        <f t="shared" si="64"/>
        <v>-1</v>
      </c>
      <c r="N393" s="442"/>
      <c r="O393" s="462"/>
      <c r="P393" s="462"/>
      <c r="Q393" s="442"/>
      <c r="R393" s="442"/>
      <c r="S393" s="57"/>
      <c r="T393" s="57"/>
      <c r="U393" s="57"/>
      <c r="V393" s="57"/>
      <c r="W393" s="57"/>
      <c r="X393" s="57"/>
      <c r="Y393" s="57"/>
    </row>
    <row r="394" ht="15.75" customHeight="1">
      <c r="B394" s="460"/>
      <c r="C394" s="491"/>
      <c r="D394" s="342"/>
      <c r="E394" s="490" t="s">
        <v>509</v>
      </c>
      <c r="F394" s="337">
        <v>50.0</v>
      </c>
      <c r="G394" s="341">
        <v>499.0</v>
      </c>
      <c r="H394" s="442"/>
      <c r="I394" s="462"/>
      <c r="J394" s="335">
        <v>81.0</v>
      </c>
      <c r="K394" s="332">
        <f t="shared" si="62"/>
        <v>0.1623246493</v>
      </c>
      <c r="L394" s="319">
        <f t="shared" si="63"/>
        <v>-81</v>
      </c>
      <c r="M394" s="332">
        <f t="shared" si="64"/>
        <v>-1</v>
      </c>
      <c r="N394" s="442"/>
      <c r="O394" s="462"/>
      <c r="P394" s="462"/>
      <c r="Q394" s="442"/>
      <c r="R394" s="442"/>
      <c r="S394" s="57"/>
      <c r="T394" s="57"/>
      <c r="U394" s="57"/>
      <c r="V394" s="57"/>
      <c r="W394" s="57"/>
      <c r="X394" s="57"/>
      <c r="Y394" s="57"/>
    </row>
    <row r="395" ht="15.75" hidden="1" customHeight="1">
      <c r="B395" s="460"/>
      <c r="C395" s="491"/>
      <c r="D395" s="342"/>
      <c r="E395" s="490" t="s">
        <v>510</v>
      </c>
      <c r="F395" s="337">
        <v>50.0</v>
      </c>
      <c r="G395" s="341">
        <v>499.0</v>
      </c>
      <c r="H395" s="442"/>
      <c r="I395" s="462"/>
      <c r="J395" s="335">
        <v>81.0</v>
      </c>
      <c r="K395" s="332">
        <f t="shared" si="62"/>
        <v>0.1623246493</v>
      </c>
      <c r="L395" s="319">
        <f t="shared" si="63"/>
        <v>-81</v>
      </c>
      <c r="M395" s="332">
        <f t="shared" si="64"/>
        <v>-1</v>
      </c>
      <c r="N395" s="442"/>
      <c r="O395" s="462"/>
      <c r="P395" s="462"/>
      <c r="Q395" s="442"/>
      <c r="R395" s="442"/>
      <c r="S395" s="57"/>
      <c r="T395" s="57"/>
      <c r="U395" s="57"/>
      <c r="V395" s="57"/>
      <c r="W395" s="57"/>
      <c r="X395" s="57"/>
      <c r="Y395" s="57"/>
    </row>
    <row r="396" ht="15.75" hidden="1" customHeight="1">
      <c r="A396" s="379" t="s">
        <v>887</v>
      </c>
      <c r="B396" s="460"/>
      <c r="C396" s="491"/>
      <c r="D396" s="342"/>
      <c r="E396" s="490" t="s">
        <v>159</v>
      </c>
      <c r="F396" s="337">
        <v>50.0</v>
      </c>
      <c r="G396" s="341">
        <v>679.0</v>
      </c>
      <c r="H396" s="341">
        <v>599.0</v>
      </c>
      <c r="I396" s="286" t="str">
        <f>G396/R396</f>
        <v>#DIV/0!</v>
      </c>
      <c r="J396" s="335">
        <v>113.0</v>
      </c>
      <c r="K396" s="332">
        <f t="shared" si="62"/>
        <v>0.1664212077</v>
      </c>
      <c r="L396" s="319">
        <f t="shared" si="63"/>
        <v>-113</v>
      </c>
      <c r="M396" s="332">
        <f t="shared" si="64"/>
        <v>-1</v>
      </c>
      <c r="N396" s="442"/>
      <c r="O396" s="462"/>
      <c r="P396" s="462"/>
      <c r="Q396" s="442"/>
      <c r="R396" s="442"/>
      <c r="S396" s="57"/>
      <c r="T396" s="57"/>
      <c r="U396" s="57"/>
      <c r="V396" s="57"/>
      <c r="W396" s="57"/>
      <c r="X396" s="57"/>
      <c r="Y396" s="57"/>
    </row>
    <row r="397" ht="15.75" hidden="1" customHeight="1">
      <c r="B397" s="460"/>
      <c r="C397" s="491"/>
      <c r="D397" s="342"/>
      <c r="E397" s="490" t="s">
        <v>160</v>
      </c>
      <c r="F397" s="492">
        <v>50.0</v>
      </c>
      <c r="G397" s="341">
        <v>679.0</v>
      </c>
      <c r="H397" s="442"/>
      <c r="I397" s="462"/>
      <c r="J397" s="335">
        <v>113.0</v>
      </c>
      <c r="K397" s="332">
        <f t="shared" si="62"/>
        <v>0.1664212077</v>
      </c>
      <c r="L397" s="319">
        <f t="shared" si="63"/>
        <v>-113</v>
      </c>
      <c r="M397" s="332">
        <f t="shared" si="64"/>
        <v>-1</v>
      </c>
      <c r="N397" s="442"/>
      <c r="O397" s="462"/>
      <c r="P397" s="462"/>
      <c r="Q397" s="442"/>
      <c r="R397" s="442"/>
      <c r="S397" s="57"/>
      <c r="T397" s="57"/>
      <c r="U397" s="57"/>
      <c r="V397" s="57"/>
      <c r="W397" s="57"/>
      <c r="X397" s="57"/>
      <c r="Y397" s="57"/>
    </row>
    <row r="398" ht="15.75" customHeight="1">
      <c r="B398" s="460"/>
      <c r="C398" s="491"/>
      <c r="D398" s="342"/>
      <c r="E398" s="490" t="s">
        <v>509</v>
      </c>
      <c r="F398" s="337">
        <v>50.0</v>
      </c>
      <c r="G398" s="341">
        <v>699.0</v>
      </c>
      <c r="H398" s="442"/>
      <c r="I398" s="462"/>
      <c r="J398" s="335">
        <v>113.0</v>
      </c>
      <c r="K398" s="332">
        <f t="shared" si="62"/>
        <v>0.1616595136</v>
      </c>
      <c r="L398" s="319">
        <f t="shared" si="63"/>
        <v>-113</v>
      </c>
      <c r="M398" s="332">
        <f t="shared" si="64"/>
        <v>-1</v>
      </c>
      <c r="N398" s="442"/>
      <c r="O398" s="462"/>
      <c r="P398" s="462"/>
      <c r="Q398" s="442"/>
      <c r="R398" s="442"/>
      <c r="S398" s="57"/>
      <c r="T398" s="57"/>
      <c r="U398" s="57"/>
      <c r="V398" s="57"/>
      <c r="W398" s="57"/>
      <c r="X398" s="57"/>
      <c r="Y398" s="57"/>
    </row>
    <row r="399" ht="15.75" hidden="1" customHeight="1">
      <c r="B399" s="460"/>
      <c r="C399" s="491"/>
      <c r="D399" s="342"/>
      <c r="E399" s="490" t="s">
        <v>510</v>
      </c>
      <c r="F399" s="337">
        <v>50.0</v>
      </c>
      <c r="G399" s="341">
        <v>699.0</v>
      </c>
      <c r="H399" s="442"/>
      <c r="I399" s="462"/>
      <c r="J399" s="335">
        <v>113.0</v>
      </c>
      <c r="K399" s="332">
        <f t="shared" si="62"/>
        <v>0.1616595136</v>
      </c>
      <c r="L399" s="319">
        <f t="shared" si="63"/>
        <v>-113</v>
      </c>
      <c r="M399" s="332">
        <f t="shared" si="64"/>
        <v>-1</v>
      </c>
      <c r="N399" s="442"/>
      <c r="O399" s="462"/>
      <c r="P399" s="462"/>
      <c r="Q399" s="442"/>
      <c r="R399" s="442"/>
      <c r="S399" s="57"/>
      <c r="T399" s="57"/>
      <c r="U399" s="57"/>
      <c r="V399" s="57"/>
      <c r="W399" s="57"/>
      <c r="X399" s="57"/>
      <c r="Y399" s="57"/>
    </row>
    <row r="400" ht="15.75" hidden="1" customHeight="1">
      <c r="A400" s="327" t="s">
        <v>888</v>
      </c>
      <c r="B400" s="460"/>
      <c r="C400" s="491"/>
      <c r="D400" s="342"/>
      <c r="E400" s="490" t="s">
        <v>159</v>
      </c>
      <c r="F400" s="337">
        <v>50.0</v>
      </c>
      <c r="G400" s="341">
        <v>679.0</v>
      </c>
      <c r="H400" s="442"/>
      <c r="I400" s="462"/>
      <c r="J400" s="335">
        <v>113.0</v>
      </c>
      <c r="K400" s="332">
        <f t="shared" si="62"/>
        <v>0.1664212077</v>
      </c>
      <c r="L400" s="319">
        <f t="shared" si="63"/>
        <v>-113</v>
      </c>
      <c r="M400" s="332">
        <f t="shared" si="64"/>
        <v>-1</v>
      </c>
      <c r="N400" s="442"/>
      <c r="O400" s="462"/>
      <c r="P400" s="462"/>
      <c r="Q400" s="442"/>
      <c r="R400" s="442"/>
      <c r="S400" s="57"/>
      <c r="T400" s="57"/>
      <c r="U400" s="57"/>
      <c r="V400" s="57"/>
      <c r="W400" s="57"/>
      <c r="X400" s="57"/>
      <c r="Y400" s="57"/>
    </row>
    <row r="401" ht="15.75" hidden="1" customHeight="1">
      <c r="B401" s="460"/>
      <c r="C401" s="491"/>
      <c r="D401" s="342"/>
      <c r="E401" s="490" t="s">
        <v>160</v>
      </c>
      <c r="F401" s="492">
        <v>50.0</v>
      </c>
      <c r="G401" s="341">
        <v>679.0</v>
      </c>
      <c r="H401" s="442"/>
      <c r="I401" s="462"/>
      <c r="J401" s="335">
        <v>113.0</v>
      </c>
      <c r="K401" s="332">
        <f t="shared" si="62"/>
        <v>0.1664212077</v>
      </c>
      <c r="L401" s="319">
        <f t="shared" si="63"/>
        <v>-113</v>
      </c>
      <c r="M401" s="332">
        <f t="shared" si="64"/>
        <v>-1</v>
      </c>
      <c r="N401" s="442"/>
      <c r="O401" s="462"/>
      <c r="P401" s="462"/>
      <c r="Q401" s="442"/>
      <c r="R401" s="442"/>
      <c r="S401" s="57"/>
      <c r="T401" s="57"/>
      <c r="U401" s="57"/>
      <c r="V401" s="57"/>
      <c r="W401" s="57"/>
      <c r="X401" s="57"/>
      <c r="Y401" s="57"/>
    </row>
    <row r="402" ht="15.75" customHeight="1">
      <c r="B402" s="460"/>
      <c r="C402" s="491"/>
      <c r="D402" s="342"/>
      <c r="E402" s="490" t="s">
        <v>509</v>
      </c>
      <c r="F402" s="337">
        <v>50.0</v>
      </c>
      <c r="G402" s="341">
        <v>699.0</v>
      </c>
      <c r="H402" s="442"/>
      <c r="I402" s="462"/>
      <c r="J402" s="335">
        <v>113.0</v>
      </c>
      <c r="K402" s="332">
        <f t="shared" si="62"/>
        <v>0.1616595136</v>
      </c>
      <c r="L402" s="319">
        <f t="shared" si="63"/>
        <v>-113</v>
      </c>
      <c r="M402" s="332">
        <f t="shared" si="64"/>
        <v>-1</v>
      </c>
      <c r="N402" s="442"/>
      <c r="O402" s="462"/>
      <c r="P402" s="462"/>
      <c r="Q402" s="442"/>
      <c r="R402" s="442"/>
      <c r="S402" s="57"/>
      <c r="T402" s="57"/>
      <c r="U402" s="57"/>
      <c r="V402" s="57"/>
      <c r="W402" s="57"/>
      <c r="X402" s="57"/>
      <c r="Y402" s="57"/>
    </row>
    <row r="403" ht="15.75" hidden="1" customHeight="1">
      <c r="B403" s="460"/>
      <c r="C403" s="491"/>
      <c r="D403" s="342"/>
      <c r="E403" s="490" t="s">
        <v>510</v>
      </c>
      <c r="F403" s="337">
        <v>50.0</v>
      </c>
      <c r="G403" s="341">
        <v>699.0</v>
      </c>
      <c r="H403" s="442"/>
      <c r="I403" s="462"/>
      <c r="J403" s="335">
        <v>113.0</v>
      </c>
      <c r="K403" s="332">
        <f t="shared" si="62"/>
        <v>0.1616595136</v>
      </c>
      <c r="L403" s="319">
        <f t="shared" si="63"/>
        <v>-113</v>
      </c>
      <c r="M403" s="332">
        <f t="shared" si="64"/>
        <v>-1</v>
      </c>
      <c r="N403" s="442"/>
      <c r="O403" s="462"/>
      <c r="P403" s="462"/>
      <c r="Q403" s="442"/>
      <c r="R403" s="442"/>
      <c r="S403" s="57"/>
      <c r="T403" s="57"/>
      <c r="U403" s="57"/>
      <c r="V403" s="57"/>
      <c r="W403" s="57"/>
      <c r="X403" s="57"/>
      <c r="Y403" s="57"/>
    </row>
    <row r="404" ht="15.75" hidden="1" customHeight="1">
      <c r="B404" s="585"/>
      <c r="D404" s="586"/>
    </row>
    <row r="405" ht="15.75" hidden="1" customHeight="1">
      <c r="B405" s="585"/>
      <c r="D405" s="586"/>
    </row>
    <row r="406" ht="15.75" hidden="1" customHeight="1">
      <c r="B406" s="585"/>
      <c r="D406" s="586"/>
    </row>
    <row r="407" ht="15.75" hidden="1" customHeight="1">
      <c r="B407" s="585"/>
      <c r="D407" s="586"/>
    </row>
    <row r="408" ht="15.75" hidden="1" customHeight="1">
      <c r="B408" s="585"/>
      <c r="D408" s="586"/>
    </row>
    <row r="409" ht="15.75" hidden="1" customHeight="1">
      <c r="B409" s="585"/>
      <c r="D409" s="586"/>
    </row>
    <row r="410" ht="15.75" hidden="1" customHeight="1">
      <c r="B410" s="585"/>
      <c r="D410" s="586"/>
    </row>
    <row r="411" ht="15.75" hidden="1" customHeight="1">
      <c r="B411" s="585"/>
      <c r="D411" s="586"/>
    </row>
    <row r="412" ht="15.75" hidden="1" customHeight="1">
      <c r="B412" s="585"/>
      <c r="D412" s="586"/>
    </row>
    <row r="413" ht="15.75" hidden="1" customHeight="1">
      <c r="B413" s="585"/>
      <c r="D413" s="586"/>
    </row>
    <row r="414" ht="15.75" hidden="1" customHeight="1">
      <c r="B414" s="585"/>
      <c r="D414" s="586"/>
    </row>
    <row r="415" ht="15.75" hidden="1" customHeight="1">
      <c r="B415" s="585"/>
      <c r="D415" s="586"/>
    </row>
    <row r="416" ht="15.75" hidden="1" customHeight="1">
      <c r="B416" s="585"/>
      <c r="D416" s="586"/>
    </row>
    <row r="417" ht="15.75" hidden="1" customHeight="1">
      <c r="B417" s="585"/>
      <c r="D417" s="586"/>
    </row>
    <row r="418" ht="15.75" hidden="1" customHeight="1">
      <c r="B418" s="585"/>
      <c r="D418" s="586"/>
    </row>
    <row r="419" ht="15.75" hidden="1" customHeight="1">
      <c r="B419" s="585"/>
      <c r="D419" s="586"/>
    </row>
    <row r="420" ht="15.75" hidden="1" customHeight="1">
      <c r="B420" s="585"/>
      <c r="D420" s="586"/>
    </row>
    <row r="421" ht="15.75" hidden="1" customHeight="1">
      <c r="B421" s="585"/>
      <c r="D421" s="586"/>
    </row>
    <row r="422" ht="15.75" hidden="1" customHeight="1">
      <c r="B422" s="585"/>
      <c r="D422" s="586"/>
    </row>
    <row r="423" ht="15.75" hidden="1" customHeight="1">
      <c r="B423" s="585"/>
      <c r="D423" s="586"/>
    </row>
    <row r="424" ht="15.75" hidden="1" customHeight="1">
      <c r="B424" s="585"/>
      <c r="D424" s="586"/>
    </row>
    <row r="425" ht="15.75" hidden="1" customHeight="1">
      <c r="B425" s="585"/>
      <c r="D425" s="586"/>
    </row>
    <row r="426" ht="15.75" hidden="1" customHeight="1">
      <c r="B426" s="585"/>
      <c r="D426" s="586"/>
    </row>
    <row r="427" ht="15.75" hidden="1" customHeight="1">
      <c r="B427" s="585"/>
      <c r="D427" s="586"/>
    </row>
    <row r="428" ht="15.75" hidden="1" customHeight="1">
      <c r="B428" s="585"/>
      <c r="D428" s="586"/>
    </row>
    <row r="429" ht="15.75" hidden="1" customHeight="1">
      <c r="B429" s="585"/>
      <c r="D429" s="586"/>
    </row>
    <row r="430" ht="15.75" hidden="1" customHeight="1">
      <c r="B430" s="585"/>
      <c r="D430" s="586"/>
    </row>
    <row r="431" ht="15.75" hidden="1" customHeight="1">
      <c r="B431" s="585"/>
      <c r="D431" s="586"/>
    </row>
    <row r="432" ht="15.75" hidden="1" customHeight="1">
      <c r="B432" s="585"/>
      <c r="D432" s="586"/>
    </row>
    <row r="433" ht="15.75" hidden="1" customHeight="1">
      <c r="B433" s="585"/>
      <c r="D433" s="586"/>
    </row>
    <row r="434" ht="15.75" hidden="1" customHeight="1">
      <c r="B434" s="585"/>
      <c r="D434" s="586"/>
    </row>
    <row r="435" ht="15.75" hidden="1" customHeight="1">
      <c r="B435" s="585"/>
      <c r="D435" s="586"/>
    </row>
    <row r="436" ht="15.75" hidden="1" customHeight="1">
      <c r="B436" s="585"/>
      <c r="D436" s="586"/>
    </row>
    <row r="437" ht="15.75" hidden="1" customHeight="1">
      <c r="B437" s="585"/>
      <c r="D437" s="586"/>
    </row>
    <row r="438" ht="15.75" hidden="1" customHeight="1">
      <c r="B438" s="585"/>
      <c r="D438" s="586"/>
    </row>
    <row r="439" ht="15.75" hidden="1" customHeight="1">
      <c r="B439" s="585"/>
      <c r="D439" s="586"/>
    </row>
    <row r="440" ht="15.75" hidden="1" customHeight="1">
      <c r="B440" s="585"/>
      <c r="D440" s="586"/>
    </row>
    <row r="441" ht="15.75" hidden="1" customHeight="1">
      <c r="B441" s="585"/>
      <c r="D441" s="586"/>
    </row>
    <row r="442" ht="15.75" hidden="1" customHeight="1">
      <c r="B442" s="585"/>
      <c r="D442" s="586"/>
    </row>
    <row r="443" ht="15.75" hidden="1" customHeight="1">
      <c r="B443" s="585"/>
      <c r="D443" s="586"/>
    </row>
    <row r="444" ht="15.75" hidden="1" customHeight="1">
      <c r="B444" s="585"/>
      <c r="D444" s="586"/>
    </row>
    <row r="445" ht="15.75" hidden="1" customHeight="1">
      <c r="B445" s="585"/>
      <c r="D445" s="586"/>
    </row>
    <row r="446" ht="15.75" hidden="1" customHeight="1">
      <c r="B446" s="585"/>
      <c r="D446" s="586"/>
    </row>
    <row r="447" ht="15.75" hidden="1" customHeight="1">
      <c r="B447" s="585"/>
      <c r="D447" s="586"/>
    </row>
    <row r="448" ht="15.75" hidden="1" customHeight="1">
      <c r="B448" s="585"/>
      <c r="D448" s="586"/>
    </row>
    <row r="449" ht="15.75" hidden="1" customHeight="1">
      <c r="B449" s="585"/>
      <c r="D449" s="586"/>
    </row>
    <row r="450" ht="15.75" hidden="1" customHeight="1">
      <c r="B450" s="585"/>
      <c r="D450" s="586"/>
    </row>
    <row r="451" ht="15.75" hidden="1" customHeight="1">
      <c r="B451" s="585"/>
      <c r="D451" s="586"/>
    </row>
    <row r="452" ht="15.75" hidden="1" customHeight="1">
      <c r="B452" s="585"/>
      <c r="D452" s="586"/>
    </row>
    <row r="453" ht="15.75" hidden="1" customHeight="1">
      <c r="B453" s="585"/>
      <c r="D453" s="586"/>
    </row>
    <row r="454" ht="15.75" hidden="1" customHeight="1">
      <c r="B454" s="585"/>
      <c r="D454" s="586"/>
    </row>
    <row r="455" ht="15.75" hidden="1" customHeight="1">
      <c r="B455" s="585"/>
      <c r="D455" s="586"/>
    </row>
    <row r="456" ht="15.75" hidden="1" customHeight="1">
      <c r="B456" s="585"/>
      <c r="D456" s="586"/>
    </row>
    <row r="457" ht="15.75" hidden="1" customHeight="1">
      <c r="B457" s="585"/>
      <c r="D457" s="586"/>
    </row>
    <row r="458" ht="15.75" hidden="1" customHeight="1">
      <c r="B458" s="585"/>
      <c r="D458" s="586"/>
    </row>
    <row r="459" ht="15.75" hidden="1" customHeight="1">
      <c r="B459" s="585"/>
      <c r="D459" s="586"/>
    </row>
    <row r="460" ht="15.75" hidden="1" customHeight="1">
      <c r="B460" s="585"/>
      <c r="D460" s="586"/>
    </row>
    <row r="461" ht="15.75" hidden="1" customHeight="1">
      <c r="B461" s="585"/>
      <c r="D461" s="586"/>
    </row>
    <row r="462" ht="15.75" hidden="1" customHeight="1">
      <c r="B462" s="585"/>
      <c r="D462" s="586"/>
    </row>
    <row r="463" ht="15.75" hidden="1" customHeight="1">
      <c r="B463" s="585"/>
      <c r="D463" s="586"/>
    </row>
    <row r="464" ht="15.75" hidden="1" customHeight="1">
      <c r="B464" s="585"/>
      <c r="D464" s="586"/>
    </row>
    <row r="465" ht="15.75" hidden="1" customHeight="1">
      <c r="B465" s="585"/>
      <c r="D465" s="586"/>
    </row>
    <row r="466" ht="15.75" hidden="1" customHeight="1">
      <c r="B466" s="585"/>
      <c r="D466" s="586"/>
    </row>
    <row r="467" ht="15.75" hidden="1" customHeight="1">
      <c r="B467" s="585"/>
      <c r="D467" s="586"/>
    </row>
    <row r="468" ht="15.75" hidden="1" customHeight="1">
      <c r="B468" s="585"/>
      <c r="D468" s="586"/>
    </row>
    <row r="469" ht="15.75" hidden="1" customHeight="1">
      <c r="B469" s="585"/>
      <c r="D469" s="586"/>
    </row>
    <row r="470" ht="15.75" hidden="1" customHeight="1">
      <c r="B470" s="585"/>
      <c r="D470" s="586"/>
    </row>
    <row r="471" ht="15.75" hidden="1" customHeight="1">
      <c r="B471" s="585"/>
      <c r="D471" s="586"/>
    </row>
    <row r="472" ht="15.75" hidden="1" customHeight="1">
      <c r="B472" s="585"/>
      <c r="D472" s="586"/>
    </row>
    <row r="473" ht="15.75" hidden="1" customHeight="1">
      <c r="B473" s="585"/>
      <c r="D473" s="586"/>
    </row>
    <row r="474" ht="15.75" hidden="1" customHeight="1">
      <c r="B474" s="585"/>
      <c r="D474" s="586"/>
    </row>
    <row r="475" ht="15.75" hidden="1" customHeight="1">
      <c r="B475" s="585"/>
      <c r="D475" s="586"/>
    </row>
    <row r="476" ht="15.75" hidden="1" customHeight="1">
      <c r="B476" s="585"/>
      <c r="D476" s="586"/>
    </row>
    <row r="477" ht="15.75" hidden="1" customHeight="1">
      <c r="B477" s="585"/>
      <c r="D477" s="586"/>
    </row>
    <row r="478" ht="15.75" hidden="1" customHeight="1">
      <c r="B478" s="585"/>
      <c r="D478" s="586"/>
    </row>
    <row r="479" ht="15.75" hidden="1" customHeight="1">
      <c r="B479" s="585"/>
      <c r="D479" s="586"/>
    </row>
    <row r="480" ht="15.75" hidden="1" customHeight="1">
      <c r="B480" s="585"/>
      <c r="D480" s="586"/>
    </row>
    <row r="481" ht="15.75" hidden="1" customHeight="1">
      <c r="B481" s="585"/>
      <c r="D481" s="586"/>
    </row>
    <row r="482" ht="15.75" hidden="1" customHeight="1">
      <c r="B482" s="585"/>
      <c r="D482" s="586"/>
    </row>
    <row r="483" ht="15.75" hidden="1" customHeight="1">
      <c r="B483" s="585"/>
      <c r="D483" s="586"/>
    </row>
    <row r="484" ht="15.75" hidden="1" customHeight="1">
      <c r="B484" s="585"/>
      <c r="D484" s="586"/>
    </row>
    <row r="485" ht="15.75" hidden="1" customHeight="1">
      <c r="B485" s="585"/>
      <c r="D485" s="586"/>
    </row>
    <row r="486" ht="15.75" hidden="1" customHeight="1">
      <c r="B486" s="585"/>
      <c r="D486" s="586"/>
    </row>
    <row r="487" ht="15.75" hidden="1" customHeight="1">
      <c r="B487" s="585"/>
      <c r="D487" s="586"/>
    </row>
    <row r="488" ht="15.75" hidden="1" customHeight="1">
      <c r="B488" s="585"/>
      <c r="D488" s="586"/>
    </row>
    <row r="489" ht="15.75" hidden="1" customHeight="1">
      <c r="B489" s="585"/>
      <c r="D489" s="586"/>
    </row>
    <row r="490" ht="15.75" hidden="1" customHeight="1">
      <c r="B490" s="585"/>
      <c r="D490" s="586"/>
    </row>
    <row r="491" ht="15.75" hidden="1" customHeight="1">
      <c r="B491" s="585"/>
      <c r="D491" s="586"/>
    </row>
    <row r="492" ht="15.75" hidden="1" customHeight="1">
      <c r="B492" s="585"/>
      <c r="D492" s="586"/>
    </row>
    <row r="493" ht="15.75" hidden="1" customHeight="1">
      <c r="B493" s="585"/>
      <c r="D493" s="586"/>
    </row>
    <row r="494" ht="15.75" hidden="1" customHeight="1">
      <c r="B494" s="585"/>
      <c r="D494" s="586"/>
    </row>
    <row r="495" ht="15.75" hidden="1" customHeight="1">
      <c r="B495" s="585"/>
      <c r="D495" s="586"/>
    </row>
    <row r="496" ht="15.75" hidden="1" customHeight="1">
      <c r="B496" s="585"/>
      <c r="D496" s="586"/>
    </row>
    <row r="497" ht="15.75" hidden="1" customHeight="1">
      <c r="B497" s="585"/>
      <c r="D497" s="586"/>
    </row>
    <row r="498" ht="15.75" hidden="1" customHeight="1">
      <c r="B498" s="585"/>
      <c r="D498" s="586"/>
    </row>
    <row r="499" ht="15.75" hidden="1" customHeight="1">
      <c r="B499" s="585"/>
      <c r="D499" s="586"/>
    </row>
    <row r="500" ht="15.75" hidden="1" customHeight="1">
      <c r="B500" s="585"/>
      <c r="D500" s="586"/>
    </row>
    <row r="501" ht="15.75" hidden="1" customHeight="1">
      <c r="B501" s="585"/>
      <c r="D501" s="586"/>
    </row>
    <row r="502" ht="15.75" hidden="1" customHeight="1">
      <c r="B502" s="585"/>
      <c r="D502" s="586"/>
    </row>
    <row r="503" ht="15.75" hidden="1" customHeight="1">
      <c r="B503" s="585"/>
      <c r="D503" s="586"/>
    </row>
    <row r="504" ht="15.75" hidden="1" customHeight="1">
      <c r="B504" s="585"/>
      <c r="D504" s="586"/>
    </row>
    <row r="505" ht="15.75" hidden="1" customHeight="1">
      <c r="B505" s="585"/>
      <c r="D505" s="586"/>
    </row>
    <row r="506" ht="15.75" hidden="1" customHeight="1">
      <c r="B506" s="585"/>
      <c r="D506" s="586"/>
    </row>
    <row r="507" ht="15.75" hidden="1" customHeight="1">
      <c r="B507" s="585"/>
      <c r="D507" s="586"/>
    </row>
    <row r="508" ht="15.75" hidden="1" customHeight="1">
      <c r="B508" s="585"/>
      <c r="D508" s="586"/>
    </row>
    <row r="509" ht="15.75" hidden="1" customHeight="1">
      <c r="B509" s="585"/>
      <c r="D509" s="586"/>
    </row>
    <row r="510" ht="15.75" hidden="1" customHeight="1">
      <c r="B510" s="585"/>
      <c r="D510" s="586"/>
    </row>
    <row r="511" ht="15.75" hidden="1" customHeight="1">
      <c r="B511" s="585"/>
      <c r="D511" s="586"/>
    </row>
    <row r="512" ht="15.75" hidden="1" customHeight="1">
      <c r="B512" s="585"/>
      <c r="D512" s="586"/>
    </row>
    <row r="513" ht="15.75" hidden="1" customHeight="1">
      <c r="B513" s="585"/>
      <c r="D513" s="586"/>
    </row>
    <row r="514" ht="15.75" hidden="1" customHeight="1">
      <c r="B514" s="585"/>
      <c r="D514" s="586"/>
    </row>
    <row r="515" ht="15.75" hidden="1" customHeight="1">
      <c r="B515" s="585"/>
      <c r="D515" s="586"/>
    </row>
    <row r="516" ht="15.75" hidden="1" customHeight="1">
      <c r="B516" s="585"/>
      <c r="D516" s="586"/>
    </row>
    <row r="517" ht="15.75" hidden="1" customHeight="1">
      <c r="B517" s="585"/>
      <c r="D517" s="586"/>
    </row>
    <row r="518" ht="15.75" hidden="1" customHeight="1">
      <c r="B518" s="585"/>
      <c r="D518" s="586"/>
    </row>
    <row r="519" ht="15.75" hidden="1" customHeight="1">
      <c r="B519" s="585"/>
      <c r="D519" s="586"/>
    </row>
    <row r="520" ht="15.75" hidden="1" customHeight="1">
      <c r="B520" s="585"/>
      <c r="D520" s="586"/>
    </row>
    <row r="521" ht="15.75" hidden="1" customHeight="1">
      <c r="B521" s="585"/>
      <c r="D521" s="586"/>
    </row>
    <row r="522" ht="15.75" hidden="1" customHeight="1">
      <c r="B522" s="585"/>
      <c r="D522" s="586"/>
    </row>
    <row r="523" ht="15.75" hidden="1" customHeight="1">
      <c r="B523" s="585"/>
      <c r="D523" s="586"/>
    </row>
    <row r="524" ht="15.75" hidden="1" customHeight="1">
      <c r="B524" s="585"/>
      <c r="D524" s="586"/>
    </row>
    <row r="525" ht="15.75" hidden="1" customHeight="1">
      <c r="B525" s="585"/>
      <c r="D525" s="586"/>
    </row>
    <row r="526" ht="15.75" hidden="1" customHeight="1">
      <c r="B526" s="585"/>
      <c r="D526" s="586"/>
    </row>
    <row r="527" ht="15.75" hidden="1" customHeight="1">
      <c r="B527" s="585"/>
      <c r="D527" s="586"/>
    </row>
    <row r="528" ht="15.75" hidden="1" customHeight="1">
      <c r="B528" s="585"/>
      <c r="D528" s="586"/>
    </row>
    <row r="529" ht="15.75" hidden="1" customHeight="1">
      <c r="B529" s="585"/>
      <c r="D529" s="586"/>
    </row>
    <row r="530" ht="15.75" hidden="1" customHeight="1">
      <c r="B530" s="585"/>
      <c r="D530" s="586"/>
    </row>
    <row r="531" ht="15.75" hidden="1" customHeight="1">
      <c r="B531" s="585"/>
      <c r="D531" s="586"/>
    </row>
    <row r="532" ht="15.75" hidden="1" customHeight="1">
      <c r="B532" s="585"/>
      <c r="D532" s="586"/>
    </row>
    <row r="533" ht="15.75" hidden="1" customHeight="1">
      <c r="B533" s="585"/>
      <c r="D533" s="586"/>
    </row>
    <row r="534" ht="15.75" hidden="1" customHeight="1">
      <c r="B534" s="585"/>
      <c r="D534" s="586"/>
    </row>
    <row r="535" ht="15.75" hidden="1" customHeight="1">
      <c r="B535" s="585"/>
      <c r="D535" s="586"/>
    </row>
    <row r="536" ht="15.75" hidden="1" customHeight="1">
      <c r="B536" s="585"/>
      <c r="D536" s="586"/>
    </row>
    <row r="537" ht="15.75" hidden="1" customHeight="1">
      <c r="B537" s="585"/>
      <c r="D537" s="586"/>
    </row>
    <row r="538" ht="15.75" hidden="1" customHeight="1">
      <c r="B538" s="585"/>
      <c r="D538" s="586"/>
    </row>
    <row r="539" ht="15.75" hidden="1" customHeight="1">
      <c r="B539" s="585"/>
      <c r="D539" s="586"/>
    </row>
    <row r="540" ht="15.75" hidden="1" customHeight="1">
      <c r="B540" s="585"/>
      <c r="D540" s="586"/>
    </row>
    <row r="541" ht="15.75" hidden="1" customHeight="1">
      <c r="B541" s="585"/>
      <c r="D541" s="586"/>
    </row>
    <row r="542" ht="15.75" hidden="1" customHeight="1">
      <c r="B542" s="585"/>
      <c r="D542" s="586"/>
    </row>
    <row r="543" ht="15.75" hidden="1" customHeight="1">
      <c r="B543" s="585"/>
      <c r="D543" s="586"/>
    </row>
    <row r="544" ht="15.75" hidden="1" customHeight="1">
      <c r="B544" s="585"/>
      <c r="D544" s="586"/>
    </row>
    <row r="545" ht="15.75" hidden="1" customHeight="1">
      <c r="B545" s="585"/>
      <c r="D545" s="586"/>
    </row>
    <row r="546" ht="15.75" hidden="1" customHeight="1">
      <c r="B546" s="585"/>
      <c r="D546" s="586"/>
    </row>
    <row r="547" ht="15.75" hidden="1" customHeight="1">
      <c r="B547" s="585"/>
      <c r="D547" s="586"/>
    </row>
    <row r="548" ht="15.75" hidden="1" customHeight="1">
      <c r="B548" s="585"/>
      <c r="D548" s="586"/>
    </row>
    <row r="549" ht="15.75" hidden="1" customHeight="1">
      <c r="B549" s="585"/>
      <c r="D549" s="586"/>
    </row>
    <row r="550" ht="15.75" hidden="1" customHeight="1">
      <c r="B550" s="585"/>
      <c r="D550" s="586"/>
    </row>
    <row r="551" ht="15.75" hidden="1" customHeight="1">
      <c r="B551" s="585"/>
      <c r="D551" s="586"/>
    </row>
    <row r="552" ht="15.75" hidden="1" customHeight="1">
      <c r="B552" s="585"/>
      <c r="D552" s="586"/>
    </row>
    <row r="553" ht="15.75" hidden="1" customHeight="1">
      <c r="B553" s="585"/>
      <c r="D553" s="586"/>
    </row>
    <row r="554" ht="15.75" hidden="1" customHeight="1">
      <c r="B554" s="585"/>
      <c r="D554" s="586"/>
    </row>
    <row r="555" ht="15.75" hidden="1" customHeight="1">
      <c r="B555" s="585"/>
      <c r="D555" s="586"/>
    </row>
    <row r="556" ht="15.75" hidden="1" customHeight="1">
      <c r="B556" s="585"/>
      <c r="D556" s="586"/>
    </row>
    <row r="557" ht="15.75" hidden="1" customHeight="1">
      <c r="B557" s="585"/>
      <c r="D557" s="586"/>
    </row>
    <row r="558" ht="15.75" hidden="1" customHeight="1">
      <c r="B558" s="585"/>
      <c r="D558" s="586"/>
    </row>
    <row r="559" ht="15.75" hidden="1" customHeight="1">
      <c r="B559" s="585"/>
      <c r="D559" s="586"/>
    </row>
    <row r="560" ht="15.75" hidden="1" customHeight="1">
      <c r="B560" s="585"/>
      <c r="D560" s="586"/>
    </row>
    <row r="561" ht="15.75" hidden="1" customHeight="1">
      <c r="B561" s="585"/>
      <c r="D561" s="586"/>
    </row>
    <row r="562" ht="15.75" hidden="1" customHeight="1">
      <c r="B562" s="585"/>
      <c r="D562" s="586"/>
    </row>
    <row r="563" ht="15.75" hidden="1" customHeight="1">
      <c r="B563" s="585"/>
      <c r="D563" s="586"/>
    </row>
    <row r="564" ht="15.75" hidden="1" customHeight="1">
      <c r="B564" s="585"/>
      <c r="D564" s="586"/>
    </row>
    <row r="565" ht="15.75" hidden="1" customHeight="1">
      <c r="B565" s="585"/>
      <c r="D565" s="586"/>
    </row>
    <row r="566" ht="15.75" hidden="1" customHeight="1">
      <c r="B566" s="585"/>
      <c r="D566" s="586"/>
    </row>
    <row r="567" ht="15.75" hidden="1" customHeight="1">
      <c r="B567" s="585"/>
      <c r="D567" s="586"/>
    </row>
    <row r="568" ht="15.75" hidden="1" customHeight="1">
      <c r="B568" s="585"/>
      <c r="D568" s="586"/>
    </row>
    <row r="569" ht="15.75" hidden="1" customHeight="1">
      <c r="B569" s="585"/>
      <c r="D569" s="586"/>
    </row>
    <row r="570" ht="15.75" hidden="1" customHeight="1">
      <c r="B570" s="585"/>
      <c r="D570" s="586"/>
    </row>
    <row r="571" ht="15.75" hidden="1" customHeight="1">
      <c r="B571" s="585"/>
      <c r="D571" s="586"/>
    </row>
    <row r="572" ht="15.75" hidden="1" customHeight="1">
      <c r="B572" s="585"/>
      <c r="D572" s="586"/>
    </row>
    <row r="573" ht="15.75" hidden="1" customHeight="1">
      <c r="B573" s="585"/>
      <c r="D573" s="586"/>
    </row>
    <row r="574" ht="15.75" hidden="1" customHeight="1">
      <c r="B574" s="585"/>
      <c r="D574" s="586"/>
    </row>
    <row r="575" ht="15.75" hidden="1" customHeight="1">
      <c r="B575" s="585"/>
      <c r="D575" s="586"/>
    </row>
    <row r="576" ht="15.75" hidden="1" customHeight="1">
      <c r="B576" s="585"/>
      <c r="D576" s="586"/>
    </row>
    <row r="577" ht="15.75" hidden="1" customHeight="1">
      <c r="B577" s="585"/>
      <c r="D577" s="586"/>
    </row>
    <row r="578" ht="15.75" hidden="1" customHeight="1">
      <c r="B578" s="585"/>
      <c r="D578" s="586"/>
    </row>
    <row r="579" ht="15.75" hidden="1" customHeight="1">
      <c r="B579" s="585"/>
      <c r="D579" s="586"/>
    </row>
    <row r="580" ht="15.75" hidden="1" customHeight="1">
      <c r="B580" s="585"/>
      <c r="D580" s="586"/>
    </row>
    <row r="581" ht="15.75" hidden="1" customHeight="1">
      <c r="B581" s="585"/>
      <c r="D581" s="586"/>
    </row>
    <row r="582" ht="15.75" hidden="1" customHeight="1">
      <c r="B582" s="585"/>
      <c r="D582" s="586"/>
    </row>
    <row r="583" ht="15.75" hidden="1" customHeight="1">
      <c r="B583" s="585"/>
      <c r="D583" s="586"/>
    </row>
    <row r="584" ht="15.75" hidden="1" customHeight="1">
      <c r="B584" s="585"/>
      <c r="D584" s="586"/>
    </row>
    <row r="585" ht="15.75" hidden="1" customHeight="1">
      <c r="B585" s="585"/>
      <c r="D585" s="586"/>
    </row>
    <row r="586" ht="15.75" hidden="1" customHeight="1">
      <c r="B586" s="585"/>
      <c r="D586" s="586"/>
    </row>
    <row r="587" ht="15.75" hidden="1" customHeight="1">
      <c r="B587" s="585"/>
      <c r="D587" s="586"/>
    </row>
    <row r="588" ht="15.75" hidden="1" customHeight="1">
      <c r="B588" s="585"/>
      <c r="D588" s="586"/>
    </row>
    <row r="589" ht="15.75" hidden="1" customHeight="1">
      <c r="B589" s="585"/>
      <c r="D589" s="586"/>
    </row>
    <row r="590" ht="15.75" hidden="1" customHeight="1">
      <c r="B590" s="585"/>
      <c r="D590" s="586"/>
    </row>
    <row r="591" ht="15.75" hidden="1" customHeight="1">
      <c r="B591" s="585"/>
      <c r="D591" s="586"/>
    </row>
    <row r="592" ht="15.75" hidden="1" customHeight="1">
      <c r="B592" s="585"/>
      <c r="D592" s="586"/>
    </row>
    <row r="593" ht="15.75" hidden="1" customHeight="1">
      <c r="B593" s="585"/>
      <c r="D593" s="586"/>
    </row>
    <row r="594" ht="15.75" hidden="1" customHeight="1">
      <c r="B594" s="585"/>
      <c r="D594" s="586"/>
    </row>
    <row r="595" ht="15.75" hidden="1" customHeight="1">
      <c r="B595" s="585"/>
      <c r="D595" s="586"/>
    </row>
    <row r="596" ht="15.75" hidden="1" customHeight="1">
      <c r="B596" s="585"/>
      <c r="D596" s="586"/>
    </row>
    <row r="597" ht="15.75" hidden="1" customHeight="1">
      <c r="B597" s="585"/>
      <c r="D597" s="586"/>
    </row>
    <row r="598" ht="15.75" hidden="1" customHeight="1">
      <c r="B598" s="585"/>
      <c r="D598" s="586"/>
    </row>
    <row r="599" ht="15.75" hidden="1" customHeight="1">
      <c r="B599" s="585"/>
      <c r="D599" s="586"/>
    </row>
    <row r="600" ht="15.75" hidden="1" customHeight="1">
      <c r="B600" s="585"/>
      <c r="D600" s="586"/>
    </row>
    <row r="601" ht="15.75" hidden="1" customHeight="1">
      <c r="B601" s="585"/>
      <c r="D601" s="586"/>
    </row>
    <row r="602" ht="15.75" hidden="1" customHeight="1">
      <c r="B602" s="585"/>
      <c r="D602" s="586"/>
    </row>
    <row r="603" ht="15.75" hidden="1" customHeight="1">
      <c r="B603" s="585"/>
      <c r="D603" s="586"/>
    </row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863">
    <filterColumn colId="0">
      <filters>
        <filter val="Сургут/Нижневартовск"/>
      </filters>
    </filterColumn>
  </autoFilter>
  <mergeCells count="182">
    <mergeCell ref="D7:D10"/>
    <mergeCell ref="D11:D12"/>
    <mergeCell ref="C11:C13"/>
    <mergeCell ref="C15:C18"/>
    <mergeCell ref="A3:A6"/>
    <mergeCell ref="A7:A10"/>
    <mergeCell ref="B7:B10"/>
    <mergeCell ref="C7:C10"/>
    <mergeCell ref="A11:A13"/>
    <mergeCell ref="B11:B12"/>
    <mergeCell ref="A15:A18"/>
    <mergeCell ref="B32:B35"/>
    <mergeCell ref="C32:C35"/>
    <mergeCell ref="D32:D35"/>
    <mergeCell ref="A19:A22"/>
    <mergeCell ref="C19:C22"/>
    <mergeCell ref="A23:A26"/>
    <mergeCell ref="C23:C26"/>
    <mergeCell ref="A28:A31"/>
    <mergeCell ref="C28:C31"/>
    <mergeCell ref="A32:A35"/>
    <mergeCell ref="A36:A39"/>
    <mergeCell ref="B36:B39"/>
    <mergeCell ref="C36:C39"/>
    <mergeCell ref="D36:D39"/>
    <mergeCell ref="A40:A43"/>
    <mergeCell ref="C40:C43"/>
    <mergeCell ref="C45:C48"/>
    <mergeCell ref="D121:D124"/>
    <mergeCell ref="D129:D132"/>
    <mergeCell ref="D133:D135"/>
    <mergeCell ref="C73:C76"/>
    <mergeCell ref="D73:D76"/>
    <mergeCell ref="D77:D80"/>
    <mergeCell ref="D81:D84"/>
    <mergeCell ref="D89:D92"/>
    <mergeCell ref="D93:D96"/>
    <mergeCell ref="D105:D112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5"/>
    <mergeCell ref="C49:C52"/>
    <mergeCell ref="C53:C56"/>
    <mergeCell ref="C57:C60"/>
    <mergeCell ref="C61:C64"/>
    <mergeCell ref="C65:C68"/>
    <mergeCell ref="C69:C72"/>
    <mergeCell ref="B73:B76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B77:B80"/>
    <mergeCell ref="C77:C80"/>
    <mergeCell ref="B81:B84"/>
    <mergeCell ref="C81:C84"/>
    <mergeCell ref="C85:C88"/>
    <mergeCell ref="C89:C92"/>
    <mergeCell ref="C93:C96"/>
    <mergeCell ref="C97:C100"/>
    <mergeCell ref="C101:C104"/>
    <mergeCell ref="B105:B112"/>
    <mergeCell ref="C105:C108"/>
    <mergeCell ref="C109:C112"/>
    <mergeCell ref="B133:B135"/>
    <mergeCell ref="C133:C135"/>
    <mergeCell ref="C137:C140"/>
    <mergeCell ref="C113:C116"/>
    <mergeCell ref="C117:C120"/>
    <mergeCell ref="B121:B124"/>
    <mergeCell ref="C121:C124"/>
    <mergeCell ref="C125:C128"/>
    <mergeCell ref="B129:B132"/>
    <mergeCell ref="C129:C132"/>
    <mergeCell ref="D199:D202"/>
    <mergeCell ref="D208:D211"/>
    <mergeCell ref="D212:D215"/>
    <mergeCell ref="D216:D219"/>
    <mergeCell ref="D220:D223"/>
    <mergeCell ref="D224:D227"/>
    <mergeCell ref="D228:D231"/>
    <mergeCell ref="D167:D170"/>
    <mergeCell ref="D171:D174"/>
    <mergeCell ref="D179:D182"/>
    <mergeCell ref="D183:D186"/>
    <mergeCell ref="D187:D190"/>
    <mergeCell ref="D191:D194"/>
    <mergeCell ref="D195:D198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72:A375"/>
    <mergeCell ref="A376:A380"/>
    <mergeCell ref="A381:A384"/>
    <mergeCell ref="A385:A387"/>
    <mergeCell ref="A388:A391"/>
    <mergeCell ref="A392:A395"/>
    <mergeCell ref="A396:A399"/>
    <mergeCell ref="A400:A403"/>
    <mergeCell ref="A344:A347"/>
    <mergeCell ref="A348:A351"/>
    <mergeCell ref="A352:A355"/>
    <mergeCell ref="A356:A359"/>
    <mergeCell ref="A360:A363"/>
    <mergeCell ref="A364:A368"/>
    <mergeCell ref="A369:A371"/>
    <mergeCell ref="A137:A140"/>
    <mergeCell ref="A141:A144"/>
    <mergeCell ref="B141:B144"/>
    <mergeCell ref="C141:C144"/>
    <mergeCell ref="A145:A148"/>
    <mergeCell ref="C145:C148"/>
    <mergeCell ref="A149:A152"/>
    <mergeCell ref="A153:A156"/>
    <mergeCell ref="A157:A160"/>
    <mergeCell ref="A163:A166"/>
    <mergeCell ref="A167:A170"/>
    <mergeCell ref="B167:B170"/>
    <mergeCell ref="A171:A174"/>
    <mergeCell ref="B171:B174"/>
    <mergeCell ref="A175:A178"/>
    <mergeCell ref="A179:A182"/>
    <mergeCell ref="B179:B182"/>
    <mergeCell ref="A183:A186"/>
    <mergeCell ref="A187:A190"/>
    <mergeCell ref="A191:A194"/>
    <mergeCell ref="A195:A198"/>
    <mergeCell ref="A199:A202"/>
    <mergeCell ref="A204:A207"/>
    <mergeCell ref="A208:A211"/>
    <mergeCell ref="B208:B211"/>
    <mergeCell ref="A212:A215"/>
    <mergeCell ref="A216:A219"/>
    <mergeCell ref="B216:B219"/>
    <mergeCell ref="A220:A223"/>
    <mergeCell ref="A224:A227"/>
    <mergeCell ref="B224:B227"/>
    <mergeCell ref="A228:A231"/>
    <mergeCell ref="A232:A235"/>
    <mergeCell ref="A236:A239"/>
    <mergeCell ref="A240:A243"/>
    <mergeCell ref="A244:A247"/>
    <mergeCell ref="B244:B247"/>
    <mergeCell ref="A248:A251"/>
    <mergeCell ref="A252:A255"/>
    <mergeCell ref="B252:B255"/>
    <mergeCell ref="A256:A259"/>
    <mergeCell ref="B256:B259"/>
    <mergeCell ref="A260:A263"/>
    <mergeCell ref="A264:A267"/>
    <mergeCell ref="A268:A271"/>
    <mergeCell ref="A272:A275"/>
    <mergeCell ref="A276:A279"/>
    <mergeCell ref="A280:A283"/>
    <mergeCell ref="A284:A287"/>
  </mergeCells>
  <conditionalFormatting sqref="K1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O1:P1">
    <cfRule type="containsText" dxfId="0" priority="2" operator="containsText" text="нет">
      <formula>NOT(ISERROR(SEARCH(("нет"),(O1))))</formula>
    </cfRule>
  </conditionalFormatting>
  <conditionalFormatting sqref="P1">
    <cfRule type="containsText" dxfId="1" priority="3" operator="containsText" text="да">
      <formula>NOT(ISERROR(SEARCH(("да"),(P1))))</formula>
    </cfRule>
  </conditionalFormatting>
  <dataValidations>
    <dataValidation type="list" allowBlank="1" showErrorMessage="1" sqref="O2:P13 O14 O15:P124 P125:P128 O129:P403">
      <formula1>"да,нет"</formula1>
    </dataValidation>
    <dataValidation type="list" allowBlank="1" showErrorMessage="1" sqref="E1:E403">
      <formula1>"Ижевск,Самара,Сургут/Нижневартовск,Тюмень"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Row="1"/>
  <cols>
    <col customWidth="1" min="1" max="1" width="48.29"/>
    <col customWidth="1" min="2" max="2" width="27.29"/>
    <col customWidth="1" min="3" max="3" width="9.86"/>
    <col customWidth="1" min="4" max="4" width="9.71"/>
    <col customWidth="1" min="5" max="5" width="8.43"/>
    <col customWidth="1" min="6" max="6" width="8.57"/>
    <col customWidth="1" min="7" max="7" width="8.71"/>
    <col customWidth="1" min="8" max="8" width="8.43"/>
    <col customWidth="1" min="9" max="9" width="28.57"/>
    <col customWidth="1" min="10" max="10" width="9.29"/>
    <col customWidth="1" min="11" max="11" width="10.14"/>
  </cols>
  <sheetData>
    <row r="1" ht="15.0" customHeight="1">
      <c r="A1" s="249" t="s">
        <v>463</v>
      </c>
      <c r="B1" s="249" t="s">
        <v>464</v>
      </c>
      <c r="C1" s="249" t="s">
        <v>96</v>
      </c>
      <c r="D1" s="250" t="s">
        <v>465</v>
      </c>
      <c r="E1" s="251" t="s">
        <v>99</v>
      </c>
      <c r="F1" s="252" t="s">
        <v>100</v>
      </c>
      <c r="G1" s="75" t="s">
        <v>466</v>
      </c>
      <c r="H1" s="75" t="s">
        <v>102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ht="15.0" customHeight="1">
      <c r="A2" s="253" t="s">
        <v>965</v>
      </c>
      <c r="B2" s="254"/>
      <c r="C2" s="254"/>
      <c r="D2" s="254"/>
      <c r="E2" s="254"/>
      <c r="F2" s="587">
        <f>AVERAGE(F3:F7)</f>
        <v>0.2593097639</v>
      </c>
      <c r="G2" s="53"/>
      <c r="H2" s="5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ht="15.0" customHeight="1">
      <c r="A3" s="588" t="s">
        <v>966</v>
      </c>
      <c r="B3" s="268"/>
      <c r="C3" s="265">
        <v>300.0</v>
      </c>
      <c r="D3" s="243">
        <v>219.0</v>
      </c>
      <c r="E3" s="275">
        <v>40.0</v>
      </c>
      <c r="F3" s="158">
        <f t="shared" ref="F3:F7" si="1">E3/D3</f>
        <v>0.1826484018</v>
      </c>
      <c r="G3" s="93">
        <f t="shared" ref="G3:G7" si="2">D3-E3</f>
        <v>179</v>
      </c>
      <c r="H3" s="158">
        <f t="shared" ref="H3:H7" si="3">D3/E3-1</f>
        <v>4.475</v>
      </c>
    </row>
    <row r="4" ht="15.0" customHeight="1">
      <c r="A4" s="589" t="s">
        <v>967</v>
      </c>
      <c r="B4" s="262"/>
      <c r="C4" s="258">
        <v>170.0</v>
      </c>
      <c r="D4" s="93">
        <v>299.0</v>
      </c>
      <c r="E4" s="162">
        <v>88.0</v>
      </c>
      <c r="F4" s="158">
        <f t="shared" si="1"/>
        <v>0.2943143813</v>
      </c>
      <c r="G4" s="93">
        <f t="shared" si="2"/>
        <v>211</v>
      </c>
      <c r="H4" s="158">
        <f t="shared" si="3"/>
        <v>2.397727273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ht="15.0" customHeight="1">
      <c r="A5" s="589" t="s">
        <v>968</v>
      </c>
      <c r="B5" s="262"/>
      <c r="C5" s="258">
        <v>150.0</v>
      </c>
      <c r="D5" s="93">
        <v>299.0</v>
      </c>
      <c r="E5" s="162">
        <v>83.0</v>
      </c>
      <c r="F5" s="158">
        <f t="shared" si="1"/>
        <v>0.2775919732</v>
      </c>
      <c r="G5" s="93">
        <f t="shared" si="2"/>
        <v>216</v>
      </c>
      <c r="H5" s="158">
        <f t="shared" si="3"/>
        <v>2.602409639</v>
      </c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ht="15.0" customHeight="1">
      <c r="A6" s="589" t="s">
        <v>969</v>
      </c>
      <c r="B6" s="262"/>
      <c r="C6" s="258">
        <v>130.0</v>
      </c>
      <c r="D6" s="93">
        <v>299.0</v>
      </c>
      <c r="E6" s="162">
        <v>78.0</v>
      </c>
      <c r="F6" s="158">
        <f t="shared" si="1"/>
        <v>0.2608695652</v>
      </c>
      <c r="G6" s="93">
        <f t="shared" si="2"/>
        <v>221</v>
      </c>
      <c r="H6" s="158">
        <f t="shared" si="3"/>
        <v>2.833333333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ht="32.25" customHeight="1">
      <c r="A7" s="589" t="s">
        <v>970</v>
      </c>
      <c r="B7" s="262"/>
      <c r="C7" s="258">
        <v>100.0</v>
      </c>
      <c r="D7" s="93">
        <v>249.0</v>
      </c>
      <c r="E7" s="162">
        <v>70.0</v>
      </c>
      <c r="F7" s="158">
        <f t="shared" si="1"/>
        <v>0.281124498</v>
      </c>
      <c r="G7" s="93">
        <f t="shared" si="2"/>
        <v>179</v>
      </c>
      <c r="H7" s="158">
        <f t="shared" si="3"/>
        <v>2.557142857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ht="15.0" customHeight="1">
      <c r="A8" s="590" t="s">
        <v>971</v>
      </c>
      <c r="B8" s="254"/>
      <c r="C8" s="254"/>
      <c r="D8" s="254"/>
      <c r="E8" s="254"/>
      <c r="F8" s="587">
        <f>AVERAGE(F9:F12)</f>
        <v>0.2405270981</v>
      </c>
      <c r="G8" s="106"/>
      <c r="H8" s="238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</row>
    <row r="9" ht="15.0" customHeight="1">
      <c r="A9" s="589" t="s">
        <v>972</v>
      </c>
      <c r="B9" s="262"/>
      <c r="C9" s="258">
        <v>160.0</v>
      </c>
      <c r="D9" s="93">
        <v>289.0</v>
      </c>
      <c r="E9" s="162">
        <v>65.0</v>
      </c>
      <c r="F9" s="158">
        <f t="shared" ref="F9:F12" si="4">E9/D9</f>
        <v>0.2249134948</v>
      </c>
      <c r="G9" s="93">
        <f t="shared" ref="G9:G12" si="5">D9-E9</f>
        <v>224</v>
      </c>
      <c r="H9" s="158">
        <f t="shared" ref="H9:H12" si="6">D9/E9-1</f>
        <v>3.446153846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ht="15.0" customHeight="1">
      <c r="A10" s="589" t="s">
        <v>973</v>
      </c>
      <c r="B10" s="262"/>
      <c r="C10" s="258">
        <v>80.0</v>
      </c>
      <c r="D10" s="93">
        <v>199.0</v>
      </c>
      <c r="E10" s="162">
        <v>40.0</v>
      </c>
      <c r="F10" s="158">
        <f t="shared" si="4"/>
        <v>0.2010050251</v>
      </c>
      <c r="G10" s="93">
        <f t="shared" si="5"/>
        <v>159</v>
      </c>
      <c r="H10" s="158">
        <f t="shared" si="6"/>
        <v>3.975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ht="15.0" customHeight="1">
      <c r="A11" s="589" t="s">
        <v>974</v>
      </c>
      <c r="B11" s="262"/>
      <c r="C11" s="258">
        <v>200.0</v>
      </c>
      <c r="D11" s="93">
        <v>399.0</v>
      </c>
      <c r="E11" s="162">
        <v>121.0</v>
      </c>
      <c r="F11" s="158">
        <f t="shared" si="4"/>
        <v>0.3032581454</v>
      </c>
      <c r="G11" s="93">
        <f t="shared" si="5"/>
        <v>278</v>
      </c>
      <c r="H11" s="158">
        <f t="shared" si="6"/>
        <v>2.297520661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ht="15.0" customHeight="1">
      <c r="A12" s="589" t="s">
        <v>975</v>
      </c>
      <c r="B12" s="262"/>
      <c r="C12" s="258">
        <v>110.0</v>
      </c>
      <c r="D12" s="93">
        <v>249.0</v>
      </c>
      <c r="E12" s="162">
        <v>58.0</v>
      </c>
      <c r="F12" s="247">
        <f t="shared" si="4"/>
        <v>0.2329317269</v>
      </c>
      <c r="G12" s="243">
        <f t="shared" si="5"/>
        <v>191</v>
      </c>
      <c r="H12" s="247">
        <f t="shared" si="6"/>
        <v>3.293103448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</row>
    <row r="13" ht="15.0" customHeight="1">
      <c r="A13" s="253" t="s">
        <v>976</v>
      </c>
      <c r="B13" s="254"/>
      <c r="C13" s="254"/>
      <c r="D13" s="254"/>
      <c r="E13" s="254"/>
      <c r="F13" s="255">
        <f>AVERAGE(F14:F16)</f>
        <v>0.2209841874</v>
      </c>
      <c r="G13" s="106"/>
      <c r="H13" s="238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</row>
    <row r="14" ht="15.0" customHeight="1">
      <c r="A14" s="589" t="s">
        <v>977</v>
      </c>
      <c r="B14" s="262"/>
      <c r="C14" s="258">
        <v>370.0</v>
      </c>
      <c r="D14" s="93">
        <v>399.0</v>
      </c>
      <c r="E14" s="162">
        <v>107.0</v>
      </c>
      <c r="F14" s="158">
        <f t="shared" ref="F14:F16" si="7">E14/D14</f>
        <v>0.2681704261</v>
      </c>
      <c r="G14" s="93">
        <f t="shared" ref="G14:G16" si="8">D14-E14</f>
        <v>292</v>
      </c>
      <c r="H14" s="158">
        <f t="shared" ref="H14:H16" si="9">D14/E14-1</f>
        <v>2.728971963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ht="15.0" customHeight="1">
      <c r="A15" s="589" t="s">
        <v>409</v>
      </c>
      <c r="B15" s="262" t="s">
        <v>978</v>
      </c>
      <c r="C15" s="258">
        <v>300.0</v>
      </c>
      <c r="D15" s="93">
        <v>249.0</v>
      </c>
      <c r="E15" s="162">
        <v>49.0</v>
      </c>
      <c r="F15" s="158">
        <f t="shared" si="7"/>
        <v>0.1967871486</v>
      </c>
      <c r="G15" s="93">
        <f t="shared" si="8"/>
        <v>200</v>
      </c>
      <c r="H15" s="158">
        <f t="shared" si="9"/>
        <v>4.081632653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ht="15.0" customHeight="1">
      <c r="A16" s="589" t="s">
        <v>979</v>
      </c>
      <c r="B16" s="262"/>
      <c r="C16" s="258">
        <v>350.0</v>
      </c>
      <c r="D16" s="93">
        <v>399.0</v>
      </c>
      <c r="E16" s="162">
        <v>79.0</v>
      </c>
      <c r="F16" s="158">
        <f t="shared" si="7"/>
        <v>0.1979949875</v>
      </c>
      <c r="G16" s="93">
        <f t="shared" si="8"/>
        <v>320</v>
      </c>
      <c r="H16" s="158">
        <f t="shared" si="9"/>
        <v>4.050632911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ht="15.0" customHeight="1">
      <c r="A17" s="253" t="s">
        <v>480</v>
      </c>
      <c r="B17" s="254"/>
      <c r="C17" s="254"/>
      <c r="D17" s="254"/>
      <c r="E17" s="254"/>
      <c r="F17" s="591">
        <f>AVERAGE(F18:F22)</f>
        <v>0.2697811543</v>
      </c>
      <c r="G17" s="106"/>
      <c r="H17" s="238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</row>
    <row r="18" ht="15.0" customHeight="1">
      <c r="A18" s="589" t="s">
        <v>270</v>
      </c>
      <c r="B18" s="262"/>
      <c r="C18" s="258">
        <v>320.0</v>
      </c>
      <c r="D18" s="93">
        <v>659.0</v>
      </c>
      <c r="E18" s="162">
        <v>217.0</v>
      </c>
      <c r="F18" s="158">
        <f t="shared" ref="F18:F22" si="10">E18/D18</f>
        <v>0.3292867982</v>
      </c>
      <c r="G18" s="93">
        <f t="shared" ref="G18:G22" si="11">D18-E18</f>
        <v>442</v>
      </c>
      <c r="H18" s="158">
        <f t="shared" ref="H18:H22" si="12">D18/E18-1</f>
        <v>2.036866359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ht="15.0" customHeight="1">
      <c r="A19" s="589" t="s">
        <v>980</v>
      </c>
      <c r="B19" s="262"/>
      <c r="C19" s="258">
        <v>200.0</v>
      </c>
      <c r="D19" s="93">
        <v>299.0</v>
      </c>
      <c r="E19" s="162">
        <v>62.0</v>
      </c>
      <c r="F19" s="158">
        <f t="shared" si="10"/>
        <v>0.2073578595</v>
      </c>
      <c r="G19" s="93">
        <f t="shared" si="11"/>
        <v>237</v>
      </c>
      <c r="H19" s="158">
        <f t="shared" si="12"/>
        <v>3.822580645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ht="15.0" customHeight="1">
      <c r="A20" s="592" t="s">
        <v>981</v>
      </c>
      <c r="B20" s="262"/>
      <c r="C20" s="258">
        <v>250.0</v>
      </c>
      <c r="D20" s="93">
        <v>399.0</v>
      </c>
      <c r="E20" s="162">
        <v>109.0</v>
      </c>
      <c r="F20" s="158">
        <f t="shared" si="10"/>
        <v>0.2731829574</v>
      </c>
      <c r="G20" s="93">
        <f t="shared" si="11"/>
        <v>290</v>
      </c>
      <c r="H20" s="158">
        <f t="shared" si="12"/>
        <v>2.660550459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ht="15.0" customHeight="1">
      <c r="A21" s="589" t="s">
        <v>982</v>
      </c>
      <c r="B21" s="262"/>
      <c r="C21" s="258">
        <v>200.0</v>
      </c>
      <c r="D21" s="93">
        <v>499.0</v>
      </c>
      <c r="E21" s="162">
        <v>129.0</v>
      </c>
      <c r="F21" s="158">
        <f t="shared" si="10"/>
        <v>0.2585170341</v>
      </c>
      <c r="G21" s="93">
        <f t="shared" si="11"/>
        <v>370</v>
      </c>
      <c r="H21" s="158">
        <f t="shared" si="12"/>
        <v>2.868217054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ht="15.0" customHeight="1">
      <c r="A22" s="589" t="s">
        <v>983</v>
      </c>
      <c r="B22" s="262"/>
      <c r="C22" s="258">
        <v>300.0</v>
      </c>
      <c r="D22" s="93">
        <v>499.0</v>
      </c>
      <c r="E22" s="162">
        <v>140.0</v>
      </c>
      <c r="F22" s="158">
        <f t="shared" si="10"/>
        <v>0.2805611222</v>
      </c>
      <c r="G22" s="93">
        <f t="shared" si="11"/>
        <v>359</v>
      </c>
      <c r="H22" s="158">
        <f t="shared" si="12"/>
        <v>2.564285714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ht="15.0" customHeight="1">
      <c r="A23" s="253" t="s">
        <v>984</v>
      </c>
      <c r="B23" s="254"/>
      <c r="C23" s="254"/>
      <c r="D23" s="254"/>
      <c r="E23" s="254"/>
      <c r="F23" s="591"/>
      <c r="G23" s="106"/>
      <c r="H23" s="238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</row>
    <row r="24" ht="15.0" customHeight="1">
      <c r="A24" s="593" t="s">
        <v>985</v>
      </c>
      <c r="B24" s="87"/>
      <c r="C24" s="258" t="s">
        <v>986</v>
      </c>
      <c r="D24" s="93">
        <v>79.0</v>
      </c>
      <c r="E24" s="162">
        <v>12.0</v>
      </c>
      <c r="F24" s="238">
        <f t="shared" ref="F24:F32" si="13">E24/D24</f>
        <v>0.1518987342</v>
      </c>
      <c r="G24" s="243">
        <f t="shared" ref="G24:G32" si="14">D24-E24</f>
        <v>67</v>
      </c>
      <c r="H24" s="247">
        <f t="shared" ref="H24:H32" si="15">D24/E24-1</f>
        <v>5.583333333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</row>
    <row r="25" ht="15.0" customHeight="1">
      <c r="A25" s="593" t="s">
        <v>987</v>
      </c>
      <c r="B25" s="87"/>
      <c r="C25" s="258">
        <v>30.0</v>
      </c>
      <c r="D25" s="93">
        <v>69.0</v>
      </c>
      <c r="E25" s="162">
        <v>15.7</v>
      </c>
      <c r="F25" s="238">
        <f t="shared" si="13"/>
        <v>0.2275362319</v>
      </c>
      <c r="G25" s="243">
        <f t="shared" si="14"/>
        <v>53.3</v>
      </c>
      <c r="H25" s="247">
        <f t="shared" si="15"/>
        <v>3.394904459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</row>
    <row r="26" ht="15.0" customHeight="1">
      <c r="A26" s="593" t="s">
        <v>988</v>
      </c>
      <c r="B26" s="87"/>
      <c r="C26" s="258">
        <v>30.0</v>
      </c>
      <c r="D26" s="93">
        <v>69.0</v>
      </c>
      <c r="E26" s="162">
        <v>7.0</v>
      </c>
      <c r="F26" s="238">
        <f t="shared" si="13"/>
        <v>0.1014492754</v>
      </c>
      <c r="G26" s="243">
        <f t="shared" si="14"/>
        <v>62</v>
      </c>
      <c r="H26" s="247">
        <f t="shared" si="15"/>
        <v>8.857142857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ht="15.0" customHeight="1">
      <c r="A27" s="593" t="s">
        <v>989</v>
      </c>
      <c r="B27" s="87"/>
      <c r="C27" s="258">
        <v>30.0</v>
      </c>
      <c r="D27" s="93">
        <v>89.0</v>
      </c>
      <c r="E27" s="162">
        <v>17.99</v>
      </c>
      <c r="F27" s="238">
        <f t="shared" si="13"/>
        <v>0.2021348315</v>
      </c>
      <c r="G27" s="243">
        <f t="shared" si="14"/>
        <v>71.01</v>
      </c>
      <c r="H27" s="247">
        <f t="shared" si="15"/>
        <v>3.947192885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</row>
    <row r="28" ht="15.0" customHeight="1">
      <c r="A28" s="593" t="s">
        <v>384</v>
      </c>
      <c r="B28" s="87"/>
      <c r="C28" s="258">
        <v>30.0</v>
      </c>
      <c r="D28" s="93">
        <v>79.0</v>
      </c>
      <c r="E28" s="162">
        <v>13.66</v>
      </c>
      <c r="F28" s="238">
        <f t="shared" si="13"/>
        <v>0.1729113924</v>
      </c>
      <c r="G28" s="243">
        <f t="shared" si="14"/>
        <v>65.34</v>
      </c>
      <c r="H28" s="247">
        <f t="shared" si="15"/>
        <v>4.783308931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</row>
    <row r="29" ht="15.0" customHeight="1">
      <c r="A29" s="593" t="s">
        <v>385</v>
      </c>
      <c r="B29" s="87"/>
      <c r="C29" s="258">
        <v>30.0</v>
      </c>
      <c r="D29" s="93">
        <v>79.0</v>
      </c>
      <c r="E29" s="162">
        <v>12.95</v>
      </c>
      <c r="F29" s="238">
        <f t="shared" si="13"/>
        <v>0.1639240506</v>
      </c>
      <c r="G29" s="243">
        <f t="shared" si="14"/>
        <v>66.05</v>
      </c>
      <c r="H29" s="247">
        <f t="shared" si="15"/>
        <v>5.1003861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</row>
    <row r="30" ht="15.0" customHeight="1">
      <c r="A30" s="593" t="s">
        <v>383</v>
      </c>
      <c r="B30" s="87"/>
      <c r="C30" s="258">
        <v>30.0</v>
      </c>
      <c r="D30" s="93">
        <v>89.0</v>
      </c>
      <c r="E30" s="162">
        <v>20.21</v>
      </c>
      <c r="F30" s="238">
        <f t="shared" si="13"/>
        <v>0.2270786517</v>
      </c>
      <c r="G30" s="243">
        <f t="shared" si="14"/>
        <v>68.79</v>
      </c>
      <c r="H30" s="247">
        <f t="shared" si="15"/>
        <v>3.403760515</v>
      </c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</row>
    <row r="31" ht="15.0" customHeight="1">
      <c r="A31" s="593" t="s">
        <v>990</v>
      </c>
      <c r="B31" s="87"/>
      <c r="C31" s="258">
        <v>80.0</v>
      </c>
      <c r="D31" s="93">
        <v>49.0</v>
      </c>
      <c r="E31" s="162">
        <v>4.88</v>
      </c>
      <c r="F31" s="238">
        <f t="shared" si="13"/>
        <v>0.09959183673</v>
      </c>
      <c r="G31" s="243">
        <f t="shared" si="14"/>
        <v>44.12</v>
      </c>
      <c r="H31" s="247">
        <f t="shared" si="15"/>
        <v>9.040983607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</row>
    <row r="32" ht="15.0" customHeight="1">
      <c r="A32" s="593" t="s">
        <v>991</v>
      </c>
      <c r="B32" s="87"/>
      <c r="C32" s="258">
        <v>120.0</v>
      </c>
      <c r="D32" s="93">
        <v>129.0</v>
      </c>
      <c r="E32" s="162">
        <v>32.2</v>
      </c>
      <c r="F32" s="238">
        <f t="shared" si="13"/>
        <v>0.2496124031</v>
      </c>
      <c r="G32" s="243">
        <f t="shared" si="14"/>
        <v>96.8</v>
      </c>
      <c r="H32" s="247">
        <f t="shared" si="15"/>
        <v>3.00621118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</row>
    <row r="33" ht="15.0" customHeight="1">
      <c r="A33" s="253" t="s">
        <v>992</v>
      </c>
      <c r="B33" s="254"/>
      <c r="C33" s="254"/>
      <c r="D33" s="254"/>
      <c r="E33" s="254"/>
      <c r="F33" s="591"/>
      <c r="G33" s="106"/>
      <c r="H33" s="238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</row>
    <row r="34" ht="15.75" customHeight="1">
      <c r="A34" s="594" t="s">
        <v>555</v>
      </c>
      <c r="B34" s="595"/>
      <c r="C34" s="596"/>
      <c r="D34" s="341"/>
      <c r="E34" s="345"/>
      <c r="F34" s="332"/>
      <c r="G34" s="319"/>
      <c r="H34" s="332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</row>
    <row r="35" ht="15.75" customHeight="1">
      <c r="A35" s="595" t="s">
        <v>560</v>
      </c>
      <c r="B35" s="595" t="s">
        <v>993</v>
      </c>
      <c r="C35" s="596">
        <v>180.0</v>
      </c>
      <c r="D35" s="597">
        <v>139.0</v>
      </c>
      <c r="E35" s="345">
        <v>18.69</v>
      </c>
      <c r="F35" s="467">
        <f t="shared" ref="F35:F46" si="16">E35/D35</f>
        <v>0.1344604317</v>
      </c>
      <c r="G35" s="315">
        <f t="shared" ref="G35:G42" si="17">D35-E35</f>
        <v>120.31</v>
      </c>
      <c r="H35" s="316">
        <f t="shared" ref="H35:H42" si="18">D35/E35-1</f>
        <v>6.437132156</v>
      </c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</row>
    <row r="36" ht="15.75" customHeight="1">
      <c r="A36" s="595" t="s">
        <v>562</v>
      </c>
      <c r="B36" s="595" t="s">
        <v>994</v>
      </c>
      <c r="C36" s="596">
        <v>340.0</v>
      </c>
      <c r="D36" s="597">
        <v>199.0</v>
      </c>
      <c r="E36" s="345">
        <v>26.12</v>
      </c>
      <c r="F36" s="598">
        <f t="shared" si="16"/>
        <v>0.1312562814</v>
      </c>
      <c r="G36" s="315">
        <f t="shared" si="17"/>
        <v>172.88</v>
      </c>
      <c r="H36" s="316">
        <f t="shared" si="18"/>
        <v>6.618683002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</row>
    <row r="37" ht="15.75" customHeight="1">
      <c r="A37" s="595" t="s">
        <v>563</v>
      </c>
      <c r="B37" s="595" t="s">
        <v>995</v>
      </c>
      <c r="C37" s="596">
        <v>200.0</v>
      </c>
      <c r="D37" s="597">
        <v>199.0</v>
      </c>
      <c r="E37" s="345">
        <v>34.76</v>
      </c>
      <c r="F37" s="599">
        <f t="shared" si="16"/>
        <v>0.1746733668</v>
      </c>
      <c r="G37" s="315">
        <f t="shared" si="17"/>
        <v>164.24</v>
      </c>
      <c r="H37" s="316">
        <f t="shared" si="18"/>
        <v>4.724971231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</row>
    <row r="38" ht="15.75" customHeight="1">
      <c r="A38" s="595" t="s">
        <v>566</v>
      </c>
      <c r="B38" s="595" t="s">
        <v>996</v>
      </c>
      <c r="C38" s="596">
        <v>340.0</v>
      </c>
      <c r="D38" s="597">
        <v>299.0</v>
      </c>
      <c r="E38" s="345">
        <v>48.99</v>
      </c>
      <c r="F38" s="466">
        <f t="shared" si="16"/>
        <v>0.1638461538</v>
      </c>
      <c r="G38" s="315">
        <f t="shared" si="17"/>
        <v>250.01</v>
      </c>
      <c r="H38" s="316">
        <f t="shared" si="18"/>
        <v>5.103286385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</row>
    <row r="39" ht="15.75" customHeight="1">
      <c r="A39" s="595" t="s">
        <v>568</v>
      </c>
      <c r="B39" s="595" t="s">
        <v>995</v>
      </c>
      <c r="C39" s="596">
        <v>200.0</v>
      </c>
      <c r="D39" s="597">
        <v>199.0</v>
      </c>
      <c r="E39" s="345">
        <v>34.56</v>
      </c>
      <c r="F39" s="509">
        <f t="shared" si="16"/>
        <v>0.1736683417</v>
      </c>
      <c r="G39" s="315">
        <f t="shared" si="17"/>
        <v>164.44</v>
      </c>
      <c r="H39" s="316">
        <f t="shared" si="18"/>
        <v>4.758101852</v>
      </c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</row>
    <row r="40" ht="15.75" customHeight="1">
      <c r="A40" s="595" t="s">
        <v>570</v>
      </c>
      <c r="B40" s="595" t="s">
        <v>996</v>
      </c>
      <c r="C40" s="596">
        <v>400.0</v>
      </c>
      <c r="D40" s="597">
        <v>299.0</v>
      </c>
      <c r="E40" s="345">
        <v>46.56</v>
      </c>
      <c r="F40" s="600">
        <f t="shared" si="16"/>
        <v>0.1557190635</v>
      </c>
      <c r="G40" s="315">
        <f t="shared" si="17"/>
        <v>252.44</v>
      </c>
      <c r="H40" s="316">
        <f t="shared" si="18"/>
        <v>5.421821306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</row>
    <row r="41" ht="15.75" customHeight="1">
      <c r="A41" s="595" t="s">
        <v>571</v>
      </c>
      <c r="B41" s="595" t="s">
        <v>997</v>
      </c>
      <c r="C41" s="596">
        <v>200.0</v>
      </c>
      <c r="D41" s="597">
        <v>239.0</v>
      </c>
      <c r="E41" s="345">
        <v>47.56</v>
      </c>
      <c r="F41" s="601">
        <f t="shared" si="16"/>
        <v>0.1989958159</v>
      </c>
      <c r="G41" s="315">
        <f t="shared" si="17"/>
        <v>191.44</v>
      </c>
      <c r="H41" s="316">
        <f t="shared" si="18"/>
        <v>4.025231287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  <row r="42" ht="15.75" customHeight="1">
      <c r="A42" s="595" t="s">
        <v>573</v>
      </c>
      <c r="B42" s="595" t="s">
        <v>998</v>
      </c>
      <c r="C42" s="596">
        <v>400.0</v>
      </c>
      <c r="D42" s="576">
        <v>349.0</v>
      </c>
      <c r="E42" s="345">
        <v>82.6</v>
      </c>
      <c r="F42" s="516">
        <f t="shared" si="16"/>
        <v>0.2366762178</v>
      </c>
      <c r="G42" s="315">
        <f t="shared" si="17"/>
        <v>266.4</v>
      </c>
      <c r="H42" s="316">
        <f t="shared" si="18"/>
        <v>3.225181598</v>
      </c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 ht="15.75" customHeight="1" outlineLevel="1">
      <c r="A43" s="595" t="s">
        <v>578</v>
      </c>
      <c r="B43" s="595" t="s">
        <v>999</v>
      </c>
      <c r="C43" s="602">
        <v>250.0</v>
      </c>
      <c r="D43" s="597">
        <v>299.0</v>
      </c>
      <c r="E43" s="603">
        <v>52.91</v>
      </c>
      <c r="F43" s="604">
        <f t="shared" si="16"/>
        <v>0.1769565217</v>
      </c>
      <c r="G43" s="300">
        <f t="shared" ref="G43:G46" si="19">P43-E43</f>
        <v>226.09</v>
      </c>
      <c r="H43" s="413">
        <f t="shared" ref="H43:H46" si="20">P43/E43-1</f>
        <v>4.273105273</v>
      </c>
      <c r="M43" s="331"/>
      <c r="N43" s="318" t="s">
        <v>112</v>
      </c>
      <c r="O43" s="318" t="s">
        <v>112</v>
      </c>
      <c r="P43" s="300">
        <v>279.0</v>
      </c>
      <c r="Q43" s="301">
        <v>299.0</v>
      </c>
      <c r="R43" s="605"/>
      <c r="S43" s="605"/>
      <c r="T43" s="605"/>
      <c r="U43" s="605"/>
      <c r="V43" s="605"/>
      <c r="W43" s="605"/>
      <c r="X43" s="605"/>
      <c r="Y43" s="605"/>
      <c r="Z43" s="605"/>
      <c r="AA43" s="605"/>
      <c r="AB43" s="605"/>
      <c r="AC43" s="605"/>
      <c r="AD43" s="605"/>
    </row>
    <row r="44" ht="15.75" customHeight="1" outlineLevel="1">
      <c r="A44" s="595" t="s">
        <v>579</v>
      </c>
      <c r="B44" s="595" t="s">
        <v>1000</v>
      </c>
      <c r="C44" s="602">
        <v>340.0</v>
      </c>
      <c r="D44" s="597">
        <v>399.0</v>
      </c>
      <c r="E44" s="603">
        <v>79.86</v>
      </c>
      <c r="F44" s="604">
        <f t="shared" si="16"/>
        <v>0.2001503759</v>
      </c>
      <c r="G44" s="300">
        <f t="shared" si="19"/>
        <v>299.14</v>
      </c>
      <c r="H44" s="413">
        <f t="shared" si="20"/>
        <v>3.745805159</v>
      </c>
      <c r="M44" s="331"/>
      <c r="N44" s="318" t="s">
        <v>112</v>
      </c>
      <c r="O44" s="318" t="s">
        <v>112</v>
      </c>
      <c r="P44" s="300">
        <v>379.0</v>
      </c>
      <c r="Q44" s="301">
        <v>399.0</v>
      </c>
      <c r="R44" s="605"/>
      <c r="S44" s="605"/>
      <c r="T44" s="605"/>
      <c r="U44" s="605"/>
      <c r="V44" s="605"/>
      <c r="W44" s="605"/>
      <c r="X44" s="605"/>
      <c r="Y44" s="605"/>
      <c r="Z44" s="605"/>
      <c r="AA44" s="605"/>
      <c r="AB44" s="605"/>
      <c r="AC44" s="605"/>
      <c r="AD44" s="605"/>
    </row>
    <row r="45" ht="15.75" customHeight="1" outlineLevel="1">
      <c r="A45" s="595" t="s">
        <v>580</v>
      </c>
      <c r="B45" s="595" t="s">
        <v>1001</v>
      </c>
      <c r="C45" s="602">
        <v>200.0</v>
      </c>
      <c r="D45" s="597">
        <v>299.0</v>
      </c>
      <c r="E45" s="603">
        <v>53.16</v>
      </c>
      <c r="F45" s="604">
        <f t="shared" si="16"/>
        <v>0.1777926421</v>
      </c>
      <c r="G45" s="300">
        <f t="shared" si="19"/>
        <v>225.84</v>
      </c>
      <c r="H45" s="413">
        <f t="shared" si="20"/>
        <v>4.248306998</v>
      </c>
      <c r="M45" s="331"/>
      <c r="N45" s="318" t="s">
        <v>112</v>
      </c>
      <c r="O45" s="318" t="s">
        <v>112</v>
      </c>
      <c r="P45" s="300">
        <v>279.0</v>
      </c>
      <c r="Q45" s="301">
        <v>299.0</v>
      </c>
      <c r="R45" s="605"/>
      <c r="S45" s="605"/>
      <c r="T45" s="605"/>
      <c r="U45" s="605"/>
      <c r="V45" s="605"/>
      <c r="W45" s="605"/>
      <c r="X45" s="605"/>
      <c r="Y45" s="605"/>
      <c r="Z45" s="605"/>
      <c r="AA45" s="605"/>
      <c r="AB45" s="605"/>
      <c r="AC45" s="605"/>
      <c r="AD45" s="605"/>
    </row>
    <row r="46" ht="15.75" customHeight="1" outlineLevel="1">
      <c r="A46" s="595" t="s">
        <v>581</v>
      </c>
      <c r="B46" s="595" t="s">
        <v>1000</v>
      </c>
      <c r="C46" s="602">
        <v>400.0</v>
      </c>
      <c r="D46" s="597">
        <v>399.0</v>
      </c>
      <c r="E46" s="603">
        <v>79.45</v>
      </c>
      <c r="F46" s="604">
        <f t="shared" si="16"/>
        <v>0.199122807</v>
      </c>
      <c r="G46" s="300">
        <f t="shared" si="19"/>
        <v>299.55</v>
      </c>
      <c r="H46" s="413">
        <f t="shared" si="20"/>
        <v>3.770295784</v>
      </c>
      <c r="M46" s="331"/>
      <c r="N46" s="318" t="s">
        <v>112</v>
      </c>
      <c r="O46" s="318" t="s">
        <v>112</v>
      </c>
      <c r="P46" s="300">
        <v>379.0</v>
      </c>
      <c r="Q46" s="301">
        <v>399.0</v>
      </c>
      <c r="R46" s="605"/>
      <c r="S46" s="605"/>
      <c r="T46" s="605"/>
      <c r="U46" s="605"/>
      <c r="V46" s="605"/>
      <c r="W46" s="605"/>
      <c r="X46" s="605"/>
      <c r="Y46" s="605"/>
      <c r="Z46" s="605"/>
      <c r="AA46" s="605"/>
      <c r="AB46" s="605"/>
      <c r="AC46" s="605"/>
      <c r="AD46" s="605"/>
    </row>
    <row r="47" ht="15.75" customHeight="1">
      <c r="A47" s="594" t="s">
        <v>1002</v>
      </c>
      <c r="B47" s="606"/>
      <c r="C47" s="596"/>
      <c r="D47" s="334"/>
      <c r="E47" s="345"/>
      <c r="F47" s="332"/>
      <c r="G47" s="319"/>
      <c r="H47" s="332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</row>
    <row r="48" ht="15.75" customHeight="1">
      <c r="A48" s="606" t="s">
        <v>1003</v>
      </c>
      <c r="B48" s="606" t="s">
        <v>1004</v>
      </c>
      <c r="C48" s="607">
        <v>700.0</v>
      </c>
      <c r="D48" s="576">
        <v>199.0</v>
      </c>
      <c r="E48" s="608">
        <v>24.63</v>
      </c>
      <c r="F48" s="314">
        <f t="shared" ref="F48:F51" si="21">E48/D48</f>
        <v>0.1237688442</v>
      </c>
      <c r="G48" s="315">
        <f t="shared" ref="G48:G51" si="22">D48-E48</f>
        <v>174.37</v>
      </c>
      <c r="H48" s="316">
        <f t="shared" ref="H48:H51" si="23">D48/E48-1</f>
        <v>7.079577751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ht="15.75" customHeight="1">
      <c r="A49" s="606" t="s">
        <v>1005</v>
      </c>
      <c r="B49" s="606" t="s">
        <v>1004</v>
      </c>
      <c r="C49" s="607">
        <v>700.0</v>
      </c>
      <c r="D49" s="576">
        <v>199.0</v>
      </c>
      <c r="E49" s="608">
        <v>24.63</v>
      </c>
      <c r="F49" s="314">
        <f t="shared" si="21"/>
        <v>0.1237688442</v>
      </c>
      <c r="G49" s="315">
        <f t="shared" si="22"/>
        <v>174.37</v>
      </c>
      <c r="H49" s="316">
        <f t="shared" si="23"/>
        <v>7.079577751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</row>
    <row r="50" ht="15.75" customHeight="1">
      <c r="A50" s="595" t="s">
        <v>623</v>
      </c>
      <c r="B50" s="595"/>
      <c r="C50" s="596">
        <v>200.0</v>
      </c>
      <c r="D50" s="597">
        <v>79.0</v>
      </c>
      <c r="E50" s="345">
        <v>15.59</v>
      </c>
      <c r="F50" s="609">
        <f t="shared" si="21"/>
        <v>0.1973417722</v>
      </c>
      <c r="G50" s="411">
        <f t="shared" si="22"/>
        <v>63.41</v>
      </c>
      <c r="H50" s="316">
        <f t="shared" si="23"/>
        <v>4.067350866</v>
      </c>
      <c r="I50" s="331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ht="15.75" customHeight="1">
      <c r="A51" s="595" t="s">
        <v>623</v>
      </c>
      <c r="B51" s="595"/>
      <c r="C51" s="596">
        <v>1000.0</v>
      </c>
      <c r="D51" s="597">
        <v>299.0</v>
      </c>
      <c r="E51" s="345">
        <v>63.0</v>
      </c>
      <c r="F51" s="610">
        <f t="shared" si="21"/>
        <v>0.2107023411</v>
      </c>
      <c r="G51" s="411">
        <f t="shared" si="22"/>
        <v>236</v>
      </c>
      <c r="H51" s="316">
        <f t="shared" si="23"/>
        <v>3.746031746</v>
      </c>
      <c r="I51" s="331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</row>
    <row r="52" ht="15.75" customHeight="1">
      <c r="A52" s="594" t="s">
        <v>1006</v>
      </c>
      <c r="B52" s="595"/>
      <c r="C52" s="602"/>
      <c r="D52" s="597"/>
      <c r="E52" s="603"/>
      <c r="F52" s="332"/>
      <c r="G52" s="319"/>
      <c r="H52" s="332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</row>
    <row r="53" ht="15.75" customHeight="1">
      <c r="A53" s="595" t="s">
        <v>591</v>
      </c>
      <c r="B53" s="595"/>
      <c r="C53" s="602">
        <v>700.0</v>
      </c>
      <c r="D53" s="597">
        <v>299.0</v>
      </c>
      <c r="E53" s="603">
        <v>41.0</v>
      </c>
      <c r="F53" s="332">
        <f t="shared" ref="F53:F55" si="24">E53/D53</f>
        <v>0.1371237458</v>
      </c>
      <c r="G53" s="319">
        <f>O53-E53</f>
        <v>-41</v>
      </c>
      <c r="H53" s="332">
        <f>O53/E53-1</f>
        <v>-1</v>
      </c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</row>
    <row r="54" ht="15.75" customHeight="1">
      <c r="A54" s="595" t="s">
        <v>1007</v>
      </c>
      <c r="B54" s="595"/>
      <c r="C54" s="602">
        <v>700.0</v>
      </c>
      <c r="D54" s="597">
        <v>299.0</v>
      </c>
      <c r="E54" s="603">
        <v>45.0</v>
      </c>
      <c r="F54" s="451">
        <f t="shared" si="24"/>
        <v>0.1505016722</v>
      </c>
      <c r="G54" s="319">
        <f t="shared" ref="G54:G55" si="25">P54-E54</f>
        <v>304</v>
      </c>
      <c r="H54" s="332">
        <f t="shared" ref="H54:H55" si="26">P54/E54-1</f>
        <v>6.755555556</v>
      </c>
      <c r="M54" s="442"/>
      <c r="N54" s="318" t="s">
        <v>112</v>
      </c>
      <c r="O54" s="318" t="s">
        <v>112</v>
      </c>
      <c r="P54" s="300">
        <v>349.0</v>
      </c>
      <c r="Q54" s="301">
        <v>359.0</v>
      </c>
      <c r="R54" s="491"/>
      <c r="S54" s="491"/>
      <c r="T54" s="491"/>
      <c r="U54" s="491"/>
      <c r="V54" s="491"/>
      <c r="W54" s="491"/>
      <c r="X54" s="491"/>
      <c r="Y54" s="491"/>
      <c r="Z54" s="491"/>
      <c r="AA54" s="491"/>
      <c r="AB54" s="491"/>
      <c r="AC54" s="491"/>
      <c r="AD54" s="491"/>
    </row>
    <row r="55" ht="15.75" customHeight="1">
      <c r="A55" s="595" t="s">
        <v>597</v>
      </c>
      <c r="B55" s="491"/>
      <c r="C55" s="596">
        <v>700.0</v>
      </c>
      <c r="D55" s="576">
        <v>299.0</v>
      </c>
      <c r="E55" s="345">
        <v>49.0</v>
      </c>
      <c r="F55" s="467">
        <f t="shared" si="24"/>
        <v>0.1638795987</v>
      </c>
      <c r="G55" s="319">
        <f t="shared" si="25"/>
        <v>-49</v>
      </c>
      <c r="H55" s="332">
        <f t="shared" si="26"/>
        <v>-1</v>
      </c>
      <c r="M55" s="442"/>
      <c r="N55" s="491"/>
      <c r="O55" s="491"/>
      <c r="P55" s="442"/>
      <c r="Q55" s="311">
        <v>359.0</v>
      </c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</row>
    <row r="56" ht="14.25" customHeight="1" outlineLevel="1">
      <c r="A56" s="288" t="s">
        <v>635</v>
      </c>
      <c r="B56" s="595"/>
      <c r="C56" s="339"/>
      <c r="D56" s="341"/>
      <c r="E56" s="335"/>
      <c r="F56" s="332"/>
      <c r="G56" s="319"/>
      <c r="H56" s="332"/>
      <c r="O56" s="331"/>
      <c r="P56" s="343"/>
      <c r="Q56" s="318"/>
      <c r="R56" s="300"/>
      <c r="S56" s="301"/>
      <c r="T56" s="57"/>
      <c r="U56" s="57"/>
    </row>
    <row r="57" ht="14.25" customHeight="1" outlineLevel="1">
      <c r="A57" s="327" t="s">
        <v>640</v>
      </c>
      <c r="B57" s="595" t="s">
        <v>160</v>
      </c>
      <c r="C57" s="339">
        <v>500.0</v>
      </c>
      <c r="D57" s="301">
        <v>129.0</v>
      </c>
      <c r="E57" s="313">
        <v>26.0</v>
      </c>
      <c r="F57" s="314">
        <f t="shared" ref="F57:F60" si="27">E57/D57</f>
        <v>0.2015503876</v>
      </c>
      <c r="G57" s="315">
        <f t="shared" ref="G57:G60" si="28">R57-E57</f>
        <v>-26</v>
      </c>
      <c r="H57" s="316">
        <f t="shared" ref="H57:H60" si="29">R57/E57-1</f>
        <v>-1</v>
      </c>
      <c r="O57" s="331"/>
      <c r="P57" s="343"/>
      <c r="Q57" s="318"/>
      <c r="R57" s="300"/>
      <c r="S57" s="301"/>
      <c r="T57" s="57"/>
      <c r="U57" s="57"/>
    </row>
    <row r="58" ht="14.25" customHeight="1" outlineLevel="1">
      <c r="B58" s="595" t="s">
        <v>1008</v>
      </c>
      <c r="C58" s="339">
        <v>500.0</v>
      </c>
      <c r="D58" s="301">
        <v>129.0</v>
      </c>
      <c r="E58" s="313">
        <v>26.0</v>
      </c>
      <c r="F58" s="314">
        <f t="shared" si="27"/>
        <v>0.2015503876</v>
      </c>
      <c r="G58" s="315">
        <f t="shared" si="28"/>
        <v>-26</v>
      </c>
      <c r="H58" s="316">
        <f t="shared" si="29"/>
        <v>-1</v>
      </c>
      <c r="O58" s="331"/>
      <c r="P58" s="343"/>
      <c r="Q58" s="318"/>
      <c r="R58" s="300"/>
      <c r="S58" s="301"/>
      <c r="T58" s="57"/>
      <c r="U58" s="57"/>
    </row>
    <row r="59" ht="14.25" customHeight="1" outlineLevel="1">
      <c r="B59" s="595" t="s">
        <v>510</v>
      </c>
      <c r="C59" s="339">
        <v>500.0</v>
      </c>
      <c r="D59" s="301">
        <v>129.0</v>
      </c>
      <c r="E59" s="313">
        <v>25.0</v>
      </c>
      <c r="F59" s="314">
        <f t="shared" si="27"/>
        <v>0.1937984496</v>
      </c>
      <c r="G59" s="315">
        <f t="shared" si="28"/>
        <v>-25</v>
      </c>
      <c r="H59" s="316">
        <f t="shared" si="29"/>
        <v>-1</v>
      </c>
      <c r="O59" s="331"/>
      <c r="P59" s="343"/>
      <c r="Q59" s="318"/>
      <c r="R59" s="300"/>
      <c r="S59" s="301"/>
      <c r="T59" s="57"/>
      <c r="U59" s="57"/>
    </row>
    <row r="60" ht="14.25" customHeight="1" outlineLevel="1">
      <c r="A60" s="327" t="s">
        <v>641</v>
      </c>
      <c r="B60" s="595" t="s">
        <v>159</v>
      </c>
      <c r="C60" s="339">
        <v>500.0</v>
      </c>
      <c r="D60" s="301">
        <v>129.0</v>
      </c>
      <c r="E60" s="313">
        <v>18.0</v>
      </c>
      <c r="F60" s="314">
        <f t="shared" si="27"/>
        <v>0.1395348837</v>
      </c>
      <c r="G60" s="315">
        <f t="shared" si="28"/>
        <v>-18</v>
      </c>
      <c r="H60" s="316">
        <f t="shared" si="29"/>
        <v>-1</v>
      </c>
      <c r="O60" s="331">
        <v>179.0</v>
      </c>
      <c r="P60" s="343" t="s">
        <v>111</v>
      </c>
      <c r="Q60" s="318" t="s">
        <v>111</v>
      </c>
      <c r="R60" s="300"/>
      <c r="S60" s="301"/>
      <c r="T60" s="57"/>
      <c r="U60" s="57"/>
    </row>
    <row r="61" ht="15.75" customHeight="1">
      <c r="A61" s="592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</row>
    <row r="62" ht="15.75" customHeight="1">
      <c r="A62" s="592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</row>
    <row r="63" ht="15.75" customHeight="1">
      <c r="A63" s="592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</row>
    <row r="64" ht="15.75" customHeight="1">
      <c r="A64" s="592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</row>
    <row r="65" ht="15.75" customHeight="1">
      <c r="A65" s="592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</row>
    <row r="66" ht="15.75" customHeight="1">
      <c r="A66" s="592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</row>
    <row r="67" ht="15.75" customHeight="1">
      <c r="A67" s="592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</row>
    <row r="68" ht="15.75" customHeight="1">
      <c r="A68" s="592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</row>
    <row r="69" ht="15.75" customHeight="1">
      <c r="A69" s="592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</row>
    <row r="70" ht="15.75" customHeight="1">
      <c r="A70" s="592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</row>
    <row r="71" ht="15.75" customHeight="1">
      <c r="A71" s="592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</row>
    <row r="72" ht="15.75" customHeight="1">
      <c r="A72" s="592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</row>
    <row r="73" ht="15.75" customHeight="1">
      <c r="A73" s="592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</row>
    <row r="74" ht="15.75" customHeight="1">
      <c r="A74" s="592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</row>
    <row r="75" ht="15.75" customHeight="1">
      <c r="A75" s="592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</row>
    <row r="76" ht="15.75" customHeight="1">
      <c r="A76" s="592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</row>
    <row r="77" ht="15.75" customHeight="1">
      <c r="A77" s="592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</row>
    <row r="78" ht="15.75" customHeight="1">
      <c r="A78" s="592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</row>
    <row r="79" ht="15.75" customHeight="1">
      <c r="A79" s="592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</row>
    <row r="80" ht="15.75" customHeight="1">
      <c r="A80" s="592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</row>
    <row r="81" ht="15.75" customHeight="1">
      <c r="A81" s="592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</row>
    <row r="82" ht="15.75" customHeight="1">
      <c r="A82" s="592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</row>
    <row r="83" ht="15.75" customHeight="1">
      <c r="A83" s="592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</row>
    <row r="84" ht="15.75" customHeight="1">
      <c r="A84" s="592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</row>
    <row r="85" ht="15.75" customHeight="1">
      <c r="A85" s="592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</row>
    <row r="86" ht="15.75" customHeight="1">
      <c r="A86" s="592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</row>
    <row r="87" ht="15.75" customHeight="1">
      <c r="A87" s="592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</row>
    <row r="88" ht="15.75" customHeight="1">
      <c r="A88" s="592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</row>
    <row r="89" ht="15.75" customHeight="1">
      <c r="A89" s="592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</row>
    <row r="90" ht="15.75" customHeight="1">
      <c r="A90" s="592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</row>
    <row r="91" ht="15.75" customHeight="1">
      <c r="A91" s="592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</row>
    <row r="92" ht="15.75" customHeight="1">
      <c r="A92" s="592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</row>
    <row r="93" ht="15.75" customHeight="1">
      <c r="A93" s="592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</row>
    <row r="94" ht="15.75" customHeight="1">
      <c r="A94" s="592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</row>
    <row r="95" ht="15.75" customHeight="1">
      <c r="A95" s="592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</row>
    <row r="96" ht="15.75" customHeight="1">
      <c r="A96" s="592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</row>
    <row r="97" ht="15.75" customHeight="1">
      <c r="A97" s="592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</row>
    <row r="98" ht="15.75" customHeight="1">
      <c r="A98" s="592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</row>
    <row r="99" ht="15.75" customHeight="1">
      <c r="A99" s="592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</row>
    <row r="100" ht="15.75" customHeight="1">
      <c r="A100" s="592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</row>
    <row r="101" ht="15.75" customHeight="1">
      <c r="A101" s="592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</row>
    <row r="102" ht="15.75" customHeight="1">
      <c r="A102" s="592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ht="15.75" customHeight="1">
      <c r="A103" s="592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</row>
    <row r="104" ht="15.75" customHeight="1">
      <c r="A104" s="592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</row>
    <row r="105" ht="15.75" customHeight="1">
      <c r="A105" s="592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</row>
    <row r="106" ht="15.75" customHeight="1">
      <c r="A106" s="592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</row>
    <row r="107" ht="15.75" customHeight="1">
      <c r="A107" s="592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</row>
    <row r="108" ht="15.75" customHeight="1">
      <c r="A108" s="592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</row>
    <row r="109" ht="15.75" customHeight="1">
      <c r="A109" s="592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</row>
    <row r="110" ht="15.75" customHeight="1">
      <c r="A110" s="592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</row>
    <row r="111" ht="15.75" customHeight="1">
      <c r="A111" s="592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</row>
    <row r="112" ht="15.75" customHeight="1">
      <c r="A112" s="592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</row>
    <row r="113" ht="15.75" customHeight="1">
      <c r="A113" s="592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</row>
    <row r="114" ht="15.75" customHeight="1">
      <c r="A114" s="592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</row>
    <row r="115" ht="15.75" customHeight="1">
      <c r="A115" s="592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</row>
    <row r="116" ht="15.75" customHeight="1">
      <c r="A116" s="592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</row>
    <row r="117" ht="15.75" customHeight="1">
      <c r="A117" s="592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</row>
    <row r="118" ht="15.75" customHeight="1">
      <c r="A118" s="592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</row>
    <row r="119" ht="15.75" customHeight="1">
      <c r="A119" s="592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</row>
    <row r="120" ht="15.75" customHeight="1">
      <c r="A120" s="592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</row>
    <row r="121" ht="15.75" customHeight="1">
      <c r="A121" s="592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</row>
    <row r="122" ht="15.75" customHeight="1">
      <c r="A122" s="592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</row>
    <row r="123" ht="15.75" customHeight="1">
      <c r="A123" s="592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</row>
    <row r="124" ht="15.75" customHeight="1">
      <c r="A124" s="592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</row>
    <row r="125" ht="15.75" customHeight="1">
      <c r="A125" s="592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</row>
    <row r="126" ht="15.75" customHeight="1">
      <c r="A126" s="592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</row>
    <row r="127" ht="15.75" customHeight="1">
      <c r="A127" s="592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</row>
    <row r="128" ht="15.75" customHeight="1">
      <c r="A128" s="592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</row>
    <row r="129" ht="15.75" customHeight="1">
      <c r="A129" s="592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</row>
    <row r="130" ht="15.75" customHeight="1">
      <c r="A130" s="592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</row>
    <row r="131" ht="15.75" customHeight="1">
      <c r="A131" s="592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</row>
    <row r="132" ht="15.75" customHeight="1">
      <c r="A132" s="592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</row>
    <row r="133" ht="15.75" customHeight="1">
      <c r="A133" s="592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</row>
    <row r="134" ht="15.75" customHeight="1">
      <c r="A134" s="592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</row>
    <row r="135" ht="15.75" customHeight="1">
      <c r="A135" s="592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</row>
    <row r="136" ht="15.75" customHeight="1">
      <c r="A136" s="592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</row>
    <row r="137" ht="15.75" customHeight="1">
      <c r="A137" s="592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</row>
    <row r="138" ht="15.75" customHeight="1">
      <c r="A138" s="592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</row>
    <row r="139" ht="15.75" customHeight="1">
      <c r="A139" s="592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</row>
    <row r="140" ht="15.75" customHeight="1">
      <c r="A140" s="592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</row>
    <row r="141" ht="15.75" customHeight="1">
      <c r="A141" s="592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</row>
    <row r="142" ht="15.75" customHeight="1">
      <c r="A142" s="592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</row>
    <row r="143" ht="15.75" customHeight="1">
      <c r="A143" s="592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</row>
    <row r="144" ht="15.75" customHeight="1">
      <c r="A144" s="592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</row>
    <row r="145" ht="15.75" customHeight="1">
      <c r="A145" s="592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</row>
    <row r="146" ht="15.75" customHeight="1">
      <c r="A146" s="592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</row>
    <row r="147" ht="15.75" customHeight="1">
      <c r="A147" s="592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</row>
    <row r="148" ht="15.75" customHeight="1">
      <c r="A148" s="592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</row>
    <row r="149" ht="15.75" customHeight="1">
      <c r="A149" s="592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</row>
    <row r="150" ht="15.75" customHeight="1">
      <c r="A150" s="592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</row>
    <row r="151" ht="15.75" customHeight="1">
      <c r="A151" s="592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</row>
    <row r="152" ht="15.75" customHeight="1">
      <c r="A152" s="592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</row>
    <row r="153" ht="15.75" customHeight="1">
      <c r="A153" s="592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</row>
    <row r="154" ht="15.75" customHeight="1">
      <c r="A154" s="592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</row>
    <row r="155" ht="15.75" customHeight="1">
      <c r="A155" s="592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</row>
    <row r="156" ht="15.75" customHeight="1">
      <c r="A156" s="592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</row>
    <row r="157" ht="15.75" customHeight="1">
      <c r="A157" s="592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</row>
    <row r="158" ht="15.75" customHeight="1">
      <c r="A158" s="592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</row>
    <row r="159" ht="15.75" customHeight="1">
      <c r="A159" s="592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</row>
    <row r="160" ht="15.75" customHeight="1">
      <c r="A160" s="592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</row>
    <row r="161" ht="15.75" customHeight="1">
      <c r="A161" s="592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</row>
    <row r="162" ht="15.75" customHeight="1">
      <c r="A162" s="592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</row>
    <row r="163" ht="15.75" customHeight="1">
      <c r="A163" s="592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</row>
    <row r="164" ht="15.75" customHeight="1">
      <c r="A164" s="592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</row>
    <row r="165" ht="15.75" customHeight="1">
      <c r="A165" s="592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</row>
    <row r="166" ht="15.75" customHeight="1">
      <c r="A166" s="592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</row>
    <row r="167" ht="15.75" customHeight="1">
      <c r="A167" s="592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</row>
    <row r="168" ht="15.75" customHeight="1">
      <c r="A168" s="592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</row>
    <row r="169" ht="15.75" customHeight="1">
      <c r="A169" s="592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</row>
    <row r="170" ht="15.75" customHeight="1">
      <c r="A170" s="592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</row>
    <row r="171" ht="15.75" customHeight="1">
      <c r="A171" s="592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</row>
    <row r="172" ht="15.75" customHeight="1">
      <c r="A172" s="592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</row>
    <row r="173" ht="15.75" customHeight="1">
      <c r="A173" s="592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</row>
    <row r="174" ht="15.75" customHeight="1">
      <c r="A174" s="592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</row>
    <row r="175" ht="15.75" customHeight="1">
      <c r="A175" s="592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</row>
    <row r="176" ht="15.75" customHeight="1">
      <c r="A176" s="592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</row>
    <row r="177" ht="15.75" customHeight="1">
      <c r="A177" s="592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</row>
    <row r="178" ht="15.75" customHeight="1">
      <c r="A178" s="592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</row>
    <row r="179" ht="15.75" customHeight="1">
      <c r="A179" s="592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</row>
    <row r="180" ht="15.75" customHeight="1">
      <c r="A180" s="592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</row>
    <row r="181" ht="15.75" customHeight="1">
      <c r="A181" s="592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</row>
    <row r="182" ht="15.75" customHeight="1">
      <c r="A182" s="592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</row>
    <row r="183" ht="15.75" customHeight="1">
      <c r="A183" s="592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</row>
    <row r="184" ht="15.75" customHeight="1">
      <c r="A184" s="592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</row>
    <row r="185" ht="15.75" customHeight="1">
      <c r="A185" s="592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</row>
    <row r="186" ht="15.75" customHeight="1">
      <c r="A186" s="592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</row>
    <row r="187" ht="15.75" customHeight="1">
      <c r="A187" s="592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</row>
    <row r="188" ht="15.75" customHeight="1">
      <c r="A188" s="592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</row>
    <row r="189" ht="15.75" customHeight="1">
      <c r="A189" s="592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</row>
    <row r="190" ht="15.75" customHeight="1">
      <c r="A190" s="592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</row>
    <row r="191" ht="15.75" customHeight="1">
      <c r="A191" s="592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</row>
    <row r="192" ht="15.75" customHeight="1">
      <c r="A192" s="592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</row>
    <row r="193" ht="15.75" customHeight="1">
      <c r="A193" s="592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</row>
    <row r="194" ht="15.75" customHeight="1">
      <c r="A194" s="592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</row>
    <row r="195" ht="15.75" customHeight="1">
      <c r="A195" s="592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</row>
    <row r="196" ht="15.75" customHeight="1">
      <c r="A196" s="592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</row>
    <row r="197" ht="15.75" customHeight="1">
      <c r="A197" s="592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</row>
    <row r="198" ht="15.75" customHeight="1">
      <c r="A198" s="592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</row>
    <row r="199" ht="15.75" customHeight="1">
      <c r="A199" s="592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</row>
    <row r="200" ht="15.75" customHeight="1">
      <c r="A200" s="592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</row>
    <row r="201" ht="15.75" customHeight="1">
      <c r="A201" s="592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</row>
    <row r="202" ht="15.75" customHeight="1">
      <c r="A202" s="592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</row>
    <row r="203" ht="15.75" customHeight="1">
      <c r="A203" s="592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</row>
    <row r="204" ht="15.75" customHeight="1">
      <c r="A204" s="592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</row>
    <row r="205" ht="15.75" customHeight="1">
      <c r="A205" s="592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</row>
    <row r="206" ht="15.75" customHeight="1">
      <c r="A206" s="592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</row>
    <row r="207" ht="15.75" customHeight="1">
      <c r="A207" s="592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</row>
    <row r="208" ht="15.75" customHeight="1">
      <c r="A208" s="592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</row>
    <row r="209" ht="15.75" customHeight="1">
      <c r="A209" s="592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</row>
    <row r="210" ht="15.75" customHeight="1">
      <c r="A210" s="592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</row>
    <row r="211" ht="15.75" customHeight="1">
      <c r="A211" s="592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</row>
    <row r="212" ht="15.75" customHeight="1">
      <c r="A212" s="592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</row>
    <row r="213" ht="15.75" customHeight="1">
      <c r="A213" s="592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</row>
    <row r="214" ht="15.75" customHeight="1">
      <c r="A214" s="592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</row>
    <row r="215" ht="15.75" customHeight="1">
      <c r="A215" s="592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</row>
    <row r="216" ht="15.75" customHeight="1">
      <c r="A216" s="592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</row>
    <row r="217" ht="15.75" customHeight="1">
      <c r="A217" s="592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</row>
    <row r="218" ht="15.75" customHeight="1">
      <c r="A218" s="592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</row>
    <row r="219" ht="15.75" customHeight="1">
      <c r="A219" s="592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</row>
    <row r="220" ht="15.75" customHeight="1">
      <c r="A220" s="592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</row>
    <row r="221" ht="15.75" customHeight="1">
      <c r="A221" s="592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</row>
    <row r="222" ht="15.75" customHeight="1">
      <c r="A222" s="592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</row>
    <row r="223" ht="15.75" customHeight="1">
      <c r="A223" s="592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</row>
    <row r="224" ht="15.75" customHeight="1">
      <c r="A224" s="592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</row>
    <row r="225" ht="15.75" customHeight="1">
      <c r="A225" s="592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</row>
    <row r="226" ht="15.75" customHeight="1">
      <c r="A226" s="592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</row>
    <row r="227" ht="15.75" customHeight="1">
      <c r="A227" s="592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</row>
    <row r="228" ht="15.75" customHeight="1">
      <c r="A228" s="592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</row>
    <row r="229" ht="15.75" customHeight="1">
      <c r="A229" s="592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</row>
    <row r="230" ht="15.75" customHeight="1">
      <c r="A230" s="592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</row>
    <row r="231" ht="15.75" customHeight="1">
      <c r="A231" s="592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</row>
    <row r="232" ht="15.75" customHeight="1">
      <c r="A232" s="592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</row>
    <row r="233" ht="15.75" customHeight="1">
      <c r="A233" s="592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</row>
    <row r="234" ht="15.75" customHeight="1">
      <c r="A234" s="592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</row>
    <row r="235" ht="15.75" customHeight="1">
      <c r="A235" s="592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</row>
    <row r="236" ht="15.75" customHeight="1">
      <c r="A236" s="592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</row>
    <row r="237" ht="15.75" customHeight="1">
      <c r="A237" s="592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</row>
    <row r="238" ht="15.75" customHeight="1">
      <c r="A238" s="592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</row>
    <row r="239" ht="15.75" customHeight="1">
      <c r="A239" s="592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</row>
    <row r="240" ht="15.75" customHeight="1">
      <c r="A240" s="592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</row>
    <row r="241" ht="15.75" customHeight="1">
      <c r="A241" s="592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</row>
    <row r="242" ht="15.75" customHeight="1">
      <c r="A242" s="592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</row>
    <row r="243" ht="15.75" customHeight="1">
      <c r="A243" s="592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</row>
    <row r="244" ht="15.75" customHeight="1">
      <c r="A244" s="592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</row>
    <row r="245" ht="15.75" customHeight="1">
      <c r="A245" s="592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</row>
    <row r="246" ht="15.75" customHeight="1">
      <c r="A246" s="592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</row>
    <row r="247" ht="15.75" customHeight="1">
      <c r="A247" s="592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</row>
    <row r="248" ht="15.75" customHeight="1">
      <c r="A248" s="592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</row>
    <row r="249" ht="15.75" customHeight="1">
      <c r="A249" s="592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</row>
    <row r="250" ht="15.75" customHeight="1">
      <c r="A250" s="592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</row>
    <row r="251" ht="15.75" customHeight="1">
      <c r="A251" s="592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</row>
    <row r="252" ht="15.75" customHeight="1">
      <c r="A252" s="592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</row>
    <row r="253" ht="15.75" customHeight="1">
      <c r="A253" s="592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</row>
    <row r="254" ht="15.75" customHeight="1">
      <c r="A254" s="592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</row>
    <row r="255" ht="15.75" customHeight="1">
      <c r="A255" s="592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</row>
    <row r="256" ht="15.75" customHeight="1">
      <c r="A256" s="592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</row>
    <row r="257" ht="15.75" customHeight="1">
      <c r="A257" s="592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</row>
    <row r="258" ht="15.75" customHeight="1">
      <c r="A258" s="592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</row>
    <row r="259" ht="15.75" customHeight="1">
      <c r="A259" s="592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</row>
    <row r="260" ht="15.75" customHeight="1">
      <c r="A260" s="592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7:A59"/>
  </mergeCells>
  <conditionalFormatting sqref="O43:O46 Q56:Q60">
    <cfRule type="containsText" dxfId="1" priority="1" operator="containsText" text="да">
      <formula>NOT(ISERROR(SEARCH(("да"),(O43))))</formula>
    </cfRule>
  </conditionalFormatting>
  <conditionalFormatting sqref="N43:O46 P56:Q60">
    <cfRule type="containsText" dxfId="0" priority="2" operator="containsText" text="нет">
      <formula>NOT(ISERROR(SEARCH(("нет"),(N43))))</formula>
    </cfRule>
  </conditionalFormatting>
  <conditionalFormatting sqref="C56:E57 D24:D32 E52:E53 F1:F53 F56:F60 G52:I53 G56:G57 H56:H60 I56:I57 L56:L6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1 D3:D7 D9:D16 D18:D22">
    <cfRule type="colorScale" priority="4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N43:O46 N54:O55 P56:Q60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4.71"/>
    <col customWidth="1" min="2" max="2" width="12.0"/>
    <col customWidth="1" min="3" max="3" width="51.14"/>
    <col customWidth="1" min="4" max="4" width="14.57"/>
    <col customWidth="1" min="5" max="5" width="8.43"/>
    <col customWidth="1" min="6" max="6" width="27.86"/>
    <col customWidth="1" min="7" max="8" width="9.57"/>
    <col customWidth="1" min="9" max="9" width="8.43"/>
    <col customWidth="1" min="10" max="11" width="7.29"/>
    <col customWidth="1" min="12" max="12" width="7.14"/>
  </cols>
  <sheetData>
    <row r="1" ht="25.5" customHeight="1">
      <c r="A1" s="239" t="s">
        <v>1009</v>
      </c>
      <c r="C1" s="121" t="s">
        <v>1010</v>
      </c>
      <c r="D1" s="240" t="s">
        <v>1011</v>
      </c>
      <c r="E1" s="265"/>
      <c r="F1" s="611"/>
      <c r="G1" s="239"/>
      <c r="H1" s="239"/>
      <c r="I1" s="275"/>
      <c r="J1" s="247"/>
      <c r="K1" s="239"/>
      <c r="L1" s="239"/>
    </row>
    <row r="2" ht="66.0" customHeight="1">
      <c r="A2" s="75" t="s">
        <v>1012</v>
      </c>
      <c r="B2" s="612" t="s">
        <v>1013</v>
      </c>
      <c r="C2" s="75" t="s">
        <v>1014</v>
      </c>
      <c r="D2" s="75" t="s">
        <v>1015</v>
      </c>
      <c r="E2" s="249" t="s">
        <v>96</v>
      </c>
      <c r="F2" s="613" t="s">
        <v>95</v>
      </c>
      <c r="G2" s="75" t="s">
        <v>1016</v>
      </c>
      <c r="H2" s="75" t="s">
        <v>1017</v>
      </c>
      <c r="I2" s="251" t="s">
        <v>1018</v>
      </c>
      <c r="J2" s="75" t="s">
        <v>1019</v>
      </c>
      <c r="K2" s="75" t="s">
        <v>466</v>
      </c>
      <c r="L2" s="75" t="s">
        <v>102</v>
      </c>
    </row>
    <row r="3" ht="25.5" customHeight="1">
      <c r="A3" s="614"/>
      <c r="B3" s="615" t="str">
        <f>"Горячее, паста "&amp;COUNTA(C4:C22)&amp;" шт"</f>
        <v>Горячее, паста 6 шт</v>
      </c>
      <c r="C3" s="86"/>
      <c r="D3" s="614"/>
      <c r="E3" s="616" t="s">
        <v>220</v>
      </c>
      <c r="F3" s="617"/>
      <c r="G3" s="614"/>
      <c r="H3" s="614"/>
      <c r="I3" s="618"/>
      <c r="J3" s="247">
        <f>AVERAGE(J4:J22)</f>
        <v>0.2251086391</v>
      </c>
      <c r="K3" s="614"/>
      <c r="L3" s="614"/>
    </row>
    <row r="4" ht="27.0" customHeight="1" outlineLevel="1">
      <c r="A4" s="87"/>
      <c r="B4" s="619"/>
      <c r="C4" s="619" t="s">
        <v>1020</v>
      </c>
      <c r="D4" s="620"/>
      <c r="E4" s="258"/>
      <c r="F4" s="621" t="s">
        <v>159</v>
      </c>
      <c r="G4" s="622">
        <f t="shared" ref="G4:G5" si="1">750+750+499</f>
        <v>1999</v>
      </c>
      <c r="H4" s="622">
        <v>1699.0</v>
      </c>
      <c r="I4" s="162">
        <f t="shared" ref="I4:I5" si="2">165+165+65 </f>
        <v>395</v>
      </c>
      <c r="J4" s="238">
        <f t="shared" ref="J4:J21" si="3">I4/H4</f>
        <v>0.2324896998</v>
      </c>
      <c r="K4" s="93">
        <f t="shared" ref="K4:K21" si="4">H4-G4</f>
        <v>-300</v>
      </c>
      <c r="L4" s="158">
        <f t="shared" ref="L4:L21" si="5">H4/G4-1</f>
        <v>-0.1500750375</v>
      </c>
    </row>
    <row r="5" ht="27.0" customHeight="1" outlineLevel="1">
      <c r="A5" s="87"/>
      <c r="B5" s="619"/>
      <c r="D5" s="620"/>
      <c r="E5" s="258"/>
      <c r="F5" s="621" t="s">
        <v>160</v>
      </c>
      <c r="G5" s="622">
        <f t="shared" si="1"/>
        <v>1999</v>
      </c>
      <c r="H5" s="622">
        <v>1699.0</v>
      </c>
      <c r="I5" s="162">
        <f t="shared" si="2"/>
        <v>395</v>
      </c>
      <c r="J5" s="238">
        <f t="shared" si="3"/>
        <v>0.2324896998</v>
      </c>
      <c r="K5" s="93">
        <f t="shared" si="4"/>
        <v>-300</v>
      </c>
      <c r="L5" s="158">
        <f t="shared" si="5"/>
        <v>-0.1500750375</v>
      </c>
    </row>
    <row r="6" ht="27.0" customHeight="1" outlineLevel="1">
      <c r="A6" s="87"/>
      <c r="B6" s="619"/>
      <c r="D6" s="620"/>
      <c r="E6" s="258"/>
      <c r="F6" s="621" t="s">
        <v>1021</v>
      </c>
      <c r="G6" s="622">
        <f>800+800+599</f>
        <v>2199</v>
      </c>
      <c r="H6" s="622">
        <v>1899.0</v>
      </c>
      <c r="I6" s="162">
        <f>175+175+70</f>
        <v>420</v>
      </c>
      <c r="J6" s="238">
        <f t="shared" si="3"/>
        <v>0.2211690363</v>
      </c>
      <c r="K6" s="93">
        <f t="shared" si="4"/>
        <v>-300</v>
      </c>
      <c r="L6" s="158">
        <f t="shared" si="5"/>
        <v>-0.136425648</v>
      </c>
    </row>
    <row r="7" ht="27.0" customHeight="1" outlineLevel="1">
      <c r="A7" s="87"/>
      <c r="B7" s="619"/>
      <c r="C7" s="619" t="s">
        <v>1022</v>
      </c>
      <c r="D7" s="181"/>
      <c r="E7" s="258"/>
      <c r="F7" s="621" t="s">
        <v>159</v>
      </c>
      <c r="G7" s="622">
        <f t="shared" ref="G7:G8" si="6">750+750+1789</f>
        <v>3289</v>
      </c>
      <c r="H7" s="622">
        <v>2999.0</v>
      </c>
      <c r="I7" s="162">
        <f>165+165+270</f>
        <v>600</v>
      </c>
      <c r="J7" s="238">
        <f t="shared" si="3"/>
        <v>0.2000666889</v>
      </c>
      <c r="K7" s="93">
        <f t="shared" si="4"/>
        <v>-290</v>
      </c>
      <c r="L7" s="158">
        <f t="shared" si="5"/>
        <v>-0.08817269687</v>
      </c>
    </row>
    <row r="8" ht="27.0" customHeight="1" outlineLevel="1">
      <c r="A8" s="87"/>
      <c r="B8" s="619"/>
      <c r="D8" s="181"/>
      <c r="E8" s="258"/>
      <c r="F8" s="621" t="s">
        <v>160</v>
      </c>
      <c r="G8" s="622">
        <f t="shared" si="6"/>
        <v>3289</v>
      </c>
      <c r="H8" s="622">
        <v>2999.0</v>
      </c>
      <c r="I8" s="162">
        <f>165+165+260</f>
        <v>590</v>
      </c>
      <c r="J8" s="238">
        <f t="shared" si="3"/>
        <v>0.1967322441</v>
      </c>
      <c r="K8" s="93">
        <f t="shared" si="4"/>
        <v>-290</v>
      </c>
      <c r="L8" s="158">
        <f t="shared" si="5"/>
        <v>-0.08817269687</v>
      </c>
    </row>
    <row r="9" ht="27.0" customHeight="1" outlineLevel="1">
      <c r="A9" s="79"/>
      <c r="B9" s="623"/>
      <c r="D9" s="624"/>
      <c r="E9" s="77"/>
      <c r="F9" s="625" t="s">
        <v>1021</v>
      </c>
      <c r="G9" s="626">
        <f>800+800+1989</f>
        <v>3589</v>
      </c>
      <c r="H9" s="626">
        <v>3199.0</v>
      </c>
      <c r="I9" s="627">
        <f>175+175+320</f>
        <v>670</v>
      </c>
      <c r="J9" s="628">
        <f t="shared" si="3"/>
        <v>0.2094404501</v>
      </c>
      <c r="K9" s="81">
        <f t="shared" si="4"/>
        <v>-390</v>
      </c>
      <c r="L9" s="83">
        <f t="shared" si="5"/>
        <v>-0.1086653664</v>
      </c>
    </row>
    <row r="10" ht="34.5" customHeight="1" outlineLevel="1">
      <c r="A10" s="87"/>
      <c r="B10" s="619"/>
      <c r="C10" s="619" t="s">
        <v>1023</v>
      </c>
      <c r="D10" s="181"/>
      <c r="E10" s="258"/>
      <c r="F10" s="621" t="s">
        <v>159</v>
      </c>
      <c r="G10" s="622">
        <f t="shared" ref="G10:G11" si="7">1849+499</f>
        <v>2348</v>
      </c>
      <c r="H10" s="622">
        <v>2099.0</v>
      </c>
      <c r="I10" s="162">
        <f>466+65</f>
        <v>531</v>
      </c>
      <c r="J10" s="238">
        <f t="shared" si="3"/>
        <v>0.2529776084</v>
      </c>
      <c r="K10" s="93">
        <f t="shared" si="4"/>
        <v>-249</v>
      </c>
      <c r="L10" s="158">
        <f t="shared" si="5"/>
        <v>-0.1060477002</v>
      </c>
    </row>
    <row r="11" ht="34.5" customHeight="1" outlineLevel="1">
      <c r="A11" s="87"/>
      <c r="B11" s="619"/>
      <c r="D11" s="181"/>
      <c r="E11" s="258"/>
      <c r="F11" s="621" t="s">
        <v>160</v>
      </c>
      <c r="G11" s="622">
        <f t="shared" si="7"/>
        <v>2348</v>
      </c>
      <c r="H11" s="622">
        <v>2099.0</v>
      </c>
      <c r="I11" s="162">
        <f>536+65</f>
        <v>601</v>
      </c>
      <c r="J11" s="238">
        <f t="shared" si="3"/>
        <v>0.2863268223</v>
      </c>
      <c r="K11" s="93">
        <f t="shared" si="4"/>
        <v>-249</v>
      </c>
      <c r="L11" s="158">
        <f t="shared" si="5"/>
        <v>-0.1060477002</v>
      </c>
    </row>
    <row r="12" ht="34.5" customHeight="1" outlineLevel="1">
      <c r="A12" s="79"/>
      <c r="B12" s="623"/>
      <c r="D12" s="624"/>
      <c r="E12" s="77"/>
      <c r="F12" s="625" t="s">
        <v>1021</v>
      </c>
      <c r="G12" s="626">
        <f>1949+599</f>
        <v>2548</v>
      </c>
      <c r="H12" s="626">
        <v>2299.0</v>
      </c>
      <c r="I12" s="627">
        <f>527+70</f>
        <v>597</v>
      </c>
      <c r="J12" s="628">
        <f t="shared" si="3"/>
        <v>0.2596781209</v>
      </c>
      <c r="K12" s="81">
        <f t="shared" si="4"/>
        <v>-249</v>
      </c>
      <c r="L12" s="83">
        <f t="shared" si="5"/>
        <v>-0.09772370487</v>
      </c>
    </row>
    <row r="13" ht="24.75" customHeight="1" outlineLevel="1">
      <c r="A13" s="87"/>
      <c r="B13" s="360"/>
      <c r="C13" s="619" t="s">
        <v>1024</v>
      </c>
      <c r="D13" s="181"/>
      <c r="E13" s="258"/>
      <c r="F13" s="621" t="s">
        <v>159</v>
      </c>
      <c r="G13" s="629">
        <f t="shared" ref="G13:G14" si="8">1849+1789</f>
        <v>3638</v>
      </c>
      <c r="H13" s="630">
        <v>3399.0</v>
      </c>
      <c r="I13" s="162">
        <f>466+270</f>
        <v>736</v>
      </c>
      <c r="J13" s="238">
        <f t="shared" si="3"/>
        <v>0.2165342748</v>
      </c>
      <c r="K13" s="93">
        <f t="shared" si="4"/>
        <v>-239</v>
      </c>
      <c r="L13" s="158">
        <f t="shared" si="5"/>
        <v>-0.06569543705</v>
      </c>
    </row>
    <row r="14" ht="33.75" customHeight="1" outlineLevel="1">
      <c r="A14" s="87"/>
      <c r="B14" s="360"/>
      <c r="D14" s="181"/>
      <c r="E14" s="258"/>
      <c r="F14" s="621" t="s">
        <v>160</v>
      </c>
      <c r="G14" s="629">
        <f t="shared" si="8"/>
        <v>3638</v>
      </c>
      <c r="H14" s="630">
        <v>3399.0</v>
      </c>
      <c r="I14" s="162">
        <f>466+260</f>
        <v>726</v>
      </c>
      <c r="J14" s="238">
        <f t="shared" si="3"/>
        <v>0.213592233</v>
      </c>
      <c r="K14" s="93">
        <f t="shared" si="4"/>
        <v>-239</v>
      </c>
      <c r="L14" s="158">
        <f t="shared" si="5"/>
        <v>-0.06569543705</v>
      </c>
    </row>
    <row r="15" ht="30.0" customHeight="1" outlineLevel="1">
      <c r="A15" s="79"/>
      <c r="B15" s="631"/>
      <c r="D15" s="624"/>
      <c r="E15" s="77"/>
      <c r="F15" s="625" t="s">
        <v>1021</v>
      </c>
      <c r="G15" s="632">
        <f>1949+1989</f>
        <v>3938</v>
      </c>
      <c r="H15" s="633">
        <v>3599.0</v>
      </c>
      <c r="I15" s="627">
        <f>527+320</f>
        <v>847</v>
      </c>
      <c r="J15" s="628">
        <f t="shared" si="3"/>
        <v>0.2353431509</v>
      </c>
      <c r="K15" s="81">
        <f t="shared" si="4"/>
        <v>-339</v>
      </c>
      <c r="L15" s="83">
        <f t="shared" si="5"/>
        <v>-0.08608430675</v>
      </c>
    </row>
    <row r="16" ht="28.5" customHeight="1" outlineLevel="1">
      <c r="A16" s="87"/>
      <c r="B16" s="360"/>
      <c r="C16" s="619" t="s">
        <v>1025</v>
      </c>
      <c r="D16" s="181"/>
      <c r="E16" s="258"/>
      <c r="F16" s="621" t="s">
        <v>159</v>
      </c>
      <c r="G16" s="634">
        <f t="shared" ref="G16:G17" si="9">1599+499</f>
        <v>2098</v>
      </c>
      <c r="H16" s="634">
        <v>1899.0</v>
      </c>
      <c r="I16" s="162">
        <f>370+65</f>
        <v>435</v>
      </c>
      <c r="J16" s="238">
        <f t="shared" si="3"/>
        <v>0.2290679305</v>
      </c>
      <c r="K16" s="205">
        <f t="shared" si="4"/>
        <v>-199</v>
      </c>
      <c r="L16" s="158">
        <f t="shared" si="5"/>
        <v>-0.09485224023</v>
      </c>
    </row>
    <row r="17" ht="28.5" customHeight="1" outlineLevel="1">
      <c r="A17" s="87"/>
      <c r="B17" s="360"/>
      <c r="D17" s="181"/>
      <c r="E17" s="258"/>
      <c r="F17" s="621" t="s">
        <v>160</v>
      </c>
      <c r="G17" s="634">
        <f t="shared" si="9"/>
        <v>2098</v>
      </c>
      <c r="H17" s="634">
        <v>1899.0</v>
      </c>
      <c r="I17" s="162">
        <f>365+65</f>
        <v>430</v>
      </c>
      <c r="J17" s="238">
        <f t="shared" si="3"/>
        <v>0.2264349658</v>
      </c>
      <c r="K17" s="205">
        <f t="shared" si="4"/>
        <v>-199</v>
      </c>
      <c r="L17" s="158">
        <f t="shared" si="5"/>
        <v>-0.09485224023</v>
      </c>
    </row>
    <row r="18" ht="28.5" customHeight="1" outlineLevel="1">
      <c r="A18" s="79"/>
      <c r="B18" s="631"/>
      <c r="D18" s="624"/>
      <c r="E18" s="77"/>
      <c r="F18" s="625" t="s">
        <v>1021</v>
      </c>
      <c r="G18" s="635">
        <f>1649+599</f>
        <v>2248</v>
      </c>
      <c r="H18" s="635">
        <v>2099.0</v>
      </c>
      <c r="I18" s="627">
        <f>415+70</f>
        <v>485</v>
      </c>
      <c r="J18" s="628">
        <f t="shared" si="3"/>
        <v>0.2310624107</v>
      </c>
      <c r="K18" s="636">
        <f t="shared" si="4"/>
        <v>-149</v>
      </c>
      <c r="L18" s="83">
        <f t="shared" si="5"/>
        <v>-0.06628113879</v>
      </c>
    </row>
    <row r="19" ht="23.25" customHeight="1" outlineLevel="1">
      <c r="A19" s="87"/>
      <c r="B19" s="360"/>
      <c r="C19" s="619" t="s">
        <v>1026</v>
      </c>
      <c r="D19" s="181"/>
      <c r="E19" s="258"/>
      <c r="F19" s="621" t="s">
        <v>159</v>
      </c>
      <c r="G19" s="634">
        <f t="shared" ref="G19:G20" si="10">1599+1789</f>
        <v>3388</v>
      </c>
      <c r="H19" s="637">
        <v>3199.0</v>
      </c>
      <c r="I19" s="162">
        <f>370+260</f>
        <v>630</v>
      </c>
      <c r="J19" s="238">
        <f t="shared" si="3"/>
        <v>0.1969365427</v>
      </c>
      <c r="K19" s="205">
        <f t="shared" si="4"/>
        <v>-189</v>
      </c>
      <c r="L19" s="158">
        <f t="shared" si="5"/>
        <v>-0.05578512397</v>
      </c>
    </row>
    <row r="20" ht="23.25" customHeight="1" outlineLevel="1">
      <c r="A20" s="87"/>
      <c r="B20" s="360"/>
      <c r="D20" s="181"/>
      <c r="E20" s="258"/>
      <c r="F20" s="621" t="s">
        <v>160</v>
      </c>
      <c r="G20" s="634">
        <f t="shared" si="10"/>
        <v>3388</v>
      </c>
      <c r="H20" s="637">
        <v>3199.0</v>
      </c>
      <c r="I20" s="162">
        <f>365+260</f>
        <v>625</v>
      </c>
      <c r="J20" s="238">
        <f t="shared" si="3"/>
        <v>0.1953735542</v>
      </c>
      <c r="K20" s="205">
        <f t="shared" si="4"/>
        <v>-189</v>
      </c>
      <c r="L20" s="158">
        <f t="shared" si="5"/>
        <v>-0.05578512397</v>
      </c>
    </row>
    <row r="21" ht="23.25" customHeight="1" outlineLevel="1">
      <c r="A21" s="87"/>
      <c r="B21" s="360"/>
      <c r="D21" s="181"/>
      <c r="E21" s="258"/>
      <c r="F21" s="621" t="s">
        <v>1021</v>
      </c>
      <c r="G21" s="634">
        <f>1649+1989</f>
        <v>3638</v>
      </c>
      <c r="H21" s="637">
        <v>3399.0</v>
      </c>
      <c r="I21" s="162">
        <f>415+320</f>
        <v>735</v>
      </c>
      <c r="J21" s="238">
        <f t="shared" si="3"/>
        <v>0.2162400706</v>
      </c>
      <c r="K21" s="205">
        <f t="shared" si="4"/>
        <v>-239</v>
      </c>
      <c r="L21" s="158">
        <f t="shared" si="5"/>
        <v>-0.06569543705</v>
      </c>
    </row>
    <row r="22" ht="54.0" customHeight="1" outlineLevel="1">
      <c r="A22" s="87"/>
      <c r="B22" s="360"/>
      <c r="C22" s="638"/>
      <c r="D22" s="181"/>
      <c r="E22" s="258"/>
      <c r="F22" s="630"/>
      <c r="G22" s="634"/>
      <c r="H22" s="634"/>
      <c r="I22" s="162"/>
      <c r="J22" s="158"/>
      <c r="K22" s="87"/>
      <c r="L22" s="15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:$F$22"/>
  <mergeCells count="7">
    <mergeCell ref="A1:B1"/>
    <mergeCell ref="C4:C6"/>
    <mergeCell ref="C7:C9"/>
    <mergeCell ref="C10:C12"/>
    <mergeCell ref="C13:C15"/>
    <mergeCell ref="C16:C18"/>
    <mergeCell ref="C19:C21"/>
  </mergeCells>
  <conditionalFormatting sqref="J1:J2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F1 F3 F22 G4:H22">
    <cfRule type="colorScale" priority="2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F4:F21">
      <formula1>"Тюмень,Ижевск,ЮГРА/Сургут/Самара"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4.71"/>
    <col customWidth="1" min="2" max="2" width="23.57"/>
    <col customWidth="1" min="3" max="3" width="30.0"/>
    <col customWidth="1" min="4" max="4" width="21.71"/>
    <col customWidth="1" min="5" max="5" width="11.71"/>
    <col customWidth="1" min="6" max="6" width="8.43"/>
    <col customWidth="1" min="7" max="7" width="8.14"/>
    <col customWidth="1" min="8" max="9" width="9.43"/>
    <col customWidth="1" min="10" max="10" width="8.43"/>
    <col customWidth="1" min="11" max="12" width="7.29"/>
    <col customWidth="1" min="13" max="13" width="7.14"/>
    <col customWidth="1" min="14" max="14" width="8.29"/>
    <col customWidth="1" min="15" max="15" width="9.71"/>
    <col customWidth="1" hidden="1" min="16" max="17" width="9.71"/>
  </cols>
  <sheetData>
    <row r="1" ht="25.5" customHeight="1">
      <c r="A1" s="239"/>
      <c r="C1" s="639" t="s">
        <v>1027</v>
      </c>
      <c r="D1" s="240" t="s">
        <v>1011</v>
      </c>
      <c r="E1" s="240"/>
      <c r="F1" s="269" t="s">
        <v>1028</v>
      </c>
      <c r="G1" s="640" t="s">
        <v>1029</v>
      </c>
      <c r="H1" s="93"/>
      <c r="I1" s="158"/>
      <c r="J1" s="641"/>
      <c r="K1" s="247"/>
      <c r="L1" s="239"/>
      <c r="M1" s="239"/>
      <c r="N1" s="239"/>
      <c r="O1" s="239"/>
      <c r="P1" s="239"/>
      <c r="Q1" s="239">
        <v>7.0</v>
      </c>
    </row>
    <row r="2" ht="66.0" customHeight="1">
      <c r="A2" s="75" t="s">
        <v>1012</v>
      </c>
      <c r="B2" s="612" t="s">
        <v>1013</v>
      </c>
      <c r="C2" s="642" t="s">
        <v>1014</v>
      </c>
      <c r="D2" s="75" t="s">
        <v>1015</v>
      </c>
      <c r="E2" s="75" t="s">
        <v>92</v>
      </c>
      <c r="F2" s="249" t="s">
        <v>96</v>
      </c>
      <c r="G2" s="432" t="s">
        <v>502</v>
      </c>
      <c r="H2" s="432" t="s">
        <v>97</v>
      </c>
      <c r="I2" s="643" t="s">
        <v>504</v>
      </c>
      <c r="J2" s="251" t="s">
        <v>99</v>
      </c>
      <c r="K2" s="252" t="s">
        <v>100</v>
      </c>
      <c r="L2" s="75" t="s">
        <v>466</v>
      </c>
      <c r="M2" s="75" t="s">
        <v>102</v>
      </c>
      <c r="N2" s="75" t="s">
        <v>1030</v>
      </c>
      <c r="O2" s="75" t="s">
        <v>506</v>
      </c>
      <c r="P2" s="75"/>
      <c r="Q2" s="75"/>
    </row>
    <row r="3" ht="27.0" customHeight="1">
      <c r="A3" s="614"/>
      <c r="B3" s="644" t="s">
        <v>1031</v>
      </c>
      <c r="E3" s="644"/>
      <c r="F3" s="616"/>
      <c r="G3" s="645">
        <f>AVERAGE(G5:G12,G13:G15,G17:G24,G27:G32,G37:G44,G46:G49,G51:G61,G62:G67,G74:G77,G81:G88,G92,G93:G97,G125:G135)</f>
        <v>581.6506024</v>
      </c>
      <c r="H3" s="645" t="str">
        <f>AVERAGE(H7,H6,H5,H9,H10,H11,H12,H14,H15,#REF!,#REF!,H17:H22,H24,H25,H27:H33,H35:H37,H40:H44,H46:H49,H51:H54,H57,H61:H68,H69:H72,H74:H76,H78:H79,H82:H87,H89:H90,H92:H94,H96:H97,H125:H131,H135)</f>
        <v>#REF!</v>
      </c>
      <c r="I3" s="646">
        <f>AVERAGE(I4,I16,I26,I34,I45,I50,I73,I80,I91)</f>
        <v>1.150321795</v>
      </c>
      <c r="J3" s="618"/>
      <c r="K3" s="647">
        <f>AVERAGE(K91,K80,K73,K50,K45,K34,K26,K16,K4)</f>
        <v>0.2583353351</v>
      </c>
      <c r="L3" s="614"/>
      <c r="M3" s="614"/>
      <c r="N3" s="614"/>
      <c r="O3" s="86"/>
      <c r="P3" s="86"/>
      <c r="Q3" s="86"/>
    </row>
    <row r="4" ht="27.0" customHeight="1" collapsed="1">
      <c r="A4" s="614"/>
      <c r="B4" s="615" t="str">
        <f>"Блюда на компанию "&amp;COUNTA(C5:C15)&amp;" шт"</f>
        <v>Блюда на компанию 11 шт</v>
      </c>
      <c r="C4" s="614"/>
      <c r="D4" s="614"/>
      <c r="E4" s="614"/>
      <c r="F4" s="616"/>
      <c r="G4" s="645">
        <f t="shared" ref="G4:H4" si="1">AVERAGE(G5:G15)</f>
        <v>1453.545455</v>
      </c>
      <c r="H4" s="645">
        <f t="shared" si="1"/>
        <v>1290</v>
      </c>
      <c r="I4" s="648">
        <f t="shared" ref="I4:I32" si="2">G4/H4</f>
        <v>1.126779422</v>
      </c>
      <c r="J4" s="618"/>
      <c r="K4" s="647">
        <f>AVERAGE(K5:K15)</f>
        <v>0.2552360049</v>
      </c>
      <c r="L4" s="614"/>
      <c r="M4" s="614"/>
      <c r="N4" s="614"/>
      <c r="O4" s="86"/>
      <c r="P4" s="86"/>
      <c r="Q4" s="86"/>
    </row>
    <row r="5" ht="25.5" hidden="1" customHeight="1" outlineLevel="1">
      <c r="A5" s="106"/>
      <c r="B5" s="233"/>
      <c r="C5" s="233" t="s">
        <v>1032</v>
      </c>
      <c r="D5" s="233" t="s">
        <v>1033</v>
      </c>
      <c r="E5" s="233"/>
      <c r="F5" s="269" t="s">
        <v>1034</v>
      </c>
      <c r="G5" s="184">
        <v>799.0</v>
      </c>
      <c r="H5" s="184">
        <v>799.0</v>
      </c>
      <c r="I5" s="238">
        <f t="shared" si="2"/>
        <v>1</v>
      </c>
      <c r="J5" s="649">
        <v>177.0</v>
      </c>
      <c r="K5" s="238">
        <f t="shared" ref="K5:K15" si="3">J5/G5</f>
        <v>0.2215269086</v>
      </c>
      <c r="L5" s="184">
        <f t="shared" ref="L5:L15" si="4">G5-J5</f>
        <v>622</v>
      </c>
      <c r="M5" s="238">
        <f t="shared" ref="M5:M15" si="5">H5/J5-1</f>
        <v>3.514124294</v>
      </c>
      <c r="N5" s="232"/>
      <c r="O5" s="106" t="s">
        <v>112</v>
      </c>
      <c r="P5" s="106"/>
      <c r="Q5" s="106"/>
    </row>
    <row r="6" ht="84.75" hidden="1" customHeight="1" outlineLevel="1">
      <c r="A6" s="102"/>
      <c r="B6" s="650"/>
      <c r="C6" s="651" t="s">
        <v>1035</v>
      </c>
      <c r="D6" s="650" t="s">
        <v>1036</v>
      </c>
      <c r="E6" s="650"/>
      <c r="F6" s="652">
        <v>150.0</v>
      </c>
      <c r="G6" s="640">
        <v>799.0</v>
      </c>
      <c r="H6" s="640">
        <v>899.0</v>
      </c>
      <c r="I6" s="238">
        <f t="shared" si="2"/>
        <v>0.8887652948</v>
      </c>
      <c r="J6" s="653">
        <v>174.0</v>
      </c>
      <c r="K6" s="654">
        <f t="shared" si="3"/>
        <v>0.2177722153</v>
      </c>
      <c r="L6" s="640">
        <f t="shared" si="4"/>
        <v>625</v>
      </c>
      <c r="M6" s="654">
        <f t="shared" si="5"/>
        <v>4.166666667</v>
      </c>
      <c r="N6" s="655"/>
      <c r="O6" s="102" t="s">
        <v>112</v>
      </c>
      <c r="P6" s="102"/>
      <c r="Q6" s="102"/>
    </row>
    <row r="7" ht="84.75" hidden="1" customHeight="1" outlineLevel="1">
      <c r="A7" s="106"/>
      <c r="B7" s="656"/>
      <c r="C7" s="233" t="s">
        <v>1037</v>
      </c>
      <c r="D7" s="656" t="s">
        <v>1038</v>
      </c>
      <c r="E7" s="656"/>
      <c r="F7" s="269">
        <v>400.0</v>
      </c>
      <c r="G7" s="184">
        <v>949.0</v>
      </c>
      <c r="H7" s="184">
        <v>899.0</v>
      </c>
      <c r="I7" s="238">
        <f t="shared" si="2"/>
        <v>1.055617353</v>
      </c>
      <c r="J7" s="649">
        <v>270.0</v>
      </c>
      <c r="K7" s="238">
        <f t="shared" si="3"/>
        <v>0.2845100105</v>
      </c>
      <c r="L7" s="184">
        <f t="shared" si="4"/>
        <v>679</v>
      </c>
      <c r="M7" s="238">
        <f t="shared" si="5"/>
        <v>2.32962963</v>
      </c>
      <c r="N7" s="232">
        <v>999.0</v>
      </c>
      <c r="O7" s="106" t="s">
        <v>111</v>
      </c>
      <c r="P7" s="106"/>
      <c r="Q7" s="106"/>
    </row>
    <row r="8" ht="25.5" hidden="1" customHeight="1" outlineLevel="1">
      <c r="A8" s="102"/>
      <c r="B8" s="657"/>
      <c r="C8" s="657" t="s">
        <v>1039</v>
      </c>
      <c r="D8" s="656" t="s">
        <v>1040</v>
      </c>
      <c r="E8" s="656"/>
      <c r="F8" s="652">
        <v>1000.0</v>
      </c>
      <c r="G8" s="640">
        <v>1699.0</v>
      </c>
      <c r="H8" s="640">
        <v>0.0</v>
      </c>
      <c r="I8" s="238" t="str">
        <f t="shared" si="2"/>
        <v>#DIV/0!</v>
      </c>
      <c r="J8" s="653">
        <v>499.0</v>
      </c>
      <c r="K8" s="654">
        <f t="shared" si="3"/>
        <v>0.2937021778</v>
      </c>
      <c r="L8" s="640">
        <f t="shared" si="4"/>
        <v>1200</v>
      </c>
      <c r="M8" s="654">
        <f t="shared" si="5"/>
        <v>-1</v>
      </c>
      <c r="N8" s="655">
        <v>1799.0</v>
      </c>
      <c r="O8" s="102" t="s">
        <v>111</v>
      </c>
      <c r="P8" s="102"/>
      <c r="Q8" s="102"/>
    </row>
    <row r="9" ht="25.5" hidden="1" customHeight="1" outlineLevel="1">
      <c r="A9" s="87"/>
      <c r="B9" s="181"/>
      <c r="C9" s="89" t="s">
        <v>1041</v>
      </c>
      <c r="D9" s="181" t="s">
        <v>1042</v>
      </c>
      <c r="E9" s="181"/>
      <c r="F9" s="258">
        <v>550.0</v>
      </c>
      <c r="G9" s="93">
        <v>849.0</v>
      </c>
      <c r="H9" s="93">
        <v>799.0</v>
      </c>
      <c r="I9" s="238">
        <f t="shared" si="2"/>
        <v>1.062578223</v>
      </c>
      <c r="J9" s="162">
        <v>210.17</v>
      </c>
      <c r="K9" s="158">
        <f t="shared" si="3"/>
        <v>0.2475500589</v>
      </c>
      <c r="L9" s="93">
        <f t="shared" si="4"/>
        <v>638.83</v>
      </c>
      <c r="M9" s="158">
        <f t="shared" si="5"/>
        <v>2.801684351</v>
      </c>
      <c r="N9" s="134">
        <v>899.0</v>
      </c>
      <c r="O9" s="87" t="s">
        <v>111</v>
      </c>
      <c r="P9" s="87"/>
      <c r="Q9" s="87"/>
    </row>
    <row r="10" ht="25.5" hidden="1" customHeight="1" outlineLevel="1">
      <c r="A10" s="106"/>
      <c r="B10" s="656"/>
      <c r="C10" s="233" t="s">
        <v>149</v>
      </c>
      <c r="D10" s="656" t="s">
        <v>1043</v>
      </c>
      <c r="E10" s="656"/>
      <c r="F10" s="269">
        <v>1400.0</v>
      </c>
      <c r="G10" s="184">
        <v>2399.0</v>
      </c>
      <c r="H10" s="184">
        <v>2299.0</v>
      </c>
      <c r="I10" s="238">
        <f t="shared" si="2"/>
        <v>1.043497173</v>
      </c>
      <c r="J10" s="649">
        <v>630.0</v>
      </c>
      <c r="K10" s="238">
        <f t="shared" si="3"/>
        <v>0.2626094206</v>
      </c>
      <c r="L10" s="184">
        <f t="shared" si="4"/>
        <v>1769</v>
      </c>
      <c r="M10" s="238">
        <f t="shared" si="5"/>
        <v>2.649206349</v>
      </c>
      <c r="N10" s="232">
        <v>2499.0</v>
      </c>
      <c r="O10" s="106" t="s">
        <v>111</v>
      </c>
      <c r="P10" s="106"/>
      <c r="Q10" s="106"/>
    </row>
    <row r="11" ht="26.25" hidden="1" customHeight="1" outlineLevel="1">
      <c r="A11" s="102"/>
      <c r="B11" s="658"/>
      <c r="C11" s="658" t="s">
        <v>152</v>
      </c>
      <c r="D11" s="658" t="s">
        <v>1044</v>
      </c>
      <c r="E11" s="658"/>
      <c r="F11" s="652">
        <v>500.0</v>
      </c>
      <c r="G11" s="640">
        <v>1299.0</v>
      </c>
      <c r="H11" s="640">
        <v>999.0</v>
      </c>
      <c r="I11" s="238">
        <f t="shared" si="2"/>
        <v>1.3003003</v>
      </c>
      <c r="J11" s="653">
        <v>374.6</v>
      </c>
      <c r="K11" s="654">
        <f t="shared" si="3"/>
        <v>0.2883756736</v>
      </c>
      <c r="L11" s="640">
        <f t="shared" si="4"/>
        <v>924.4</v>
      </c>
      <c r="M11" s="654">
        <f t="shared" si="5"/>
        <v>1.666844634</v>
      </c>
      <c r="N11" s="655">
        <v>1399.0</v>
      </c>
      <c r="O11" s="102" t="s">
        <v>111</v>
      </c>
      <c r="P11" s="102"/>
      <c r="Q11" s="102"/>
    </row>
    <row r="12" ht="83.25" hidden="1" customHeight="1" outlineLevel="1">
      <c r="A12" s="87"/>
      <c r="B12" s="181"/>
      <c r="C12" s="89" t="s">
        <v>155</v>
      </c>
      <c r="D12" s="87" t="s">
        <v>1045</v>
      </c>
      <c r="E12" s="87"/>
      <c r="F12" s="258">
        <v>1200.0</v>
      </c>
      <c r="G12" s="93">
        <v>1499.0</v>
      </c>
      <c r="H12" s="93">
        <v>1399.0</v>
      </c>
      <c r="I12" s="238">
        <f t="shared" si="2"/>
        <v>1.071479628</v>
      </c>
      <c r="J12" s="162">
        <v>314.14</v>
      </c>
      <c r="K12" s="158">
        <f t="shared" si="3"/>
        <v>0.2095663776</v>
      </c>
      <c r="L12" s="93">
        <f t="shared" si="4"/>
        <v>1184.86</v>
      </c>
      <c r="M12" s="659">
        <f t="shared" si="5"/>
        <v>3.453428408</v>
      </c>
      <c r="N12" s="134"/>
      <c r="O12" s="87" t="s">
        <v>112</v>
      </c>
      <c r="P12" s="87"/>
      <c r="Q12" s="87"/>
    </row>
    <row r="13" ht="25.5" hidden="1" customHeight="1" outlineLevel="1">
      <c r="A13" s="102"/>
      <c r="B13" s="660"/>
      <c r="C13" s="658" t="s">
        <v>1046</v>
      </c>
      <c r="D13" s="102" t="s">
        <v>1047</v>
      </c>
      <c r="E13" s="102"/>
      <c r="F13" s="652">
        <v>1200.0</v>
      </c>
      <c r="G13" s="640">
        <v>1499.0</v>
      </c>
      <c r="H13" s="640">
        <v>1799.0</v>
      </c>
      <c r="I13" s="238">
        <f t="shared" si="2"/>
        <v>0.8332406893</v>
      </c>
      <c r="J13" s="653">
        <v>360.0</v>
      </c>
      <c r="K13" s="654">
        <f t="shared" si="3"/>
        <v>0.2401601067</v>
      </c>
      <c r="L13" s="640">
        <f t="shared" si="4"/>
        <v>1139</v>
      </c>
      <c r="M13" s="661">
        <f t="shared" si="5"/>
        <v>3.997222222</v>
      </c>
      <c r="N13" s="655"/>
      <c r="O13" s="102" t="s">
        <v>112</v>
      </c>
      <c r="P13" s="102"/>
      <c r="Q13" s="102"/>
    </row>
    <row r="14" ht="48.0" hidden="1" customHeight="1" outlineLevel="1">
      <c r="A14" s="87"/>
      <c r="B14" s="98"/>
      <c r="C14" s="89" t="s">
        <v>157</v>
      </c>
      <c r="D14" s="87" t="s">
        <v>1048</v>
      </c>
      <c r="E14" s="87"/>
      <c r="F14" s="662">
        <v>1250.0</v>
      </c>
      <c r="G14" s="93">
        <v>2899.0</v>
      </c>
      <c r="H14" s="93">
        <v>2799.0</v>
      </c>
      <c r="I14" s="238">
        <f t="shared" si="2"/>
        <v>1.035727045</v>
      </c>
      <c r="J14" s="162">
        <v>745.01</v>
      </c>
      <c r="K14" s="158">
        <f t="shared" si="3"/>
        <v>0.2569886168</v>
      </c>
      <c r="L14" s="93">
        <f t="shared" si="4"/>
        <v>2153.99</v>
      </c>
      <c r="M14" s="158">
        <f t="shared" si="5"/>
        <v>2.75699655</v>
      </c>
      <c r="N14" s="134">
        <v>2999.0</v>
      </c>
      <c r="O14" s="87" t="s">
        <v>111</v>
      </c>
      <c r="P14" s="87"/>
      <c r="Q14" s="87"/>
    </row>
    <row r="15" ht="75.75" hidden="1" customHeight="1" outlineLevel="1">
      <c r="A15" s="106"/>
      <c r="B15" s="228"/>
      <c r="C15" s="233" t="s">
        <v>161</v>
      </c>
      <c r="D15" s="106" t="s">
        <v>1049</v>
      </c>
      <c r="E15" s="106"/>
      <c r="F15" s="663">
        <v>700.0</v>
      </c>
      <c r="G15" s="232">
        <v>1299.0</v>
      </c>
      <c r="H15" s="232">
        <v>1499.0</v>
      </c>
      <c r="I15" s="238">
        <f t="shared" si="2"/>
        <v>0.8665777185</v>
      </c>
      <c r="J15" s="649">
        <v>370.0</v>
      </c>
      <c r="K15" s="238">
        <f t="shared" si="3"/>
        <v>0.2848344881</v>
      </c>
      <c r="L15" s="184">
        <f t="shared" si="4"/>
        <v>929</v>
      </c>
      <c r="M15" s="238">
        <f t="shared" si="5"/>
        <v>3.051351351</v>
      </c>
      <c r="N15" s="232">
        <v>1399.0</v>
      </c>
      <c r="O15" s="106" t="s">
        <v>111</v>
      </c>
      <c r="P15" s="106"/>
      <c r="Q15" s="106"/>
    </row>
    <row r="16" ht="27.0" customHeight="1" collapsed="1">
      <c r="A16" s="614"/>
      <c r="B16" s="615" t="str">
        <f>"Япония "&amp;COUNTA(C17:C24)&amp;" шт"</f>
        <v>Япония 8 шт</v>
      </c>
      <c r="C16" s="614"/>
      <c r="D16" s="614"/>
      <c r="E16" s="614"/>
      <c r="F16" s="616"/>
      <c r="G16" s="645">
        <f t="shared" ref="G16:H16" si="6">AVERAGE(G17:G24)</f>
        <v>462.75</v>
      </c>
      <c r="H16" s="645">
        <f t="shared" si="6"/>
        <v>375.375</v>
      </c>
      <c r="I16" s="648">
        <f t="shared" si="2"/>
        <v>1.232767233</v>
      </c>
      <c r="J16" s="618"/>
      <c r="K16" s="647">
        <f>AVERAGE(K17:K24)</f>
        <v>0.2409821571</v>
      </c>
      <c r="L16" s="614"/>
      <c r="M16" s="614"/>
      <c r="N16" s="614"/>
      <c r="O16" s="86"/>
      <c r="P16" s="86"/>
      <c r="Q16" s="86"/>
    </row>
    <row r="17" ht="25.5" hidden="1" customHeight="1" outlineLevel="1">
      <c r="A17" s="87"/>
      <c r="B17" s="87"/>
      <c r="C17" s="89" t="s">
        <v>1050</v>
      </c>
      <c r="D17" s="87" t="s">
        <v>1051</v>
      </c>
      <c r="E17" s="87"/>
      <c r="F17" s="258">
        <v>200.0</v>
      </c>
      <c r="G17" s="93">
        <v>429.0</v>
      </c>
      <c r="H17" s="93">
        <v>399.0</v>
      </c>
      <c r="I17" s="238">
        <f t="shared" si="2"/>
        <v>1.07518797</v>
      </c>
      <c r="J17" s="162">
        <v>65.9</v>
      </c>
      <c r="K17" s="158">
        <f t="shared" ref="K17:K24" si="7">J17/G17</f>
        <v>0.1536130536</v>
      </c>
      <c r="L17" s="93">
        <f t="shared" ref="L17:L24" si="8">G17-J17</f>
        <v>363.1</v>
      </c>
      <c r="M17" s="158">
        <f t="shared" ref="M17:M24" si="9">H17/J17-1</f>
        <v>5.054628225</v>
      </c>
      <c r="N17" s="134">
        <v>499.0</v>
      </c>
      <c r="O17" s="87" t="s">
        <v>111</v>
      </c>
      <c r="P17" s="87"/>
      <c r="Q17" s="87"/>
    </row>
    <row r="18" ht="25.5" hidden="1" customHeight="1" outlineLevel="1">
      <c r="A18" s="87"/>
      <c r="B18" s="87"/>
      <c r="C18" s="89" t="s">
        <v>169</v>
      </c>
      <c r="D18" s="87" t="s">
        <v>1052</v>
      </c>
      <c r="E18" s="87"/>
      <c r="F18" s="258">
        <v>200.0</v>
      </c>
      <c r="G18" s="93">
        <v>569.0</v>
      </c>
      <c r="H18" s="93">
        <v>559.0</v>
      </c>
      <c r="I18" s="238">
        <f t="shared" si="2"/>
        <v>1.017889088</v>
      </c>
      <c r="J18" s="162">
        <v>145.9</v>
      </c>
      <c r="K18" s="158">
        <f t="shared" si="7"/>
        <v>0.2564147627</v>
      </c>
      <c r="L18" s="93">
        <f t="shared" si="8"/>
        <v>423.1</v>
      </c>
      <c r="M18" s="158">
        <f t="shared" si="9"/>
        <v>2.831391364</v>
      </c>
      <c r="N18" s="134">
        <v>599.0</v>
      </c>
      <c r="O18" s="87" t="s">
        <v>111</v>
      </c>
      <c r="P18" s="87"/>
      <c r="Q18" s="87"/>
    </row>
    <row r="19" ht="25.5" hidden="1" customHeight="1" outlineLevel="1">
      <c r="A19" s="87"/>
      <c r="B19" s="87"/>
      <c r="C19" s="89" t="s">
        <v>170</v>
      </c>
      <c r="D19" s="87" t="s">
        <v>171</v>
      </c>
      <c r="E19" s="87"/>
      <c r="F19" s="258">
        <v>160.0</v>
      </c>
      <c r="G19" s="93">
        <v>359.0</v>
      </c>
      <c r="H19" s="93">
        <v>349.0</v>
      </c>
      <c r="I19" s="238">
        <f t="shared" si="2"/>
        <v>1.028653295</v>
      </c>
      <c r="J19" s="162">
        <v>58.9</v>
      </c>
      <c r="K19" s="158">
        <f t="shared" si="7"/>
        <v>0.1640668524</v>
      </c>
      <c r="L19" s="93">
        <f t="shared" si="8"/>
        <v>300.1</v>
      </c>
      <c r="M19" s="158">
        <f t="shared" si="9"/>
        <v>4.925297114</v>
      </c>
      <c r="N19" s="134">
        <v>399.0</v>
      </c>
      <c r="O19" s="87" t="s">
        <v>111</v>
      </c>
      <c r="P19" s="87"/>
      <c r="Q19" s="87"/>
    </row>
    <row r="20" ht="25.5" hidden="1" customHeight="1" outlineLevel="1">
      <c r="A20" s="87"/>
      <c r="B20" s="87"/>
      <c r="C20" s="89" t="s">
        <v>173</v>
      </c>
      <c r="D20" s="87" t="s">
        <v>1053</v>
      </c>
      <c r="E20" s="87"/>
      <c r="F20" s="258">
        <v>230.0</v>
      </c>
      <c r="G20" s="93">
        <v>469.0</v>
      </c>
      <c r="H20" s="93">
        <v>459.0</v>
      </c>
      <c r="I20" s="238">
        <f t="shared" si="2"/>
        <v>1.021786492</v>
      </c>
      <c r="J20" s="162">
        <v>111.0</v>
      </c>
      <c r="K20" s="158">
        <f t="shared" si="7"/>
        <v>0.236673774</v>
      </c>
      <c r="L20" s="93">
        <f t="shared" si="8"/>
        <v>358</v>
      </c>
      <c r="M20" s="158">
        <f t="shared" si="9"/>
        <v>3.135135135</v>
      </c>
      <c r="N20" s="134">
        <v>499.0</v>
      </c>
      <c r="O20" s="87" t="s">
        <v>111</v>
      </c>
      <c r="P20" s="87"/>
      <c r="Q20" s="87"/>
    </row>
    <row r="21" ht="67.5" hidden="1" customHeight="1" outlineLevel="1">
      <c r="A21" s="106"/>
      <c r="B21" s="106"/>
      <c r="C21" s="233" t="s">
        <v>175</v>
      </c>
      <c r="D21" s="106" t="s">
        <v>1054</v>
      </c>
      <c r="E21" s="106"/>
      <c r="F21" s="269">
        <v>240.0</v>
      </c>
      <c r="G21" s="184">
        <v>549.0</v>
      </c>
      <c r="H21" s="184">
        <v>539.0</v>
      </c>
      <c r="I21" s="238">
        <f t="shared" si="2"/>
        <v>1.018552876</v>
      </c>
      <c r="J21" s="649">
        <v>145.9</v>
      </c>
      <c r="K21" s="238">
        <f t="shared" si="7"/>
        <v>0.2657559199</v>
      </c>
      <c r="L21" s="184">
        <f t="shared" si="8"/>
        <v>403.1</v>
      </c>
      <c r="M21" s="238">
        <f t="shared" si="9"/>
        <v>2.694311172</v>
      </c>
      <c r="N21" s="232">
        <v>589.0</v>
      </c>
      <c r="O21" s="106" t="s">
        <v>111</v>
      </c>
      <c r="P21" s="106"/>
      <c r="Q21" s="106"/>
    </row>
    <row r="22" ht="67.5" hidden="1" customHeight="1" outlineLevel="1">
      <c r="A22" s="87"/>
      <c r="B22" s="87"/>
      <c r="C22" s="89" t="s">
        <v>1055</v>
      </c>
      <c r="D22" s="87" t="s">
        <v>1056</v>
      </c>
      <c r="E22" s="87"/>
      <c r="F22" s="258">
        <v>200.0</v>
      </c>
      <c r="G22" s="93">
        <v>429.0</v>
      </c>
      <c r="H22" s="93">
        <v>399.0</v>
      </c>
      <c r="I22" s="238">
        <f t="shared" si="2"/>
        <v>1.07518797</v>
      </c>
      <c r="J22" s="664">
        <v>123.9</v>
      </c>
      <c r="K22" s="158">
        <f t="shared" si="7"/>
        <v>0.2888111888</v>
      </c>
      <c r="L22" s="93">
        <f t="shared" si="8"/>
        <v>305.1</v>
      </c>
      <c r="M22" s="158">
        <f t="shared" si="9"/>
        <v>2.220338983</v>
      </c>
      <c r="N22" s="134">
        <v>479.0</v>
      </c>
      <c r="O22" s="87" t="s">
        <v>111</v>
      </c>
      <c r="P22" s="87"/>
      <c r="Q22" s="87"/>
    </row>
    <row r="23" ht="67.5" hidden="1" customHeight="1" outlineLevel="1">
      <c r="A23" s="102"/>
      <c r="B23" s="102"/>
      <c r="C23" s="657" t="s">
        <v>1057</v>
      </c>
      <c r="D23" s="102" t="s">
        <v>1058</v>
      </c>
      <c r="E23" s="102"/>
      <c r="F23" s="652">
        <v>120.0</v>
      </c>
      <c r="G23" s="640">
        <v>599.0</v>
      </c>
      <c r="H23" s="640">
        <v>0.0</v>
      </c>
      <c r="I23" s="238" t="str">
        <f t="shared" si="2"/>
        <v>#DIV/0!</v>
      </c>
      <c r="J23" s="665">
        <v>186.9</v>
      </c>
      <c r="K23" s="654">
        <f t="shared" si="7"/>
        <v>0.3120200334</v>
      </c>
      <c r="L23" s="640">
        <f t="shared" si="8"/>
        <v>412.1</v>
      </c>
      <c r="M23" s="654">
        <f t="shared" si="9"/>
        <v>-1</v>
      </c>
      <c r="N23" s="655">
        <v>659.0</v>
      </c>
      <c r="O23" s="102" t="s">
        <v>111</v>
      </c>
      <c r="P23" s="102"/>
      <c r="Q23" s="102"/>
    </row>
    <row r="24" ht="67.5" hidden="1" customHeight="1" outlineLevel="1">
      <c r="A24" s="102"/>
      <c r="B24" s="102"/>
      <c r="C24" s="657" t="s">
        <v>1059</v>
      </c>
      <c r="D24" s="102" t="s">
        <v>1060</v>
      </c>
      <c r="E24" s="102"/>
      <c r="F24" s="652">
        <v>200.0</v>
      </c>
      <c r="G24" s="640">
        <v>299.0</v>
      </c>
      <c r="H24" s="640">
        <v>299.0</v>
      </c>
      <c r="I24" s="238">
        <f t="shared" si="2"/>
        <v>1</v>
      </c>
      <c r="J24" s="665">
        <v>74.9</v>
      </c>
      <c r="K24" s="654">
        <f t="shared" si="7"/>
        <v>0.2505016722</v>
      </c>
      <c r="L24" s="640">
        <f t="shared" si="8"/>
        <v>224.1</v>
      </c>
      <c r="M24" s="654">
        <f t="shared" si="9"/>
        <v>2.991989319</v>
      </c>
      <c r="N24" s="655">
        <v>359.0</v>
      </c>
      <c r="O24" s="102" t="s">
        <v>111</v>
      </c>
      <c r="P24" s="102"/>
      <c r="Q24" s="102"/>
    </row>
    <row r="25" ht="67.5" hidden="1" customHeight="1" outlineLevel="1">
      <c r="A25" s="121"/>
      <c r="B25" s="121"/>
      <c r="C25" s="123" t="s">
        <v>1061</v>
      </c>
      <c r="D25" s="121"/>
      <c r="E25" s="121"/>
      <c r="F25" s="666"/>
      <c r="G25" s="127"/>
      <c r="H25" s="127">
        <v>399.0</v>
      </c>
      <c r="I25" s="238">
        <f t="shared" si="2"/>
        <v>0</v>
      </c>
      <c r="J25" s="667"/>
      <c r="K25" s="668"/>
      <c r="L25" s="121"/>
      <c r="M25" s="668"/>
      <c r="N25" s="133"/>
      <c r="O25" s="121"/>
      <c r="P25" s="121"/>
      <c r="Q25" s="121"/>
    </row>
    <row r="26" ht="25.5" customHeight="1" collapsed="1">
      <c r="A26" s="615"/>
      <c r="B26" s="615" t="str">
        <f>"Салаты "&amp;COUNTA(C27:C32)&amp;" шт"</f>
        <v>Салаты 6 шт</v>
      </c>
      <c r="C26" s="615"/>
      <c r="D26" s="615"/>
      <c r="E26" s="615"/>
      <c r="F26" s="669"/>
      <c r="G26" s="670">
        <f t="shared" ref="G26:H26" si="10">AVERAGE(G27:G32)</f>
        <v>504</v>
      </c>
      <c r="H26" s="670">
        <f t="shared" si="10"/>
        <v>462.3333333</v>
      </c>
      <c r="I26" s="671">
        <f t="shared" si="2"/>
        <v>1.090122567</v>
      </c>
      <c r="J26" s="618"/>
      <c r="K26" s="247">
        <f>AVERAGE(K27:K32)</f>
        <v>0.262275189</v>
      </c>
      <c r="L26" s="615"/>
      <c r="M26" s="615"/>
      <c r="N26" s="670"/>
      <c r="O26" s="672"/>
      <c r="P26" s="672"/>
      <c r="Q26" s="672"/>
    </row>
    <row r="27" ht="47.25" hidden="1" customHeight="1" outlineLevel="1">
      <c r="A27" s="106"/>
      <c r="B27" s="233"/>
      <c r="C27" s="233" t="s">
        <v>177</v>
      </c>
      <c r="D27" s="656" t="s">
        <v>178</v>
      </c>
      <c r="E27" s="656"/>
      <c r="F27" s="269">
        <v>180.0</v>
      </c>
      <c r="G27" s="184">
        <v>599.0</v>
      </c>
      <c r="H27" s="184">
        <v>599.0</v>
      </c>
      <c r="I27" s="238">
        <f t="shared" si="2"/>
        <v>1</v>
      </c>
      <c r="J27" s="649">
        <v>129.0</v>
      </c>
      <c r="K27" s="238">
        <f t="shared" ref="K27:K32" si="11">J27/G27</f>
        <v>0.2153589316</v>
      </c>
      <c r="L27" s="184">
        <f t="shared" ref="L27:L32" si="12">G27-J27</f>
        <v>470</v>
      </c>
      <c r="M27" s="238">
        <f t="shared" ref="M27:M32" si="13">H27/J27-1</f>
        <v>3.643410853</v>
      </c>
      <c r="N27" s="232">
        <v>639.0</v>
      </c>
      <c r="O27" s="106" t="s">
        <v>111</v>
      </c>
      <c r="P27" s="106"/>
      <c r="Q27" s="106"/>
    </row>
    <row r="28" ht="45.0" hidden="1" customHeight="1" outlineLevel="1">
      <c r="A28" s="106"/>
      <c r="B28" s="236"/>
      <c r="C28" s="236" t="s">
        <v>1062</v>
      </c>
      <c r="D28" s="673" t="s">
        <v>1063</v>
      </c>
      <c r="E28" s="673"/>
      <c r="F28" s="269">
        <v>180.0</v>
      </c>
      <c r="G28" s="184">
        <v>449.0</v>
      </c>
      <c r="H28" s="184">
        <v>299.0</v>
      </c>
      <c r="I28" s="238">
        <f t="shared" si="2"/>
        <v>1.501672241</v>
      </c>
      <c r="J28" s="649">
        <v>135.0</v>
      </c>
      <c r="K28" s="238">
        <f t="shared" si="11"/>
        <v>0.3006681514</v>
      </c>
      <c r="L28" s="184">
        <f t="shared" si="12"/>
        <v>314</v>
      </c>
      <c r="M28" s="238">
        <f t="shared" si="13"/>
        <v>1.214814815</v>
      </c>
      <c r="N28" s="232">
        <v>489.0</v>
      </c>
      <c r="O28" s="106" t="s">
        <v>111</v>
      </c>
      <c r="P28" s="106"/>
      <c r="Q28" s="106"/>
    </row>
    <row r="29" ht="30.0" hidden="1" customHeight="1" outlineLevel="1">
      <c r="A29" s="87"/>
      <c r="B29" s="89"/>
      <c r="C29" s="89" t="s">
        <v>184</v>
      </c>
      <c r="D29" s="674" t="s">
        <v>182</v>
      </c>
      <c r="E29" s="674"/>
      <c r="F29" s="258">
        <v>190.0</v>
      </c>
      <c r="G29" s="93">
        <v>449.0</v>
      </c>
      <c r="H29" s="93">
        <v>399.0</v>
      </c>
      <c r="I29" s="238">
        <f t="shared" si="2"/>
        <v>1.125313283</v>
      </c>
      <c r="J29" s="664">
        <v>136.98</v>
      </c>
      <c r="K29" s="158">
        <f t="shared" si="11"/>
        <v>0.305077951</v>
      </c>
      <c r="L29" s="93">
        <f t="shared" si="12"/>
        <v>312.02</v>
      </c>
      <c r="M29" s="158">
        <f t="shared" si="13"/>
        <v>1.91283399</v>
      </c>
      <c r="N29" s="134">
        <v>499.0</v>
      </c>
      <c r="O29" s="87" t="s">
        <v>111</v>
      </c>
      <c r="P29" s="87"/>
      <c r="Q29" s="87"/>
    </row>
    <row r="30" ht="25.5" hidden="1" customHeight="1" outlineLevel="1">
      <c r="A30" s="87"/>
      <c r="B30" s="89"/>
      <c r="C30" s="89" t="s">
        <v>188</v>
      </c>
      <c r="D30" s="674" t="s">
        <v>1064</v>
      </c>
      <c r="E30" s="674"/>
      <c r="F30" s="258">
        <v>210.0</v>
      </c>
      <c r="G30" s="93">
        <v>449.0</v>
      </c>
      <c r="H30" s="93">
        <v>399.0</v>
      </c>
      <c r="I30" s="238">
        <f t="shared" si="2"/>
        <v>1.125313283</v>
      </c>
      <c r="J30" s="664">
        <v>88.44</v>
      </c>
      <c r="K30" s="158">
        <f t="shared" si="11"/>
        <v>0.1969710468</v>
      </c>
      <c r="L30" s="93">
        <f t="shared" si="12"/>
        <v>360.56</v>
      </c>
      <c r="M30" s="158">
        <f t="shared" si="13"/>
        <v>3.511533243</v>
      </c>
      <c r="N30" s="134">
        <v>499.0</v>
      </c>
      <c r="O30" s="87" t="s">
        <v>111</v>
      </c>
      <c r="P30" s="87"/>
      <c r="Q30" s="87"/>
    </row>
    <row r="31" ht="30.0" hidden="1" customHeight="1" outlineLevel="1">
      <c r="A31" s="106"/>
      <c r="B31" s="123" t="s">
        <v>1065</v>
      </c>
      <c r="C31" s="233" t="s">
        <v>190</v>
      </c>
      <c r="D31" s="656" t="s">
        <v>1066</v>
      </c>
      <c r="E31" s="656"/>
      <c r="F31" s="269">
        <v>210.0</v>
      </c>
      <c r="G31" s="184">
        <v>579.0</v>
      </c>
      <c r="H31" s="184">
        <v>579.0</v>
      </c>
      <c r="I31" s="238">
        <f t="shared" si="2"/>
        <v>1</v>
      </c>
      <c r="J31" s="675">
        <v>146.69</v>
      </c>
      <c r="K31" s="238">
        <f t="shared" si="11"/>
        <v>0.2533506045</v>
      </c>
      <c r="L31" s="184">
        <f t="shared" si="12"/>
        <v>432.31</v>
      </c>
      <c r="M31" s="238">
        <f t="shared" si="13"/>
        <v>2.947099325</v>
      </c>
      <c r="N31" s="232">
        <v>639.0</v>
      </c>
      <c r="O31" s="106" t="s">
        <v>111</v>
      </c>
      <c r="P31" s="106"/>
      <c r="Q31" s="106"/>
    </row>
    <row r="32" ht="33.75" hidden="1" customHeight="1" outlineLevel="1">
      <c r="A32" s="106"/>
      <c r="B32" s="233"/>
      <c r="C32" s="233" t="s">
        <v>1067</v>
      </c>
      <c r="D32" s="656" t="s">
        <v>1068</v>
      </c>
      <c r="E32" s="656"/>
      <c r="F32" s="269">
        <v>150.0</v>
      </c>
      <c r="G32" s="184">
        <v>499.0</v>
      </c>
      <c r="H32" s="184">
        <v>499.0</v>
      </c>
      <c r="I32" s="238">
        <f t="shared" si="2"/>
        <v>1</v>
      </c>
      <c r="J32" s="675">
        <v>150.81</v>
      </c>
      <c r="K32" s="238">
        <f t="shared" si="11"/>
        <v>0.3022244489</v>
      </c>
      <c r="L32" s="184">
        <f t="shared" si="12"/>
        <v>348.19</v>
      </c>
      <c r="M32" s="238">
        <f t="shared" si="13"/>
        <v>2.308799151</v>
      </c>
      <c r="N32" s="232">
        <v>559.0</v>
      </c>
      <c r="O32" s="106" t="s">
        <v>111</v>
      </c>
      <c r="P32" s="106"/>
      <c r="Q32" s="106"/>
    </row>
    <row r="33" ht="30.0" hidden="1" customHeight="1" outlineLevel="1">
      <c r="A33" s="121"/>
      <c r="B33" s="123"/>
      <c r="C33" s="123" t="s">
        <v>1069</v>
      </c>
      <c r="D33" s="676"/>
      <c r="E33" s="676"/>
      <c r="F33" s="666"/>
      <c r="G33" s="127"/>
      <c r="H33" s="127">
        <v>369.0</v>
      </c>
      <c r="I33" s="668"/>
      <c r="J33" s="667"/>
      <c r="K33" s="668"/>
      <c r="L33" s="121"/>
      <c r="M33" s="668"/>
      <c r="N33" s="133"/>
      <c r="O33" s="121"/>
      <c r="P33" s="121"/>
      <c r="Q33" s="121"/>
    </row>
    <row r="34" ht="25.5" customHeight="1" collapsed="1">
      <c r="A34" s="614"/>
      <c r="B34" s="615" t="str">
        <f>"Закуски "&amp;COUNTA(C38:C44)&amp;" шт"</f>
        <v>Закуски 7 шт</v>
      </c>
      <c r="C34" s="614"/>
      <c r="D34" s="614"/>
      <c r="E34" s="614"/>
      <c r="F34" s="616"/>
      <c r="G34" s="645">
        <f t="shared" ref="G34:H34" si="14">AVERAGE(G37:G44)</f>
        <v>322.75</v>
      </c>
      <c r="H34" s="645">
        <f t="shared" si="14"/>
        <v>249.25</v>
      </c>
      <c r="I34" s="648">
        <f>G34/H34</f>
        <v>1.294884654</v>
      </c>
      <c r="J34" s="618"/>
      <c r="K34" s="247">
        <f>AVERAGE(K37:K44)</f>
        <v>0.2495548498</v>
      </c>
      <c r="L34" s="614"/>
      <c r="M34" s="614"/>
      <c r="N34" s="614"/>
      <c r="O34" s="86"/>
      <c r="P34" s="86"/>
      <c r="Q34" s="86"/>
    </row>
    <row r="35" ht="47.25" hidden="1" customHeight="1" outlineLevel="1">
      <c r="A35" s="121"/>
      <c r="B35" s="123"/>
      <c r="C35" s="123" t="s">
        <v>1070</v>
      </c>
      <c r="D35" s="676"/>
      <c r="E35" s="676"/>
      <c r="F35" s="666"/>
      <c r="G35" s="127"/>
      <c r="H35" s="127">
        <v>899.0</v>
      </c>
      <c r="I35" s="668"/>
      <c r="J35" s="677"/>
      <c r="K35" s="668"/>
      <c r="L35" s="121"/>
      <c r="M35" s="668"/>
      <c r="N35" s="133"/>
      <c r="O35" s="121"/>
      <c r="P35" s="121"/>
      <c r="Q35" s="121"/>
    </row>
    <row r="36" ht="47.25" hidden="1" customHeight="1" outlineLevel="1">
      <c r="A36" s="121"/>
      <c r="B36" s="123"/>
      <c r="C36" s="123" t="s">
        <v>1071</v>
      </c>
      <c r="D36" s="676"/>
      <c r="E36" s="676"/>
      <c r="F36" s="666"/>
      <c r="G36" s="127"/>
      <c r="H36" s="127">
        <v>399.0</v>
      </c>
      <c r="I36" s="668"/>
      <c r="J36" s="677"/>
      <c r="K36" s="668"/>
      <c r="L36" s="121"/>
      <c r="M36" s="668"/>
      <c r="N36" s="133"/>
      <c r="O36" s="121"/>
      <c r="P36" s="121"/>
      <c r="Q36" s="121"/>
    </row>
    <row r="37" ht="25.5" hidden="1" customHeight="1" outlineLevel="1">
      <c r="A37" s="102"/>
      <c r="B37" s="657"/>
      <c r="C37" s="657" t="s">
        <v>1072</v>
      </c>
      <c r="D37" s="650" t="s">
        <v>1073</v>
      </c>
      <c r="E37" s="650"/>
      <c r="F37" s="652">
        <v>300.0</v>
      </c>
      <c r="G37" s="640">
        <v>489.0</v>
      </c>
      <c r="H37" s="640">
        <v>439.0</v>
      </c>
      <c r="I37" s="238">
        <f t="shared" ref="I37:I67" si="15">G37/H37</f>
        <v>1.113895216</v>
      </c>
      <c r="J37" s="653">
        <v>152.3</v>
      </c>
      <c r="K37" s="654">
        <f t="shared" ref="K37:K44" si="16">J37/G37</f>
        <v>0.3114519427</v>
      </c>
      <c r="L37" s="640">
        <f t="shared" ref="L37:L44" si="17">G37-J37</f>
        <v>336.7</v>
      </c>
      <c r="M37" s="654">
        <f t="shared" ref="M37:M44" si="18">H37/J37-1</f>
        <v>1.882468812</v>
      </c>
      <c r="N37" s="655">
        <v>549.0</v>
      </c>
      <c r="O37" s="102" t="s">
        <v>111</v>
      </c>
      <c r="P37" s="102"/>
      <c r="Q37" s="102"/>
    </row>
    <row r="38" ht="47.25" hidden="1" customHeight="1" outlineLevel="1">
      <c r="A38" s="102"/>
      <c r="B38" s="657"/>
      <c r="C38" s="657" t="s">
        <v>1074</v>
      </c>
      <c r="D38" s="650" t="s">
        <v>1075</v>
      </c>
      <c r="E38" s="650"/>
      <c r="F38" s="652">
        <v>200.0</v>
      </c>
      <c r="G38" s="640">
        <v>459.0</v>
      </c>
      <c r="H38" s="640">
        <v>0.0</v>
      </c>
      <c r="I38" s="238" t="str">
        <f t="shared" si="15"/>
        <v>#DIV/0!</v>
      </c>
      <c r="J38" s="653">
        <v>137.9</v>
      </c>
      <c r="K38" s="654">
        <f t="shared" si="16"/>
        <v>0.3004357298</v>
      </c>
      <c r="L38" s="640">
        <f t="shared" si="17"/>
        <v>321.1</v>
      </c>
      <c r="M38" s="654">
        <f t="shared" si="18"/>
        <v>-1</v>
      </c>
      <c r="N38" s="655">
        <v>499.0</v>
      </c>
      <c r="O38" s="102" t="s">
        <v>111</v>
      </c>
      <c r="P38" s="102"/>
      <c r="Q38" s="102"/>
    </row>
    <row r="39" ht="25.5" hidden="1" customHeight="1" outlineLevel="1">
      <c r="A39" s="102"/>
      <c r="B39" s="657" t="s">
        <v>1076</v>
      </c>
      <c r="C39" s="657" t="s">
        <v>1077</v>
      </c>
      <c r="D39" s="650"/>
      <c r="E39" s="650"/>
      <c r="F39" s="652" t="s">
        <v>202</v>
      </c>
      <c r="G39" s="640">
        <v>219.0</v>
      </c>
      <c r="H39" s="640">
        <v>0.0</v>
      </c>
      <c r="I39" s="654" t="str">
        <f t="shared" si="15"/>
        <v>#DIV/0!</v>
      </c>
      <c r="J39" s="653">
        <v>45.9</v>
      </c>
      <c r="K39" s="654">
        <f t="shared" si="16"/>
        <v>0.2095890411</v>
      </c>
      <c r="L39" s="640">
        <f t="shared" si="17"/>
        <v>173.1</v>
      </c>
      <c r="M39" s="654">
        <f t="shared" si="18"/>
        <v>-1</v>
      </c>
      <c r="N39" s="655">
        <v>249.0</v>
      </c>
      <c r="O39" s="102" t="s">
        <v>111</v>
      </c>
      <c r="P39" s="102"/>
      <c r="Q39" s="102"/>
    </row>
    <row r="40" ht="25.5" hidden="1" customHeight="1" outlineLevel="1">
      <c r="A40" s="106"/>
      <c r="B40" s="233"/>
      <c r="C40" s="233" t="s">
        <v>203</v>
      </c>
      <c r="D40" s="656"/>
      <c r="E40" s="656"/>
      <c r="F40" s="269" t="s">
        <v>202</v>
      </c>
      <c r="G40" s="184">
        <v>379.0</v>
      </c>
      <c r="H40" s="184">
        <v>379.0</v>
      </c>
      <c r="I40" s="238">
        <f t="shared" si="15"/>
        <v>1</v>
      </c>
      <c r="J40" s="649">
        <v>104.23</v>
      </c>
      <c r="K40" s="238">
        <f t="shared" si="16"/>
        <v>0.2750131926</v>
      </c>
      <c r="L40" s="184">
        <f t="shared" si="17"/>
        <v>274.77</v>
      </c>
      <c r="M40" s="238">
        <f t="shared" si="18"/>
        <v>2.636189197</v>
      </c>
      <c r="N40" s="232">
        <v>429.0</v>
      </c>
      <c r="O40" s="106" t="s">
        <v>111</v>
      </c>
      <c r="P40" s="106"/>
      <c r="Q40" s="106"/>
    </row>
    <row r="41" ht="25.5" hidden="1" customHeight="1" outlineLevel="1">
      <c r="A41" s="106"/>
      <c r="B41" s="233"/>
      <c r="C41" s="233" t="s">
        <v>472</v>
      </c>
      <c r="D41" s="656"/>
      <c r="E41" s="656"/>
      <c r="F41" s="269" t="s">
        <v>1078</v>
      </c>
      <c r="G41" s="184">
        <v>219.0</v>
      </c>
      <c r="H41" s="184">
        <v>199.0</v>
      </c>
      <c r="I41" s="238">
        <f t="shared" si="15"/>
        <v>1.100502513</v>
      </c>
      <c r="J41" s="649">
        <v>47.35</v>
      </c>
      <c r="K41" s="238">
        <f t="shared" si="16"/>
        <v>0.2162100457</v>
      </c>
      <c r="L41" s="184">
        <f t="shared" si="17"/>
        <v>171.65</v>
      </c>
      <c r="M41" s="238">
        <f t="shared" si="18"/>
        <v>3.202745512</v>
      </c>
      <c r="N41" s="232">
        <v>249.0</v>
      </c>
      <c r="O41" s="106" t="s">
        <v>111</v>
      </c>
      <c r="P41" s="106"/>
      <c r="Q41" s="106"/>
    </row>
    <row r="42" ht="25.5" hidden="1" customHeight="1" outlineLevel="1">
      <c r="A42" s="106"/>
      <c r="B42" s="233"/>
      <c r="C42" s="233" t="s">
        <v>205</v>
      </c>
      <c r="D42" s="656"/>
      <c r="E42" s="656"/>
      <c r="F42" s="269">
        <v>200.0</v>
      </c>
      <c r="G42" s="184">
        <v>259.0</v>
      </c>
      <c r="H42" s="184">
        <v>299.0</v>
      </c>
      <c r="I42" s="238">
        <f t="shared" si="15"/>
        <v>0.8662207358</v>
      </c>
      <c r="J42" s="649">
        <v>63.69</v>
      </c>
      <c r="K42" s="238">
        <f t="shared" si="16"/>
        <v>0.2459073359</v>
      </c>
      <c r="L42" s="184">
        <f t="shared" si="17"/>
        <v>195.31</v>
      </c>
      <c r="M42" s="238">
        <f t="shared" si="18"/>
        <v>3.694614539</v>
      </c>
      <c r="N42" s="232">
        <v>299.0</v>
      </c>
      <c r="O42" s="106" t="s">
        <v>111</v>
      </c>
      <c r="P42" s="106"/>
      <c r="Q42" s="106"/>
    </row>
    <row r="43" ht="25.5" hidden="1" customHeight="1" outlineLevel="1">
      <c r="A43" s="106"/>
      <c r="B43" s="233"/>
      <c r="C43" s="233" t="s">
        <v>206</v>
      </c>
      <c r="D43" s="656"/>
      <c r="E43" s="656"/>
      <c r="F43" s="269">
        <v>200.0</v>
      </c>
      <c r="G43" s="184">
        <v>259.0</v>
      </c>
      <c r="H43" s="184">
        <v>299.0</v>
      </c>
      <c r="I43" s="238">
        <f t="shared" si="15"/>
        <v>0.8662207358</v>
      </c>
      <c r="J43" s="649">
        <v>64.89</v>
      </c>
      <c r="K43" s="238">
        <f t="shared" si="16"/>
        <v>0.2505405405</v>
      </c>
      <c r="L43" s="184">
        <f t="shared" si="17"/>
        <v>194.11</v>
      </c>
      <c r="M43" s="238">
        <f t="shared" si="18"/>
        <v>3.607797812</v>
      </c>
      <c r="N43" s="232">
        <v>299.0</v>
      </c>
      <c r="O43" s="106" t="s">
        <v>111</v>
      </c>
      <c r="P43" s="106"/>
      <c r="Q43" s="106"/>
    </row>
    <row r="44" ht="24.75" hidden="1" customHeight="1" outlineLevel="1">
      <c r="A44" s="106"/>
      <c r="B44" s="233"/>
      <c r="C44" s="233" t="s">
        <v>207</v>
      </c>
      <c r="D44" s="656"/>
      <c r="E44" s="656"/>
      <c r="F44" s="269" t="s">
        <v>202</v>
      </c>
      <c r="G44" s="184">
        <v>299.0</v>
      </c>
      <c r="H44" s="184">
        <v>379.0</v>
      </c>
      <c r="I44" s="238">
        <f t="shared" si="15"/>
        <v>0.7889182058</v>
      </c>
      <c r="J44" s="649">
        <v>56.0</v>
      </c>
      <c r="K44" s="238">
        <f t="shared" si="16"/>
        <v>0.1872909699</v>
      </c>
      <c r="L44" s="184">
        <f t="shared" si="17"/>
        <v>243</v>
      </c>
      <c r="M44" s="238">
        <f t="shared" si="18"/>
        <v>5.767857143</v>
      </c>
      <c r="N44" s="232">
        <v>349.0</v>
      </c>
      <c r="O44" s="106" t="s">
        <v>111</v>
      </c>
      <c r="P44" s="106"/>
      <c r="Q44" s="106"/>
    </row>
    <row r="45" ht="25.5" customHeight="1" collapsed="1">
      <c r="A45" s="614"/>
      <c r="B45" s="615" t="str">
        <f>"Супы "&amp;COUNTA(C46:C49)&amp;" шт"</f>
        <v>Супы 4 шт</v>
      </c>
      <c r="C45" s="614"/>
      <c r="D45" s="614"/>
      <c r="E45" s="614"/>
      <c r="F45" s="616"/>
      <c r="G45" s="645">
        <f t="shared" ref="G45:H45" si="19">AVERAGE(G46:G49)</f>
        <v>449</v>
      </c>
      <c r="H45" s="645">
        <f t="shared" si="19"/>
        <v>426.5</v>
      </c>
      <c r="I45" s="648">
        <f t="shared" si="15"/>
        <v>1.052754982</v>
      </c>
      <c r="J45" s="618"/>
      <c r="K45" s="678">
        <f>AVERAGE(K46:K49)</f>
        <v>0.2454108102</v>
      </c>
      <c r="L45" s="614"/>
      <c r="M45" s="614"/>
      <c r="N45" s="614"/>
      <c r="O45" s="86"/>
      <c r="P45" s="86"/>
      <c r="Q45" s="86"/>
    </row>
    <row r="46" ht="25.5" hidden="1" customHeight="1" outlineLevel="1">
      <c r="A46" s="87"/>
      <c r="B46" s="116"/>
      <c r="C46" s="89" t="s">
        <v>214</v>
      </c>
      <c r="D46" s="116" t="s">
        <v>1079</v>
      </c>
      <c r="E46" s="116"/>
      <c r="F46" s="258">
        <v>300.0</v>
      </c>
      <c r="G46" s="93">
        <v>379.0</v>
      </c>
      <c r="H46" s="93">
        <v>339.0</v>
      </c>
      <c r="I46" s="238">
        <f t="shared" si="15"/>
        <v>1.1179941</v>
      </c>
      <c r="J46" s="162">
        <v>74.57</v>
      </c>
      <c r="K46" s="158">
        <f t="shared" ref="K46:K49" si="20">J46/G46</f>
        <v>0.1967546174</v>
      </c>
      <c r="L46" s="93">
        <f t="shared" ref="L46:L49" si="21">G46-J46</f>
        <v>304.43</v>
      </c>
      <c r="M46" s="158">
        <f t="shared" ref="M46:M49" si="22">H46/J46-1</f>
        <v>3.546064101</v>
      </c>
      <c r="N46" s="134">
        <v>399.0</v>
      </c>
      <c r="O46" s="87" t="s">
        <v>111</v>
      </c>
      <c r="P46" s="87"/>
      <c r="Q46" s="87"/>
    </row>
    <row r="47" ht="25.5" hidden="1" customHeight="1" outlineLevel="1">
      <c r="A47" s="87"/>
      <c r="B47" s="89"/>
      <c r="C47" s="89" t="s">
        <v>1080</v>
      </c>
      <c r="D47" s="181" t="s">
        <v>1081</v>
      </c>
      <c r="E47" s="181"/>
      <c r="F47" s="258">
        <v>300.0</v>
      </c>
      <c r="G47" s="93">
        <v>439.0</v>
      </c>
      <c r="H47" s="93">
        <v>399.0</v>
      </c>
      <c r="I47" s="238">
        <f t="shared" si="15"/>
        <v>1.100250627</v>
      </c>
      <c r="J47" s="162">
        <v>127.69</v>
      </c>
      <c r="K47" s="158">
        <f t="shared" si="20"/>
        <v>0.2908656036</v>
      </c>
      <c r="L47" s="93">
        <f t="shared" si="21"/>
        <v>311.31</v>
      </c>
      <c r="M47" s="158">
        <f t="shared" si="22"/>
        <v>2.124755267</v>
      </c>
      <c r="N47" s="134">
        <v>479.0</v>
      </c>
      <c r="O47" s="87" t="s">
        <v>111</v>
      </c>
      <c r="P47" s="87"/>
      <c r="Q47" s="87"/>
    </row>
    <row r="48" ht="25.5" hidden="1" customHeight="1" outlineLevel="1">
      <c r="A48" s="87"/>
      <c r="B48" s="89"/>
      <c r="C48" s="89" t="s">
        <v>219</v>
      </c>
      <c r="D48" s="181" t="s">
        <v>1082</v>
      </c>
      <c r="E48" s="181"/>
      <c r="F48" s="258">
        <v>350.0</v>
      </c>
      <c r="G48" s="93">
        <v>599.0</v>
      </c>
      <c r="H48" s="93">
        <v>599.0</v>
      </c>
      <c r="I48" s="238">
        <f t="shared" si="15"/>
        <v>1</v>
      </c>
      <c r="J48" s="162">
        <v>168.17</v>
      </c>
      <c r="K48" s="158">
        <f t="shared" si="20"/>
        <v>0.2807512521</v>
      </c>
      <c r="L48" s="93">
        <f t="shared" si="21"/>
        <v>430.83</v>
      </c>
      <c r="M48" s="158">
        <f t="shared" si="22"/>
        <v>2.561871915</v>
      </c>
      <c r="N48" s="134">
        <v>659.0</v>
      </c>
      <c r="O48" s="87" t="s">
        <v>111</v>
      </c>
      <c r="P48" s="87"/>
      <c r="Q48" s="87"/>
    </row>
    <row r="49" ht="25.5" hidden="1" customHeight="1" outlineLevel="1">
      <c r="A49" s="87"/>
      <c r="B49" s="89"/>
      <c r="C49" s="89" t="s">
        <v>1083</v>
      </c>
      <c r="D49" s="181" t="s">
        <v>1084</v>
      </c>
      <c r="E49" s="181"/>
      <c r="F49" s="258">
        <v>300.0</v>
      </c>
      <c r="G49" s="93">
        <v>379.0</v>
      </c>
      <c r="H49" s="93">
        <v>369.0</v>
      </c>
      <c r="I49" s="238">
        <f t="shared" si="15"/>
        <v>1.027100271</v>
      </c>
      <c r="J49" s="162">
        <v>80.83</v>
      </c>
      <c r="K49" s="158">
        <f t="shared" si="20"/>
        <v>0.2132717678</v>
      </c>
      <c r="L49" s="93">
        <f t="shared" si="21"/>
        <v>298.17</v>
      </c>
      <c r="M49" s="158">
        <f t="shared" si="22"/>
        <v>3.565136707</v>
      </c>
      <c r="N49" s="134">
        <v>399.0</v>
      </c>
      <c r="O49" s="87" t="s">
        <v>111</v>
      </c>
      <c r="P49" s="87"/>
      <c r="Q49" s="87"/>
    </row>
    <row r="50" ht="25.5" customHeight="1" collapsed="1">
      <c r="A50" s="614"/>
      <c r="B50" s="615" t="str">
        <f>"Горячее, паста "&amp;COUNTA(C51:C67)&amp;" шт"</f>
        <v>Горячее, паста 17 шт</v>
      </c>
      <c r="C50" s="614"/>
      <c r="D50" s="614"/>
      <c r="E50" s="614"/>
      <c r="F50" s="616" t="s">
        <v>220</v>
      </c>
      <c r="G50" s="645">
        <f t="shared" ref="G50:H50" si="23">AVERAGE(G51:G67)</f>
        <v>564.2941176</v>
      </c>
      <c r="H50" s="645">
        <f t="shared" si="23"/>
        <v>445.8666667</v>
      </c>
      <c r="I50" s="648">
        <f t="shared" si="15"/>
        <v>1.265611807</v>
      </c>
      <c r="J50" s="618"/>
      <c r="K50" s="247">
        <f>AVERAGE(K51:K67)</f>
        <v>0.2573204003</v>
      </c>
      <c r="L50" s="614"/>
      <c r="M50" s="614"/>
      <c r="N50" s="614"/>
      <c r="O50" s="86"/>
      <c r="P50" s="86"/>
      <c r="Q50" s="86"/>
    </row>
    <row r="51" ht="39.75" hidden="1" customHeight="1" outlineLevel="1">
      <c r="A51" s="106"/>
      <c r="B51" s="656"/>
      <c r="C51" s="233" t="s">
        <v>1085</v>
      </c>
      <c r="D51" s="656" t="s">
        <v>1086</v>
      </c>
      <c r="E51" s="656"/>
      <c r="F51" s="269">
        <v>280.0</v>
      </c>
      <c r="G51" s="184">
        <v>549.0</v>
      </c>
      <c r="H51" s="184">
        <v>529.0</v>
      </c>
      <c r="I51" s="238">
        <f t="shared" si="15"/>
        <v>1.037807183</v>
      </c>
      <c r="J51" s="649">
        <v>156.9</v>
      </c>
      <c r="K51" s="238">
        <f t="shared" ref="K51:K68" si="24">J51/G51</f>
        <v>0.2857923497</v>
      </c>
      <c r="L51" s="184">
        <f t="shared" ref="L51:L68" si="25">G51-J51</f>
        <v>392.1</v>
      </c>
      <c r="M51" s="238">
        <f t="shared" ref="M51:M68" si="26">H51/J51-1</f>
        <v>2.371574251</v>
      </c>
      <c r="N51" s="232">
        <v>579.0</v>
      </c>
      <c r="O51" s="106" t="s">
        <v>111</v>
      </c>
      <c r="P51" s="106"/>
      <c r="Q51" s="106"/>
    </row>
    <row r="52" ht="39.75" hidden="1" customHeight="1" outlineLevel="1">
      <c r="A52" s="106"/>
      <c r="B52" s="656"/>
      <c r="C52" s="233" t="s">
        <v>277</v>
      </c>
      <c r="D52" s="656" t="s">
        <v>1087</v>
      </c>
      <c r="E52" s="656"/>
      <c r="F52" s="269">
        <v>230.0</v>
      </c>
      <c r="G52" s="184">
        <v>459.0</v>
      </c>
      <c r="H52" s="184">
        <v>459.0</v>
      </c>
      <c r="I52" s="238">
        <f t="shared" si="15"/>
        <v>1</v>
      </c>
      <c r="J52" s="649">
        <v>105.24</v>
      </c>
      <c r="K52" s="238">
        <f t="shared" si="24"/>
        <v>0.2292810458</v>
      </c>
      <c r="L52" s="184">
        <f t="shared" si="25"/>
        <v>353.76</v>
      </c>
      <c r="M52" s="238">
        <f t="shared" si="26"/>
        <v>3.361459521</v>
      </c>
      <c r="N52" s="232">
        <v>499.0</v>
      </c>
      <c r="O52" s="106" t="s">
        <v>111</v>
      </c>
      <c r="P52" s="106"/>
      <c r="Q52" s="106"/>
    </row>
    <row r="53" ht="25.5" hidden="1" customHeight="1" outlineLevel="1">
      <c r="A53" s="106"/>
      <c r="B53" s="656"/>
      <c r="C53" s="233" t="s">
        <v>280</v>
      </c>
      <c r="D53" s="656" t="s">
        <v>1088</v>
      </c>
      <c r="E53" s="656"/>
      <c r="F53" s="269">
        <v>250.0</v>
      </c>
      <c r="G53" s="184">
        <v>439.0</v>
      </c>
      <c r="H53" s="184">
        <v>429.0</v>
      </c>
      <c r="I53" s="238">
        <f t="shared" si="15"/>
        <v>1.023310023</v>
      </c>
      <c r="J53" s="649">
        <v>108.0</v>
      </c>
      <c r="K53" s="238">
        <f t="shared" si="24"/>
        <v>0.2460136674</v>
      </c>
      <c r="L53" s="184">
        <f t="shared" si="25"/>
        <v>331</v>
      </c>
      <c r="M53" s="238">
        <f t="shared" si="26"/>
        <v>2.972222222</v>
      </c>
      <c r="N53" s="232">
        <v>489.0</v>
      </c>
      <c r="O53" s="106" t="s">
        <v>111</v>
      </c>
      <c r="P53" s="106"/>
      <c r="Q53" s="106"/>
    </row>
    <row r="54" ht="25.5" hidden="1" customHeight="1" outlineLevel="1">
      <c r="A54" s="106"/>
      <c r="B54" s="656"/>
      <c r="C54" s="233" t="s">
        <v>283</v>
      </c>
      <c r="D54" s="656" t="s">
        <v>1089</v>
      </c>
      <c r="E54" s="656"/>
      <c r="F54" s="269">
        <v>250.0</v>
      </c>
      <c r="G54" s="184">
        <v>589.0</v>
      </c>
      <c r="H54" s="184">
        <v>579.0</v>
      </c>
      <c r="I54" s="238">
        <f t="shared" si="15"/>
        <v>1.017271157</v>
      </c>
      <c r="J54" s="649">
        <v>167.42</v>
      </c>
      <c r="K54" s="238">
        <f t="shared" si="24"/>
        <v>0.2842444822</v>
      </c>
      <c r="L54" s="184">
        <f t="shared" si="25"/>
        <v>421.58</v>
      </c>
      <c r="M54" s="238">
        <f t="shared" si="26"/>
        <v>2.458368176</v>
      </c>
      <c r="N54" s="232">
        <v>649.0</v>
      </c>
      <c r="O54" s="106" t="s">
        <v>111</v>
      </c>
      <c r="P54" s="106"/>
      <c r="Q54" s="106"/>
    </row>
    <row r="55" ht="25.5" hidden="1" customHeight="1" outlineLevel="1">
      <c r="A55" s="102"/>
      <c r="B55" s="650"/>
      <c r="C55" s="650" t="s">
        <v>1090</v>
      </c>
      <c r="D55" s="650" t="s">
        <v>1091</v>
      </c>
      <c r="E55" s="650"/>
      <c r="F55" s="652">
        <v>250.0</v>
      </c>
      <c r="G55" s="184">
        <v>489.0</v>
      </c>
      <c r="H55" s="640"/>
      <c r="I55" s="238" t="str">
        <f t="shared" si="15"/>
        <v>#DIV/0!</v>
      </c>
      <c r="J55" s="653">
        <v>132.0</v>
      </c>
      <c r="K55" s="238">
        <f t="shared" si="24"/>
        <v>0.2699386503</v>
      </c>
      <c r="L55" s="184">
        <f t="shared" si="25"/>
        <v>357</v>
      </c>
      <c r="M55" s="238">
        <f t="shared" si="26"/>
        <v>-1</v>
      </c>
      <c r="N55" s="655">
        <v>529.0</v>
      </c>
      <c r="O55" s="102" t="s">
        <v>111</v>
      </c>
      <c r="P55" s="102"/>
      <c r="Q55" s="102"/>
    </row>
    <row r="56" ht="25.5" hidden="1" customHeight="1" outlineLevel="1">
      <c r="A56" s="102"/>
      <c r="B56" s="650"/>
      <c r="C56" s="650" t="s">
        <v>1092</v>
      </c>
      <c r="D56" s="650" t="s">
        <v>1093</v>
      </c>
      <c r="E56" s="650"/>
      <c r="F56" s="652">
        <v>230.0</v>
      </c>
      <c r="G56" s="640">
        <v>589.0</v>
      </c>
      <c r="H56" s="640"/>
      <c r="I56" s="238" t="str">
        <f t="shared" si="15"/>
        <v>#DIV/0!</v>
      </c>
      <c r="J56" s="653">
        <v>175.0</v>
      </c>
      <c r="K56" s="654">
        <f t="shared" si="24"/>
        <v>0.2971137521</v>
      </c>
      <c r="L56" s="640">
        <f t="shared" si="25"/>
        <v>414</v>
      </c>
      <c r="M56" s="654">
        <f t="shared" si="26"/>
        <v>-1</v>
      </c>
      <c r="N56" s="655">
        <v>639.0</v>
      </c>
      <c r="O56" s="102" t="s">
        <v>111</v>
      </c>
      <c r="P56" s="102"/>
      <c r="Q56" s="102"/>
    </row>
    <row r="57" ht="25.5" hidden="1" customHeight="1" outlineLevel="1">
      <c r="A57" s="87"/>
      <c r="B57" s="181"/>
      <c r="C57" s="89" t="s">
        <v>1094</v>
      </c>
      <c r="D57" s="181" t="s">
        <v>1095</v>
      </c>
      <c r="E57" s="181"/>
      <c r="F57" s="258">
        <v>300.0</v>
      </c>
      <c r="G57" s="93">
        <v>349.0</v>
      </c>
      <c r="H57" s="93">
        <v>339.0</v>
      </c>
      <c r="I57" s="238">
        <f t="shared" si="15"/>
        <v>1.029498525</v>
      </c>
      <c r="J57" s="162">
        <v>93.08</v>
      </c>
      <c r="K57" s="158">
        <f t="shared" si="24"/>
        <v>0.2667048711</v>
      </c>
      <c r="L57" s="93">
        <f t="shared" si="25"/>
        <v>255.92</v>
      </c>
      <c r="M57" s="158">
        <f t="shared" si="26"/>
        <v>2.642028363</v>
      </c>
      <c r="N57" s="134">
        <v>389.0</v>
      </c>
      <c r="O57" s="87" t="s">
        <v>111</v>
      </c>
      <c r="P57" s="87"/>
      <c r="Q57" s="87"/>
    </row>
    <row r="58" ht="25.5" hidden="1" customHeight="1" outlineLevel="1">
      <c r="A58" s="102"/>
      <c r="B58" s="650"/>
      <c r="C58" s="650" t="s">
        <v>1096</v>
      </c>
      <c r="D58" s="650" t="s">
        <v>1097</v>
      </c>
      <c r="E58" s="650"/>
      <c r="F58" s="652">
        <v>250.0</v>
      </c>
      <c r="G58" s="640">
        <v>549.0</v>
      </c>
      <c r="H58" s="640">
        <v>0.0</v>
      </c>
      <c r="I58" s="238" t="str">
        <f t="shared" si="15"/>
        <v>#DIV/0!</v>
      </c>
      <c r="J58" s="653">
        <v>130.9</v>
      </c>
      <c r="K58" s="654">
        <f t="shared" si="24"/>
        <v>0.2384335155</v>
      </c>
      <c r="L58" s="640">
        <f t="shared" si="25"/>
        <v>418.1</v>
      </c>
      <c r="M58" s="654">
        <f t="shared" si="26"/>
        <v>-1</v>
      </c>
      <c r="N58" s="655">
        <v>599.0</v>
      </c>
      <c r="O58" s="102" t="s">
        <v>111</v>
      </c>
      <c r="P58" s="102"/>
      <c r="Q58" s="102"/>
    </row>
    <row r="59" ht="25.5" hidden="1" customHeight="1" outlineLevel="1">
      <c r="A59" s="102"/>
      <c r="B59" s="650"/>
      <c r="C59" s="650" t="s">
        <v>285</v>
      </c>
      <c r="D59" s="650" t="s">
        <v>1098</v>
      </c>
      <c r="E59" s="650"/>
      <c r="F59" s="652">
        <v>250.0</v>
      </c>
      <c r="G59" s="640">
        <v>479.0</v>
      </c>
      <c r="H59" s="640">
        <v>0.0</v>
      </c>
      <c r="I59" s="238" t="str">
        <f t="shared" si="15"/>
        <v>#DIV/0!</v>
      </c>
      <c r="J59" s="653">
        <v>123.5</v>
      </c>
      <c r="K59" s="654">
        <f t="shared" si="24"/>
        <v>0.25782881</v>
      </c>
      <c r="L59" s="640">
        <f t="shared" si="25"/>
        <v>355.5</v>
      </c>
      <c r="M59" s="654">
        <f t="shared" si="26"/>
        <v>-1</v>
      </c>
      <c r="N59" s="655">
        <v>529.0</v>
      </c>
      <c r="O59" s="102" t="s">
        <v>111</v>
      </c>
      <c r="P59" s="102"/>
      <c r="Q59" s="102"/>
    </row>
    <row r="60" ht="25.5" hidden="1" customHeight="1" outlineLevel="1">
      <c r="A60" s="102"/>
      <c r="B60" s="650"/>
      <c r="C60" s="657" t="s">
        <v>1099</v>
      </c>
      <c r="D60" s="650" t="s">
        <v>1100</v>
      </c>
      <c r="E60" s="650"/>
      <c r="F60" s="652">
        <v>250.0</v>
      </c>
      <c r="G60" s="640">
        <v>599.0</v>
      </c>
      <c r="H60" s="640">
        <v>0.0</v>
      </c>
      <c r="I60" s="238" t="str">
        <f t="shared" si="15"/>
        <v>#DIV/0!</v>
      </c>
      <c r="J60" s="653">
        <v>132.5</v>
      </c>
      <c r="K60" s="654">
        <f t="shared" si="24"/>
        <v>0.2212020033</v>
      </c>
      <c r="L60" s="640">
        <f t="shared" si="25"/>
        <v>466.5</v>
      </c>
      <c r="M60" s="654">
        <f t="shared" si="26"/>
        <v>-1</v>
      </c>
      <c r="N60" s="655">
        <v>649.0</v>
      </c>
      <c r="O60" s="102" t="s">
        <v>111</v>
      </c>
      <c r="P60" s="102"/>
      <c r="Q60" s="102"/>
    </row>
    <row r="61" ht="25.5" hidden="1" customHeight="1" outlineLevel="1">
      <c r="A61" s="87"/>
      <c r="B61" s="181"/>
      <c r="C61" s="89" t="s">
        <v>290</v>
      </c>
      <c r="D61" s="181" t="s">
        <v>288</v>
      </c>
      <c r="E61" s="181"/>
      <c r="F61" s="258">
        <v>120.0</v>
      </c>
      <c r="G61" s="93">
        <v>169.0</v>
      </c>
      <c r="H61" s="93">
        <v>159.0</v>
      </c>
      <c r="I61" s="238">
        <f t="shared" si="15"/>
        <v>1.062893082</v>
      </c>
      <c r="J61" s="162">
        <v>25.6</v>
      </c>
      <c r="K61" s="158">
        <f t="shared" si="24"/>
        <v>0.1514792899</v>
      </c>
      <c r="L61" s="93">
        <f t="shared" si="25"/>
        <v>143.4</v>
      </c>
      <c r="M61" s="158">
        <f t="shared" si="26"/>
        <v>5.2109375</v>
      </c>
      <c r="N61" s="134">
        <v>199.0</v>
      </c>
      <c r="O61" s="87" t="s">
        <v>111</v>
      </c>
      <c r="P61" s="87"/>
      <c r="Q61" s="87"/>
    </row>
    <row r="62" ht="25.5" hidden="1" customHeight="1" outlineLevel="1">
      <c r="A62" s="87"/>
      <c r="B62" s="181"/>
      <c r="C62" s="89" t="s">
        <v>1101</v>
      </c>
      <c r="D62" s="181" t="s">
        <v>1102</v>
      </c>
      <c r="E62" s="181"/>
      <c r="F62" s="258" t="s">
        <v>1103</v>
      </c>
      <c r="G62" s="93">
        <v>1549.0</v>
      </c>
      <c r="H62" s="93">
        <v>1499.0</v>
      </c>
      <c r="I62" s="238">
        <f t="shared" si="15"/>
        <v>1.03335557</v>
      </c>
      <c r="J62" s="162">
        <v>477.0</v>
      </c>
      <c r="K62" s="158">
        <f t="shared" si="24"/>
        <v>0.3079406068</v>
      </c>
      <c r="L62" s="93">
        <f t="shared" si="25"/>
        <v>1072</v>
      </c>
      <c r="M62" s="158">
        <f t="shared" si="26"/>
        <v>2.142557652</v>
      </c>
      <c r="N62" s="134"/>
      <c r="O62" s="87" t="s">
        <v>112</v>
      </c>
      <c r="P62" s="87"/>
      <c r="Q62" s="87"/>
    </row>
    <row r="63" ht="25.5" hidden="1" customHeight="1" outlineLevel="1">
      <c r="A63" s="87"/>
      <c r="B63" s="181"/>
      <c r="C63" s="89" t="s">
        <v>293</v>
      </c>
      <c r="D63" s="181" t="s">
        <v>1104</v>
      </c>
      <c r="E63" s="181"/>
      <c r="F63" s="258">
        <v>230.0</v>
      </c>
      <c r="G63" s="93">
        <v>489.0</v>
      </c>
      <c r="H63" s="93">
        <v>469.0</v>
      </c>
      <c r="I63" s="238">
        <f t="shared" si="15"/>
        <v>1.042643923</v>
      </c>
      <c r="J63" s="162">
        <v>151.0</v>
      </c>
      <c r="K63" s="158">
        <f t="shared" si="24"/>
        <v>0.308793456</v>
      </c>
      <c r="L63" s="93">
        <f t="shared" si="25"/>
        <v>338</v>
      </c>
      <c r="M63" s="158">
        <f t="shared" si="26"/>
        <v>2.105960265</v>
      </c>
      <c r="N63" s="134">
        <v>539.0</v>
      </c>
      <c r="O63" s="87" t="s">
        <v>111</v>
      </c>
      <c r="P63" s="87"/>
      <c r="Q63" s="87"/>
    </row>
    <row r="64" ht="25.5" hidden="1" customHeight="1" outlineLevel="1">
      <c r="A64" s="87"/>
      <c r="B64" s="181"/>
      <c r="C64" s="89" t="s">
        <v>297</v>
      </c>
      <c r="D64" s="181" t="s">
        <v>1105</v>
      </c>
      <c r="E64" s="181"/>
      <c r="F64" s="258">
        <v>230.0</v>
      </c>
      <c r="G64" s="93">
        <v>519.0</v>
      </c>
      <c r="H64" s="93">
        <v>479.0</v>
      </c>
      <c r="I64" s="238">
        <f t="shared" si="15"/>
        <v>1.083507307</v>
      </c>
      <c r="J64" s="162">
        <v>137.9</v>
      </c>
      <c r="K64" s="158">
        <f t="shared" si="24"/>
        <v>0.2657032755</v>
      </c>
      <c r="L64" s="93">
        <f t="shared" si="25"/>
        <v>381.1</v>
      </c>
      <c r="M64" s="158">
        <f t="shared" si="26"/>
        <v>2.473531545</v>
      </c>
      <c r="N64" s="134">
        <v>559.0</v>
      </c>
      <c r="O64" s="87" t="s">
        <v>111</v>
      </c>
      <c r="P64" s="87"/>
      <c r="Q64" s="87"/>
    </row>
    <row r="65" ht="25.5" hidden="1" customHeight="1" outlineLevel="1">
      <c r="A65" s="87"/>
      <c r="B65" s="181"/>
      <c r="C65" s="89" t="s">
        <v>1106</v>
      </c>
      <c r="D65" s="181" t="s">
        <v>1107</v>
      </c>
      <c r="E65" s="181"/>
      <c r="F65" s="258" t="s">
        <v>1108</v>
      </c>
      <c r="G65" s="93">
        <v>589.0</v>
      </c>
      <c r="H65" s="93">
        <v>589.0</v>
      </c>
      <c r="I65" s="238">
        <f t="shared" si="15"/>
        <v>1</v>
      </c>
      <c r="J65" s="162">
        <v>143.6</v>
      </c>
      <c r="K65" s="158">
        <f t="shared" si="24"/>
        <v>0.243803056</v>
      </c>
      <c r="L65" s="93">
        <f t="shared" si="25"/>
        <v>445.4</v>
      </c>
      <c r="M65" s="158">
        <f t="shared" si="26"/>
        <v>3.101671309</v>
      </c>
      <c r="N65" s="134">
        <v>649.0</v>
      </c>
      <c r="O65" s="87" t="s">
        <v>111</v>
      </c>
      <c r="P65" s="87"/>
      <c r="Q65" s="87"/>
    </row>
    <row r="66" ht="40.5" hidden="1" customHeight="1" outlineLevel="1">
      <c r="A66" s="87"/>
      <c r="B66" s="181"/>
      <c r="C66" s="89" t="s">
        <v>300</v>
      </c>
      <c r="D66" s="181" t="s">
        <v>1109</v>
      </c>
      <c r="E66" s="181"/>
      <c r="F66" s="258">
        <v>300.0</v>
      </c>
      <c r="G66" s="93">
        <v>899.0</v>
      </c>
      <c r="H66" s="93">
        <v>899.0</v>
      </c>
      <c r="I66" s="238">
        <f t="shared" si="15"/>
        <v>1</v>
      </c>
      <c r="J66" s="162">
        <v>186.8</v>
      </c>
      <c r="K66" s="158">
        <f t="shared" si="24"/>
        <v>0.2077864294</v>
      </c>
      <c r="L66" s="93">
        <f t="shared" si="25"/>
        <v>712.2</v>
      </c>
      <c r="M66" s="158">
        <f t="shared" si="26"/>
        <v>3.812633833</v>
      </c>
      <c r="N66" s="134">
        <v>999.0</v>
      </c>
      <c r="O66" s="87" t="s">
        <v>111</v>
      </c>
      <c r="P66" s="87"/>
      <c r="Q66" s="87"/>
    </row>
    <row r="67" ht="25.5" hidden="1" customHeight="1" outlineLevel="1">
      <c r="A67" s="87"/>
      <c r="B67" s="105"/>
      <c r="C67" s="89" t="s">
        <v>303</v>
      </c>
      <c r="D67" s="181" t="s">
        <v>1110</v>
      </c>
      <c r="E67" s="181"/>
      <c r="F67" s="258">
        <v>170.0</v>
      </c>
      <c r="G67" s="93">
        <v>289.0</v>
      </c>
      <c r="H67" s="93">
        <v>259.0</v>
      </c>
      <c r="I67" s="238">
        <f t="shared" si="15"/>
        <v>1.115830116</v>
      </c>
      <c r="J67" s="162">
        <v>84.5</v>
      </c>
      <c r="K67" s="158">
        <f t="shared" si="24"/>
        <v>0.2923875433</v>
      </c>
      <c r="L67" s="93">
        <f t="shared" si="25"/>
        <v>204.5</v>
      </c>
      <c r="M67" s="158">
        <f t="shared" si="26"/>
        <v>2.065088757</v>
      </c>
      <c r="N67" s="134">
        <v>299.0</v>
      </c>
      <c r="O67" s="87" t="s">
        <v>111</v>
      </c>
      <c r="P67" s="87"/>
      <c r="Q67" s="87"/>
    </row>
    <row r="68" ht="39.75" hidden="1" customHeight="1" outlineLevel="1">
      <c r="A68" s="121"/>
      <c r="B68" s="676"/>
      <c r="C68" s="123" t="s">
        <v>1111</v>
      </c>
      <c r="D68" s="676"/>
      <c r="E68" s="676"/>
      <c r="F68" s="666">
        <v>230.0</v>
      </c>
      <c r="G68" s="127">
        <v>0.0</v>
      </c>
      <c r="H68" s="127">
        <v>459.0</v>
      </c>
      <c r="I68" s="668"/>
      <c r="J68" s="677">
        <v>94.66</v>
      </c>
      <c r="K68" s="668" t="str">
        <f t="shared" si="24"/>
        <v>#DIV/0!</v>
      </c>
      <c r="L68" s="127">
        <f t="shared" si="25"/>
        <v>-94.66</v>
      </c>
      <c r="M68" s="668">
        <f t="shared" si="26"/>
        <v>3.848933023</v>
      </c>
      <c r="N68" s="133">
        <v>559.0</v>
      </c>
      <c r="O68" s="121" t="s">
        <v>111</v>
      </c>
      <c r="P68" s="121"/>
      <c r="Q68" s="121"/>
    </row>
    <row r="69" ht="25.5" hidden="1" customHeight="1" outlineLevel="1">
      <c r="A69" s="121"/>
      <c r="B69" s="123"/>
      <c r="C69" s="123" t="s">
        <v>1112</v>
      </c>
      <c r="D69" s="676"/>
      <c r="E69" s="676"/>
      <c r="F69" s="666"/>
      <c r="G69" s="127"/>
      <c r="H69" s="127">
        <v>439.0</v>
      </c>
      <c r="I69" s="668"/>
      <c r="J69" s="677"/>
      <c r="K69" s="668"/>
      <c r="L69" s="121"/>
      <c r="M69" s="668"/>
      <c r="N69" s="133"/>
      <c r="O69" s="121"/>
      <c r="P69" s="121"/>
      <c r="Q69" s="121"/>
    </row>
    <row r="70" ht="25.5" hidden="1" customHeight="1" outlineLevel="1">
      <c r="A70" s="121"/>
      <c r="B70" s="123"/>
      <c r="C70" s="123" t="s">
        <v>1113</v>
      </c>
      <c r="D70" s="676"/>
      <c r="E70" s="676"/>
      <c r="F70" s="666"/>
      <c r="G70" s="127"/>
      <c r="H70" s="127">
        <v>499.0</v>
      </c>
      <c r="I70" s="668"/>
      <c r="J70" s="677"/>
      <c r="K70" s="668"/>
      <c r="L70" s="121"/>
      <c r="M70" s="668"/>
      <c r="N70" s="133"/>
      <c r="O70" s="121"/>
      <c r="P70" s="121"/>
      <c r="Q70" s="121"/>
    </row>
    <row r="71" ht="25.5" hidden="1" customHeight="1" outlineLevel="1">
      <c r="A71" s="121"/>
      <c r="B71" s="676"/>
      <c r="C71" s="123" t="s">
        <v>1114</v>
      </c>
      <c r="D71" s="676"/>
      <c r="E71" s="676"/>
      <c r="F71" s="666"/>
      <c r="G71" s="127"/>
      <c r="H71" s="127">
        <v>699.0</v>
      </c>
      <c r="I71" s="668"/>
      <c r="J71" s="677"/>
      <c r="K71" s="668"/>
      <c r="L71" s="121"/>
      <c r="M71" s="668"/>
      <c r="N71" s="133"/>
      <c r="O71" s="121"/>
      <c r="P71" s="121"/>
      <c r="Q71" s="121"/>
    </row>
    <row r="72" ht="25.5" hidden="1" customHeight="1" outlineLevel="1">
      <c r="A72" s="121"/>
      <c r="B72" s="123"/>
      <c r="C72" s="123" t="s">
        <v>1115</v>
      </c>
      <c r="D72" s="676"/>
      <c r="E72" s="676"/>
      <c r="F72" s="666"/>
      <c r="G72" s="127"/>
      <c r="H72" s="127">
        <v>499.0</v>
      </c>
      <c r="I72" s="668"/>
      <c r="J72" s="677"/>
      <c r="K72" s="668"/>
      <c r="L72" s="121"/>
      <c r="M72" s="668"/>
      <c r="N72" s="133"/>
      <c r="O72" s="121"/>
      <c r="P72" s="121"/>
      <c r="Q72" s="121"/>
    </row>
    <row r="73" ht="25.5" customHeight="1" collapsed="1">
      <c r="A73" s="614"/>
      <c r="B73" s="615" t="str">
        <f>"Бургеры "&amp;COUNTA(C74:C76)&amp;" шт"</f>
        <v>Бургеры 3 шт</v>
      </c>
      <c r="C73" s="614"/>
      <c r="D73" s="614"/>
      <c r="E73" s="614"/>
      <c r="F73" s="616"/>
      <c r="G73" s="645">
        <f>AVERAGE(G74:G77)</f>
        <v>539</v>
      </c>
      <c r="H73" s="645">
        <f>AVERAGE(H74:H76)</f>
        <v>539</v>
      </c>
      <c r="I73" s="648">
        <f t="shared" ref="I73:I77" si="27">G73/H73</f>
        <v>1</v>
      </c>
      <c r="J73" s="618"/>
      <c r="K73" s="247">
        <f>AVERAGE(K74:K77)</f>
        <v>0.2714896379</v>
      </c>
      <c r="L73" s="614"/>
      <c r="M73" s="614"/>
      <c r="N73" s="670"/>
      <c r="O73" s="86"/>
      <c r="P73" s="86"/>
      <c r="Q73" s="86"/>
    </row>
    <row r="74" ht="25.5" hidden="1" customHeight="1" outlineLevel="1">
      <c r="A74" s="106"/>
      <c r="B74" s="233" t="s">
        <v>1116</v>
      </c>
      <c r="C74" s="233" t="s">
        <v>314</v>
      </c>
      <c r="D74" s="233" t="s">
        <v>313</v>
      </c>
      <c r="E74" s="233"/>
      <c r="F74" s="269">
        <v>300.0</v>
      </c>
      <c r="G74" s="184">
        <v>479.0</v>
      </c>
      <c r="H74" s="184">
        <v>469.0</v>
      </c>
      <c r="I74" s="238">
        <f t="shared" si="27"/>
        <v>1.021321962</v>
      </c>
      <c r="J74" s="649">
        <v>130.26</v>
      </c>
      <c r="K74" s="238">
        <f t="shared" ref="K74:K78" si="28">J74/G74</f>
        <v>0.2719415449</v>
      </c>
      <c r="L74" s="184">
        <f t="shared" ref="L74:L78" si="29">G74-J74</f>
        <v>348.74</v>
      </c>
      <c r="M74" s="238"/>
      <c r="N74" s="232">
        <v>529.0</v>
      </c>
      <c r="O74" s="106" t="s">
        <v>111</v>
      </c>
      <c r="P74" s="106"/>
      <c r="Q74" s="106"/>
    </row>
    <row r="75" ht="25.5" hidden="1" customHeight="1" outlineLevel="1">
      <c r="A75" s="106"/>
      <c r="B75" s="233" t="s">
        <v>1117</v>
      </c>
      <c r="C75" s="233" t="s">
        <v>318</v>
      </c>
      <c r="D75" s="233" t="s">
        <v>1118</v>
      </c>
      <c r="E75" s="233"/>
      <c r="F75" s="269">
        <v>300.0</v>
      </c>
      <c r="G75" s="184">
        <v>549.0</v>
      </c>
      <c r="H75" s="184">
        <v>549.0</v>
      </c>
      <c r="I75" s="238">
        <f t="shared" si="27"/>
        <v>1</v>
      </c>
      <c r="J75" s="649">
        <v>144.8</v>
      </c>
      <c r="K75" s="238">
        <f t="shared" si="28"/>
        <v>0.2637522769</v>
      </c>
      <c r="L75" s="184">
        <f t="shared" si="29"/>
        <v>404.2</v>
      </c>
      <c r="M75" s="238"/>
      <c r="N75" s="232">
        <v>599.0</v>
      </c>
      <c r="O75" s="106" t="s">
        <v>111</v>
      </c>
      <c r="P75" s="106"/>
      <c r="Q75" s="106"/>
    </row>
    <row r="76" ht="25.5" hidden="1" customHeight="1" outlineLevel="1">
      <c r="A76" s="106"/>
      <c r="B76" s="233" t="s">
        <v>1116</v>
      </c>
      <c r="C76" s="233" t="s">
        <v>322</v>
      </c>
      <c r="D76" s="233" t="s">
        <v>321</v>
      </c>
      <c r="E76" s="233"/>
      <c r="F76" s="269">
        <v>300.0</v>
      </c>
      <c r="G76" s="184">
        <v>549.0</v>
      </c>
      <c r="H76" s="184">
        <v>599.0</v>
      </c>
      <c r="I76" s="238">
        <f t="shared" si="27"/>
        <v>0.9165275459</v>
      </c>
      <c r="J76" s="649">
        <v>142.8</v>
      </c>
      <c r="K76" s="238">
        <f t="shared" si="28"/>
        <v>0.2601092896</v>
      </c>
      <c r="L76" s="184">
        <f t="shared" si="29"/>
        <v>406.2</v>
      </c>
      <c r="M76" s="238"/>
      <c r="N76" s="232">
        <v>599.0</v>
      </c>
      <c r="O76" s="106" t="s">
        <v>111</v>
      </c>
      <c r="P76" s="106"/>
      <c r="Q76" s="106"/>
    </row>
    <row r="77" ht="25.5" hidden="1" customHeight="1" outlineLevel="1">
      <c r="A77" s="102"/>
      <c r="B77" s="657"/>
      <c r="C77" s="657" t="s">
        <v>325</v>
      </c>
      <c r="D77" s="650" t="s">
        <v>324</v>
      </c>
      <c r="E77" s="650"/>
      <c r="F77" s="652">
        <v>280.0</v>
      </c>
      <c r="G77" s="640">
        <v>579.0</v>
      </c>
      <c r="H77" s="640"/>
      <c r="I77" s="654" t="str">
        <f t="shared" si="27"/>
        <v>#DIV/0!</v>
      </c>
      <c r="J77" s="653">
        <v>168.0</v>
      </c>
      <c r="K77" s="654">
        <f t="shared" si="28"/>
        <v>0.2901554404</v>
      </c>
      <c r="L77" s="640">
        <f t="shared" si="29"/>
        <v>411</v>
      </c>
      <c r="M77" s="654"/>
      <c r="N77" s="655">
        <v>639.0</v>
      </c>
      <c r="O77" s="102" t="s">
        <v>111</v>
      </c>
      <c r="P77" s="102"/>
      <c r="Q77" s="102"/>
    </row>
    <row r="78" ht="25.5" hidden="1" customHeight="1" outlineLevel="1">
      <c r="A78" s="106"/>
      <c r="B78" s="233" t="s">
        <v>1119</v>
      </c>
      <c r="C78" s="233" t="s">
        <v>310</v>
      </c>
      <c r="D78" s="656"/>
      <c r="E78" s="656"/>
      <c r="F78" s="269">
        <v>300.0</v>
      </c>
      <c r="G78" s="184"/>
      <c r="H78" s="184">
        <v>699.0</v>
      </c>
      <c r="I78" s="238"/>
      <c r="J78" s="649">
        <v>147.0</v>
      </c>
      <c r="K78" s="654" t="str">
        <f t="shared" si="28"/>
        <v>#DIV/0!</v>
      </c>
      <c r="L78" s="184">
        <f t="shared" si="29"/>
        <v>-147</v>
      </c>
      <c r="M78" s="238"/>
      <c r="N78" s="232"/>
      <c r="O78" s="106" t="s">
        <v>111</v>
      </c>
      <c r="P78" s="106"/>
      <c r="Q78" s="106"/>
    </row>
    <row r="79" ht="25.5" hidden="1" customHeight="1" outlineLevel="1">
      <c r="A79" s="121"/>
      <c r="B79" s="123"/>
      <c r="C79" s="123" t="s">
        <v>1120</v>
      </c>
      <c r="D79" s="676"/>
      <c r="E79" s="676"/>
      <c r="F79" s="666"/>
      <c r="G79" s="127"/>
      <c r="H79" s="127">
        <v>629.0</v>
      </c>
      <c r="I79" s="668"/>
      <c r="J79" s="677"/>
      <c r="K79" s="668"/>
      <c r="L79" s="121"/>
      <c r="M79" s="668"/>
      <c r="N79" s="133"/>
      <c r="O79" s="121"/>
      <c r="P79" s="121"/>
      <c r="Q79" s="121"/>
    </row>
    <row r="80" ht="25.5" customHeight="1" collapsed="1">
      <c r="A80" s="614"/>
      <c r="B80" s="615" t="str">
        <f>"Пицца "&amp;COUNTA(C81:C88)&amp;" шт"</f>
        <v>Пицца 8 шт</v>
      </c>
      <c r="C80" s="614"/>
      <c r="D80" s="614"/>
      <c r="E80" s="614"/>
      <c r="F80" s="616"/>
      <c r="G80" s="645">
        <f>AVERAGE(G81:G88)</f>
        <v>575.25</v>
      </c>
      <c r="H80" s="645">
        <f>AVERAGE(H82:H87)</f>
        <v>552.3333333</v>
      </c>
      <c r="I80" s="648">
        <f t="shared" ref="I80:I88" si="30">G80/H80</f>
        <v>1.041490646</v>
      </c>
      <c r="J80" s="618"/>
      <c r="K80" s="247">
        <f>AVERAGE(K81:K88)</f>
        <v>0.2448814469</v>
      </c>
      <c r="L80" s="614"/>
      <c r="M80" s="614"/>
      <c r="N80" s="670"/>
      <c r="O80" s="86"/>
      <c r="P80" s="86"/>
      <c r="Q80" s="86"/>
    </row>
    <row r="81" ht="25.5" hidden="1" customHeight="1" outlineLevel="1">
      <c r="A81" s="102"/>
      <c r="B81" s="650"/>
      <c r="C81" s="650" t="s">
        <v>1121</v>
      </c>
      <c r="D81" s="650" t="s">
        <v>327</v>
      </c>
      <c r="E81" s="650"/>
      <c r="F81" s="652">
        <v>460.0</v>
      </c>
      <c r="G81" s="640">
        <v>589.0</v>
      </c>
      <c r="H81" s="640">
        <v>0.0</v>
      </c>
      <c r="I81" s="238" t="str">
        <f t="shared" si="30"/>
        <v>#DIV/0!</v>
      </c>
      <c r="J81" s="653">
        <v>132.5</v>
      </c>
      <c r="K81" s="654">
        <f t="shared" ref="K81:K88" si="31">J81/G81</f>
        <v>0.2249575552</v>
      </c>
      <c r="L81" s="640">
        <f t="shared" ref="L81:L88" si="32">G81-J81</f>
        <v>456.5</v>
      </c>
      <c r="M81" s="654">
        <v>0.0</v>
      </c>
      <c r="N81" s="655">
        <v>649.0</v>
      </c>
      <c r="O81" s="102" t="s">
        <v>111</v>
      </c>
      <c r="P81" s="102"/>
      <c r="Q81" s="102"/>
    </row>
    <row r="82" ht="25.5" hidden="1" customHeight="1" outlineLevel="1">
      <c r="A82" s="87"/>
      <c r="B82" s="90"/>
      <c r="C82" s="89" t="s">
        <v>332</v>
      </c>
      <c r="D82" s="181" t="s">
        <v>331</v>
      </c>
      <c r="E82" s="181"/>
      <c r="F82" s="258">
        <v>430.0</v>
      </c>
      <c r="G82" s="93">
        <v>479.0</v>
      </c>
      <c r="H82" s="93">
        <v>469.0</v>
      </c>
      <c r="I82" s="238">
        <f t="shared" si="30"/>
        <v>1.021321962</v>
      </c>
      <c r="J82" s="162">
        <v>98.68</v>
      </c>
      <c r="K82" s="158">
        <f t="shared" si="31"/>
        <v>0.2060125261</v>
      </c>
      <c r="L82" s="93">
        <f t="shared" si="32"/>
        <v>380.32</v>
      </c>
      <c r="M82" s="158">
        <f t="shared" ref="M82:M88" si="33">H82/J82-1</f>
        <v>3.752736117</v>
      </c>
      <c r="N82" s="655">
        <v>549.0</v>
      </c>
      <c r="O82" s="87" t="s">
        <v>111</v>
      </c>
      <c r="P82" s="87"/>
      <c r="Q82" s="87"/>
    </row>
    <row r="83" ht="25.5" hidden="1" customHeight="1" outlineLevel="1">
      <c r="A83" s="87"/>
      <c r="B83" s="89"/>
      <c r="C83" s="89" t="s">
        <v>335</v>
      </c>
      <c r="D83" s="181" t="s">
        <v>334</v>
      </c>
      <c r="E83" s="181"/>
      <c r="F83" s="258">
        <v>520.0</v>
      </c>
      <c r="G83" s="93">
        <v>589.0</v>
      </c>
      <c r="H83" s="93">
        <v>569.0</v>
      </c>
      <c r="I83" s="238">
        <f t="shared" si="30"/>
        <v>1.035149385</v>
      </c>
      <c r="J83" s="162">
        <v>135.75</v>
      </c>
      <c r="K83" s="158">
        <f t="shared" si="31"/>
        <v>0.230475382</v>
      </c>
      <c r="L83" s="93">
        <f t="shared" si="32"/>
        <v>453.25</v>
      </c>
      <c r="M83" s="158">
        <f t="shared" si="33"/>
        <v>3.191528545</v>
      </c>
      <c r="N83" s="655">
        <v>649.0</v>
      </c>
      <c r="O83" s="87" t="s">
        <v>111</v>
      </c>
      <c r="P83" s="87"/>
      <c r="Q83" s="87"/>
    </row>
    <row r="84" ht="25.5" hidden="1" customHeight="1" outlineLevel="1">
      <c r="A84" s="87"/>
      <c r="B84" s="89"/>
      <c r="C84" s="89" t="s">
        <v>339</v>
      </c>
      <c r="D84" s="181" t="s">
        <v>338</v>
      </c>
      <c r="E84" s="181"/>
      <c r="F84" s="258">
        <v>490.0</v>
      </c>
      <c r="G84" s="93">
        <v>589.0</v>
      </c>
      <c r="H84" s="93">
        <v>569.0</v>
      </c>
      <c r="I84" s="238">
        <f t="shared" si="30"/>
        <v>1.035149385</v>
      </c>
      <c r="J84" s="162">
        <v>126.8</v>
      </c>
      <c r="K84" s="158">
        <f t="shared" si="31"/>
        <v>0.2152801358</v>
      </c>
      <c r="L84" s="93">
        <f t="shared" si="32"/>
        <v>462.2</v>
      </c>
      <c r="M84" s="158">
        <f t="shared" si="33"/>
        <v>3.487381703</v>
      </c>
      <c r="N84" s="655">
        <v>649.0</v>
      </c>
      <c r="O84" s="87" t="s">
        <v>111</v>
      </c>
      <c r="P84" s="87"/>
      <c r="Q84" s="87"/>
    </row>
    <row r="85" ht="25.5" hidden="1" customHeight="1" outlineLevel="1">
      <c r="A85" s="87"/>
      <c r="B85" s="181"/>
      <c r="C85" s="89" t="s">
        <v>342</v>
      </c>
      <c r="D85" s="181" t="s">
        <v>341</v>
      </c>
      <c r="E85" s="181"/>
      <c r="F85" s="258">
        <v>560.0</v>
      </c>
      <c r="G85" s="93">
        <v>589.0</v>
      </c>
      <c r="H85" s="93">
        <v>569.0</v>
      </c>
      <c r="I85" s="238">
        <f t="shared" si="30"/>
        <v>1.035149385</v>
      </c>
      <c r="J85" s="162">
        <v>178.9</v>
      </c>
      <c r="K85" s="158">
        <f t="shared" si="31"/>
        <v>0.3037351443</v>
      </c>
      <c r="L85" s="93">
        <f t="shared" si="32"/>
        <v>410.1</v>
      </c>
      <c r="M85" s="158">
        <f t="shared" si="33"/>
        <v>2.180547792</v>
      </c>
      <c r="N85" s="655">
        <v>649.0</v>
      </c>
      <c r="O85" s="87" t="s">
        <v>111</v>
      </c>
      <c r="P85" s="87"/>
      <c r="Q85" s="87"/>
    </row>
    <row r="86" ht="37.5" hidden="1" customHeight="1" outlineLevel="1">
      <c r="A86" s="87"/>
      <c r="B86" s="679"/>
      <c r="C86" s="89" t="s">
        <v>1122</v>
      </c>
      <c r="D86" s="181" t="s">
        <v>1123</v>
      </c>
      <c r="E86" s="181"/>
      <c r="F86" s="258">
        <v>510.0</v>
      </c>
      <c r="G86" s="93">
        <v>589.0</v>
      </c>
      <c r="H86" s="93">
        <v>569.0</v>
      </c>
      <c r="I86" s="238">
        <f t="shared" si="30"/>
        <v>1.035149385</v>
      </c>
      <c r="J86" s="162">
        <v>135.9</v>
      </c>
      <c r="K86" s="158">
        <f t="shared" si="31"/>
        <v>0.2307300509</v>
      </c>
      <c r="L86" s="93">
        <f t="shared" si="32"/>
        <v>453.1</v>
      </c>
      <c r="M86" s="158">
        <f t="shared" si="33"/>
        <v>3.186902134</v>
      </c>
      <c r="N86" s="655">
        <v>649.0</v>
      </c>
      <c r="O86" s="87" t="s">
        <v>111</v>
      </c>
      <c r="P86" s="87"/>
      <c r="Q86" s="87"/>
    </row>
    <row r="87" ht="25.5" hidden="1" customHeight="1" outlineLevel="1">
      <c r="A87" s="87"/>
      <c r="B87" s="89"/>
      <c r="C87" s="89" t="s">
        <v>344</v>
      </c>
      <c r="D87" s="181" t="s">
        <v>1124</v>
      </c>
      <c r="E87" s="181"/>
      <c r="F87" s="258">
        <v>520.0</v>
      </c>
      <c r="G87" s="93">
        <v>589.0</v>
      </c>
      <c r="H87" s="93">
        <v>569.0</v>
      </c>
      <c r="I87" s="238">
        <f t="shared" si="30"/>
        <v>1.035149385</v>
      </c>
      <c r="J87" s="162">
        <v>167.79</v>
      </c>
      <c r="K87" s="158">
        <f t="shared" si="31"/>
        <v>0.2848726655</v>
      </c>
      <c r="L87" s="93">
        <f t="shared" si="32"/>
        <v>421.21</v>
      </c>
      <c r="M87" s="158">
        <f t="shared" si="33"/>
        <v>2.391143692</v>
      </c>
      <c r="N87" s="655"/>
      <c r="O87" s="87" t="s">
        <v>112</v>
      </c>
      <c r="P87" s="87"/>
      <c r="Q87" s="87"/>
    </row>
    <row r="88" ht="25.5" hidden="1" customHeight="1" outlineLevel="1">
      <c r="A88" s="102"/>
      <c r="B88" s="650"/>
      <c r="C88" s="657" t="s">
        <v>1125</v>
      </c>
      <c r="D88" s="650" t="s">
        <v>1126</v>
      </c>
      <c r="E88" s="650"/>
      <c r="F88" s="652">
        <v>520.0</v>
      </c>
      <c r="G88" s="640">
        <v>589.0</v>
      </c>
      <c r="H88" s="640">
        <v>0.0</v>
      </c>
      <c r="I88" s="238" t="str">
        <f t="shared" si="30"/>
        <v>#DIV/0!</v>
      </c>
      <c r="J88" s="653">
        <v>154.9</v>
      </c>
      <c r="K88" s="654">
        <f t="shared" si="31"/>
        <v>0.2629881154</v>
      </c>
      <c r="L88" s="640">
        <f t="shared" si="32"/>
        <v>434.1</v>
      </c>
      <c r="M88" s="661">
        <f t="shared" si="33"/>
        <v>-1</v>
      </c>
      <c r="N88" s="655">
        <v>649.0</v>
      </c>
      <c r="O88" s="102" t="s">
        <v>111</v>
      </c>
      <c r="P88" s="102"/>
      <c r="Q88" s="102"/>
    </row>
    <row r="89" ht="25.5" hidden="1" customHeight="1" outlineLevel="1">
      <c r="A89" s="121"/>
      <c r="B89" s="124"/>
      <c r="C89" s="123" t="s">
        <v>1127</v>
      </c>
      <c r="D89" s="676"/>
      <c r="E89" s="676"/>
      <c r="F89" s="666"/>
      <c r="G89" s="127"/>
      <c r="H89" s="127">
        <v>569.0</v>
      </c>
      <c r="I89" s="668"/>
      <c r="J89" s="677"/>
      <c r="K89" s="668"/>
      <c r="L89" s="121"/>
      <c r="M89" s="668"/>
      <c r="N89" s="133"/>
      <c r="O89" s="121"/>
      <c r="P89" s="121"/>
      <c r="Q89" s="121"/>
    </row>
    <row r="90" ht="25.5" hidden="1" customHeight="1" outlineLevel="1">
      <c r="A90" s="121"/>
      <c r="B90" s="124"/>
      <c r="C90" s="123" t="s">
        <v>1128</v>
      </c>
      <c r="D90" s="676"/>
      <c r="E90" s="676"/>
      <c r="F90" s="666"/>
      <c r="G90" s="127"/>
      <c r="H90" s="127">
        <v>659.0</v>
      </c>
      <c r="I90" s="668"/>
      <c r="J90" s="677"/>
      <c r="K90" s="668"/>
      <c r="L90" s="121"/>
      <c r="M90" s="668"/>
      <c r="N90" s="133"/>
      <c r="O90" s="121"/>
      <c r="P90" s="121"/>
      <c r="Q90" s="121"/>
    </row>
    <row r="91" ht="25.5" customHeight="1" collapsed="1">
      <c r="A91" s="614"/>
      <c r="B91" s="615" t="str">
        <f>"Десерты "&amp;COUNTA(C92:C97)&amp;" шт"</f>
        <v>Десерты 6 шт</v>
      </c>
      <c r="C91" s="614"/>
      <c r="D91" s="614"/>
      <c r="E91" s="614"/>
      <c r="F91" s="616"/>
      <c r="G91" s="645">
        <f t="shared" ref="G91:H91" si="34">AVERAGE(G92:G97)</f>
        <v>309</v>
      </c>
      <c r="H91" s="645">
        <f t="shared" si="34"/>
        <v>247.5</v>
      </c>
      <c r="I91" s="648">
        <f t="shared" ref="I91:I97" si="35">G91/H91</f>
        <v>1.248484848</v>
      </c>
      <c r="J91" s="618"/>
      <c r="K91" s="247">
        <f>AVERAGE(K92:K97)</f>
        <v>0.2978675198</v>
      </c>
      <c r="L91" s="614"/>
      <c r="M91" s="614"/>
      <c r="N91" s="670"/>
      <c r="O91" s="86"/>
      <c r="P91" s="86"/>
      <c r="Q91" s="86"/>
    </row>
    <row r="92" ht="48.0" hidden="1" customHeight="1" outlineLevel="1">
      <c r="A92" s="87"/>
      <c r="B92" s="87"/>
      <c r="C92" s="89" t="s">
        <v>373</v>
      </c>
      <c r="D92" s="87" t="s">
        <v>374</v>
      </c>
      <c r="E92" s="87"/>
      <c r="F92" s="258">
        <v>300.0</v>
      </c>
      <c r="G92" s="93">
        <v>389.0</v>
      </c>
      <c r="H92" s="93">
        <v>379.0</v>
      </c>
      <c r="I92" s="238">
        <f t="shared" si="35"/>
        <v>1.026385224</v>
      </c>
      <c r="J92" s="162">
        <v>111.85</v>
      </c>
      <c r="K92" s="158">
        <f t="shared" ref="K92:K97" si="36">J92/G92</f>
        <v>0.2875321337</v>
      </c>
      <c r="L92" s="93">
        <f t="shared" ref="L92:L97" si="37">G92-J92</f>
        <v>277.15</v>
      </c>
      <c r="M92" s="158">
        <f t="shared" ref="M92:M97" si="38">H92/J92-1</f>
        <v>2.388466696</v>
      </c>
      <c r="N92" s="134"/>
      <c r="O92" s="87" t="s">
        <v>112</v>
      </c>
      <c r="P92" s="87"/>
      <c r="Q92" s="87"/>
    </row>
    <row r="93" ht="25.5" hidden="1" customHeight="1" outlineLevel="1">
      <c r="A93" s="106"/>
      <c r="B93" s="106"/>
      <c r="C93" s="233" t="s">
        <v>1129</v>
      </c>
      <c r="D93" s="106"/>
      <c r="E93" s="106"/>
      <c r="F93" s="269">
        <v>180.0</v>
      </c>
      <c r="G93" s="184">
        <v>299.0</v>
      </c>
      <c r="H93" s="184">
        <v>299.0</v>
      </c>
      <c r="I93" s="238">
        <f t="shared" si="35"/>
        <v>1</v>
      </c>
      <c r="J93" s="649">
        <v>76.35</v>
      </c>
      <c r="K93" s="238">
        <f t="shared" si="36"/>
        <v>0.2553511706</v>
      </c>
      <c r="L93" s="184">
        <f t="shared" si="37"/>
        <v>222.65</v>
      </c>
      <c r="M93" s="238">
        <f t="shared" si="38"/>
        <v>2.916175508</v>
      </c>
      <c r="N93" s="232">
        <v>339.0</v>
      </c>
      <c r="O93" s="106" t="s">
        <v>111</v>
      </c>
      <c r="P93" s="106"/>
      <c r="Q93" s="106"/>
    </row>
    <row r="94" ht="25.5" hidden="1" customHeight="1" outlineLevel="1">
      <c r="A94" s="106"/>
      <c r="B94" s="106"/>
      <c r="C94" s="233" t="s">
        <v>375</v>
      </c>
      <c r="D94" s="106" t="s">
        <v>1130</v>
      </c>
      <c r="E94" s="106"/>
      <c r="F94" s="269">
        <v>135.0</v>
      </c>
      <c r="G94" s="184">
        <v>379.0</v>
      </c>
      <c r="H94" s="184">
        <v>359.0</v>
      </c>
      <c r="I94" s="238">
        <f t="shared" si="35"/>
        <v>1.055710306</v>
      </c>
      <c r="J94" s="649">
        <v>130.0</v>
      </c>
      <c r="K94" s="238">
        <f t="shared" si="36"/>
        <v>0.3430079156</v>
      </c>
      <c r="L94" s="184">
        <f t="shared" si="37"/>
        <v>249</v>
      </c>
      <c r="M94" s="238">
        <f t="shared" si="38"/>
        <v>1.761538462</v>
      </c>
      <c r="N94" s="232">
        <v>399.0</v>
      </c>
      <c r="O94" s="106" t="s">
        <v>111</v>
      </c>
      <c r="P94" s="106"/>
      <c r="Q94" s="106"/>
    </row>
    <row r="95" ht="25.5" hidden="1" customHeight="1" outlineLevel="1">
      <c r="A95" s="102"/>
      <c r="B95" s="102" t="s">
        <v>1131</v>
      </c>
      <c r="C95" s="657" t="s">
        <v>1131</v>
      </c>
      <c r="D95" s="102"/>
      <c r="E95" s="102"/>
      <c r="F95" s="652">
        <v>150.0</v>
      </c>
      <c r="G95" s="640">
        <v>299.0</v>
      </c>
      <c r="H95" s="640">
        <v>0.0</v>
      </c>
      <c r="I95" s="238" t="str">
        <f t="shared" si="35"/>
        <v>#DIV/0!</v>
      </c>
      <c r="J95" s="653">
        <v>83.9</v>
      </c>
      <c r="K95" s="654">
        <f t="shared" si="36"/>
        <v>0.2806020067</v>
      </c>
      <c r="L95" s="640">
        <f t="shared" si="37"/>
        <v>215.1</v>
      </c>
      <c r="M95" s="654">
        <f t="shared" si="38"/>
        <v>-1</v>
      </c>
      <c r="N95" s="655">
        <v>339.0</v>
      </c>
      <c r="O95" s="102" t="s">
        <v>111</v>
      </c>
      <c r="P95" s="102"/>
      <c r="Q95" s="102"/>
    </row>
    <row r="96" ht="25.5" hidden="1" customHeight="1" outlineLevel="1">
      <c r="A96" s="106"/>
      <c r="B96" s="106"/>
      <c r="C96" s="680" t="s">
        <v>378</v>
      </c>
      <c r="D96" s="233" t="s">
        <v>1132</v>
      </c>
      <c r="E96" s="233"/>
      <c r="F96" s="269">
        <v>135.0</v>
      </c>
      <c r="G96" s="184">
        <v>399.0</v>
      </c>
      <c r="H96" s="184">
        <v>359.0</v>
      </c>
      <c r="I96" s="238">
        <f t="shared" si="35"/>
        <v>1.111420613</v>
      </c>
      <c r="J96" s="649">
        <v>145.0</v>
      </c>
      <c r="K96" s="238">
        <f t="shared" si="36"/>
        <v>0.3634085213</v>
      </c>
      <c r="L96" s="184">
        <f t="shared" si="37"/>
        <v>254</v>
      </c>
      <c r="M96" s="238">
        <f t="shared" si="38"/>
        <v>1.475862069</v>
      </c>
      <c r="N96" s="232">
        <v>429.0</v>
      </c>
      <c r="O96" s="106" t="s">
        <v>111</v>
      </c>
      <c r="P96" s="106"/>
      <c r="Q96" s="106"/>
    </row>
    <row r="97" ht="25.5" hidden="1" customHeight="1" outlineLevel="1">
      <c r="A97" s="87"/>
      <c r="B97" s="181"/>
      <c r="C97" s="89" t="s">
        <v>380</v>
      </c>
      <c r="D97" s="181"/>
      <c r="E97" s="181"/>
      <c r="F97" s="258">
        <v>60.0</v>
      </c>
      <c r="G97" s="93">
        <v>89.0</v>
      </c>
      <c r="H97" s="93">
        <v>89.0</v>
      </c>
      <c r="I97" s="238">
        <f t="shared" si="35"/>
        <v>1</v>
      </c>
      <c r="J97" s="162">
        <v>22.9</v>
      </c>
      <c r="K97" s="158">
        <f t="shared" si="36"/>
        <v>0.2573033708</v>
      </c>
      <c r="L97" s="93">
        <f t="shared" si="37"/>
        <v>66.1</v>
      </c>
      <c r="M97" s="158">
        <f t="shared" si="38"/>
        <v>2.886462882</v>
      </c>
      <c r="N97" s="134"/>
      <c r="O97" s="87" t="s">
        <v>112</v>
      </c>
      <c r="P97" s="87"/>
      <c r="Q97" s="87"/>
    </row>
    <row r="98" ht="25.5" hidden="1" customHeight="1" outlineLevel="1">
      <c r="A98" s="121"/>
      <c r="B98" s="121"/>
      <c r="C98" s="123" t="s">
        <v>1133</v>
      </c>
      <c r="D98" s="121"/>
      <c r="E98" s="121"/>
      <c r="F98" s="666"/>
      <c r="G98" s="127"/>
      <c r="H98" s="127">
        <v>299.0</v>
      </c>
      <c r="I98" s="668"/>
      <c r="J98" s="677"/>
      <c r="K98" s="668"/>
      <c r="L98" s="121"/>
      <c r="M98" s="668"/>
      <c r="N98" s="133"/>
      <c r="O98" s="121"/>
      <c r="P98" s="121"/>
      <c r="Q98" s="121"/>
    </row>
    <row r="99" ht="25.5" hidden="1" customHeight="1" outlineLevel="1">
      <c r="A99" s="121"/>
      <c r="B99" s="121"/>
      <c r="C99" s="123" t="s">
        <v>1134</v>
      </c>
      <c r="D99" s="121"/>
      <c r="E99" s="121"/>
      <c r="F99" s="666"/>
      <c r="G99" s="127"/>
      <c r="H99" s="127"/>
      <c r="I99" s="668"/>
      <c r="J99" s="677"/>
      <c r="K99" s="668"/>
      <c r="L99" s="121"/>
      <c r="M99" s="668"/>
      <c r="N99" s="133"/>
      <c r="O99" s="121"/>
      <c r="P99" s="121"/>
      <c r="Q99" s="121"/>
    </row>
    <row r="100" ht="25.5" hidden="1" customHeight="1" outlineLevel="1">
      <c r="A100" s="121"/>
      <c r="B100" s="121"/>
      <c r="C100" s="123" t="s">
        <v>1135</v>
      </c>
      <c r="D100" s="121"/>
      <c r="E100" s="121"/>
      <c r="F100" s="666"/>
      <c r="G100" s="127"/>
      <c r="H100" s="127"/>
      <c r="I100" s="668"/>
      <c r="J100" s="677"/>
      <c r="K100" s="668"/>
      <c r="L100" s="121"/>
      <c r="M100" s="668"/>
      <c r="N100" s="133"/>
      <c r="O100" s="121"/>
      <c r="P100" s="121"/>
      <c r="Q100" s="121"/>
    </row>
    <row r="101" ht="25.5" customHeight="1" collapsed="1">
      <c r="A101" s="86"/>
      <c r="B101" s="615" t="str">
        <f>"Соусы, допы и хлеб "&amp;COUNTA(C102:C123)&amp;" шт"</f>
        <v>Соусы, допы и хлеб 22 шт</v>
      </c>
      <c r="C101" s="614"/>
      <c r="D101" s="681"/>
      <c r="E101" s="681"/>
      <c r="F101" s="682"/>
      <c r="G101" s="645"/>
      <c r="H101" s="645"/>
      <c r="I101" s="648"/>
      <c r="J101" s="683"/>
      <c r="K101" s="247">
        <f>AVERAGE(K102:K123)</f>
        <v>0.1958520828</v>
      </c>
      <c r="L101" s="86"/>
      <c r="M101" s="648"/>
      <c r="N101" s="670"/>
      <c r="O101" s="86"/>
      <c r="P101" s="86"/>
      <c r="Q101" s="86"/>
    </row>
    <row r="102" ht="25.5" hidden="1" customHeight="1" outlineLevel="1">
      <c r="A102" s="87"/>
      <c r="B102" s="89"/>
      <c r="C102" s="89" t="s">
        <v>381</v>
      </c>
      <c r="D102" s="181"/>
      <c r="E102" s="181"/>
      <c r="F102" s="258">
        <v>50.0</v>
      </c>
      <c r="G102" s="93">
        <v>59.0</v>
      </c>
      <c r="H102" s="93">
        <v>59.0</v>
      </c>
      <c r="I102" s="238">
        <f t="shared" ref="I102:I123" si="39">G102/H102</f>
        <v>1</v>
      </c>
      <c r="J102" s="162">
        <v>10.1</v>
      </c>
      <c r="K102" s="238">
        <f t="shared" ref="K102:K123" si="40">J102/G102</f>
        <v>0.1711864407</v>
      </c>
      <c r="L102" s="93">
        <f t="shared" ref="L102:L123" si="41">G102-J102</f>
        <v>48.9</v>
      </c>
      <c r="M102" s="158">
        <f t="shared" ref="M102:M123" si="42">H102/J102-1</f>
        <v>4.841584158</v>
      </c>
      <c r="N102" s="93">
        <v>59.0</v>
      </c>
      <c r="O102" s="87" t="s">
        <v>111</v>
      </c>
      <c r="P102" s="87"/>
      <c r="Q102" s="87"/>
    </row>
    <row r="103" ht="25.5" hidden="1" customHeight="1" outlineLevel="1">
      <c r="A103" s="87"/>
      <c r="B103" s="89"/>
      <c r="C103" s="89" t="s">
        <v>1136</v>
      </c>
      <c r="D103" s="181"/>
      <c r="E103" s="181"/>
      <c r="F103" s="258">
        <v>30.0</v>
      </c>
      <c r="G103" s="93">
        <v>69.0</v>
      </c>
      <c r="H103" s="93">
        <v>69.0</v>
      </c>
      <c r="I103" s="238">
        <f t="shared" si="39"/>
        <v>1</v>
      </c>
      <c r="J103" s="162">
        <v>17.9</v>
      </c>
      <c r="K103" s="238">
        <f t="shared" si="40"/>
        <v>0.2594202899</v>
      </c>
      <c r="L103" s="93">
        <f t="shared" si="41"/>
        <v>51.1</v>
      </c>
      <c r="M103" s="158">
        <f t="shared" si="42"/>
        <v>2.854748603</v>
      </c>
      <c r="N103" s="93">
        <v>69.0</v>
      </c>
      <c r="O103" s="87" t="s">
        <v>111</v>
      </c>
      <c r="P103" s="87"/>
      <c r="Q103" s="87"/>
    </row>
    <row r="104" ht="25.5" hidden="1" customHeight="1" outlineLevel="1">
      <c r="A104" s="87"/>
      <c r="B104" s="89"/>
      <c r="C104" s="89" t="s">
        <v>383</v>
      </c>
      <c r="D104" s="181"/>
      <c r="E104" s="181"/>
      <c r="F104" s="258">
        <v>30.0</v>
      </c>
      <c r="G104" s="93">
        <v>69.0</v>
      </c>
      <c r="H104" s="93">
        <v>69.0</v>
      </c>
      <c r="I104" s="238">
        <f t="shared" si="39"/>
        <v>1</v>
      </c>
      <c r="J104" s="162">
        <v>20.21</v>
      </c>
      <c r="K104" s="238">
        <f t="shared" si="40"/>
        <v>0.2928985507</v>
      </c>
      <c r="L104" s="93">
        <f t="shared" si="41"/>
        <v>48.79</v>
      </c>
      <c r="M104" s="158">
        <f t="shared" si="42"/>
        <v>2.41415141</v>
      </c>
      <c r="N104" s="93">
        <v>69.0</v>
      </c>
      <c r="O104" s="87" t="s">
        <v>111</v>
      </c>
      <c r="P104" s="87"/>
      <c r="Q104" s="87"/>
    </row>
    <row r="105" ht="25.5" hidden="1" customHeight="1" outlineLevel="1">
      <c r="A105" s="87"/>
      <c r="B105" s="89"/>
      <c r="C105" s="89" t="s">
        <v>384</v>
      </c>
      <c r="D105" s="181"/>
      <c r="E105" s="181"/>
      <c r="F105" s="258">
        <v>30.0</v>
      </c>
      <c r="G105" s="93">
        <v>59.0</v>
      </c>
      <c r="H105" s="93">
        <v>59.0</v>
      </c>
      <c r="I105" s="238">
        <f t="shared" si="39"/>
        <v>1</v>
      </c>
      <c r="J105" s="162">
        <v>12.66</v>
      </c>
      <c r="K105" s="238">
        <f t="shared" si="40"/>
        <v>0.2145762712</v>
      </c>
      <c r="L105" s="93">
        <f t="shared" si="41"/>
        <v>46.34</v>
      </c>
      <c r="M105" s="158">
        <f t="shared" si="42"/>
        <v>3.660347551</v>
      </c>
      <c r="N105" s="93">
        <v>59.0</v>
      </c>
      <c r="O105" s="87" t="s">
        <v>111</v>
      </c>
      <c r="P105" s="87"/>
      <c r="Q105" s="87"/>
    </row>
    <row r="106" ht="25.5" hidden="1" customHeight="1" outlineLevel="1">
      <c r="A106" s="87"/>
      <c r="B106" s="89"/>
      <c r="C106" s="89" t="s">
        <v>385</v>
      </c>
      <c r="D106" s="181"/>
      <c r="E106" s="181"/>
      <c r="F106" s="258">
        <v>30.0</v>
      </c>
      <c r="G106" s="93">
        <v>69.0</v>
      </c>
      <c r="H106" s="93">
        <v>69.0</v>
      </c>
      <c r="I106" s="238">
        <f t="shared" si="39"/>
        <v>1</v>
      </c>
      <c r="J106" s="162">
        <v>12.95</v>
      </c>
      <c r="K106" s="238">
        <f t="shared" si="40"/>
        <v>0.1876811594</v>
      </c>
      <c r="L106" s="93">
        <f t="shared" si="41"/>
        <v>56.05</v>
      </c>
      <c r="M106" s="158">
        <f t="shared" si="42"/>
        <v>4.328185328</v>
      </c>
      <c r="N106" s="93">
        <v>69.0</v>
      </c>
      <c r="O106" s="87" t="s">
        <v>111</v>
      </c>
      <c r="P106" s="87"/>
      <c r="Q106" s="87"/>
    </row>
    <row r="107" ht="25.5" hidden="1" customHeight="1" outlineLevel="1">
      <c r="A107" s="87"/>
      <c r="B107" s="89"/>
      <c r="C107" s="89" t="s">
        <v>386</v>
      </c>
      <c r="D107" s="181"/>
      <c r="E107" s="181"/>
      <c r="F107" s="258">
        <v>15.0</v>
      </c>
      <c r="G107" s="93">
        <v>59.0</v>
      </c>
      <c r="H107" s="93">
        <v>59.0</v>
      </c>
      <c r="I107" s="238">
        <f t="shared" si="39"/>
        <v>1</v>
      </c>
      <c r="J107" s="162">
        <v>8.11</v>
      </c>
      <c r="K107" s="238">
        <f t="shared" si="40"/>
        <v>0.1374576271</v>
      </c>
      <c r="L107" s="93">
        <f t="shared" si="41"/>
        <v>50.89</v>
      </c>
      <c r="M107" s="158">
        <f t="shared" si="42"/>
        <v>6.274969174</v>
      </c>
      <c r="N107" s="93">
        <v>59.0</v>
      </c>
      <c r="O107" s="87" t="s">
        <v>111</v>
      </c>
      <c r="P107" s="87"/>
      <c r="Q107" s="87"/>
    </row>
    <row r="108" ht="25.5" hidden="1" customHeight="1" outlineLevel="1">
      <c r="A108" s="87"/>
      <c r="B108" s="89"/>
      <c r="C108" s="89" t="s">
        <v>387</v>
      </c>
      <c r="D108" s="181"/>
      <c r="E108" s="181"/>
      <c r="F108" s="258">
        <v>30.0</v>
      </c>
      <c r="G108" s="93">
        <v>59.0</v>
      </c>
      <c r="H108" s="93">
        <v>59.0</v>
      </c>
      <c r="I108" s="238">
        <f t="shared" si="39"/>
        <v>1</v>
      </c>
      <c r="J108" s="162">
        <v>12.36</v>
      </c>
      <c r="K108" s="238">
        <f t="shared" si="40"/>
        <v>0.2094915254</v>
      </c>
      <c r="L108" s="93">
        <f t="shared" si="41"/>
        <v>46.64</v>
      </c>
      <c r="M108" s="158">
        <f t="shared" si="42"/>
        <v>3.773462783</v>
      </c>
      <c r="N108" s="93">
        <v>59.0</v>
      </c>
      <c r="O108" s="87" t="s">
        <v>111</v>
      </c>
      <c r="P108" s="87"/>
      <c r="Q108" s="87"/>
    </row>
    <row r="109" ht="25.5" hidden="1" customHeight="1" outlineLevel="1">
      <c r="A109" s="87"/>
      <c r="B109" s="181"/>
      <c r="C109" s="89" t="s">
        <v>482</v>
      </c>
      <c r="D109" s="181"/>
      <c r="E109" s="181"/>
      <c r="F109" s="258">
        <v>30.0</v>
      </c>
      <c r="G109" s="93">
        <v>59.0</v>
      </c>
      <c r="H109" s="93">
        <v>59.0</v>
      </c>
      <c r="I109" s="238">
        <f t="shared" si="39"/>
        <v>1</v>
      </c>
      <c r="J109" s="162">
        <v>7.34</v>
      </c>
      <c r="K109" s="238">
        <f t="shared" si="40"/>
        <v>0.1244067797</v>
      </c>
      <c r="L109" s="93">
        <f t="shared" si="41"/>
        <v>51.66</v>
      </c>
      <c r="M109" s="158">
        <f t="shared" si="42"/>
        <v>7.038147139</v>
      </c>
      <c r="N109" s="93">
        <v>59.0</v>
      </c>
      <c r="O109" s="87" t="s">
        <v>111</v>
      </c>
      <c r="P109" s="87"/>
      <c r="Q109" s="87"/>
    </row>
    <row r="110" ht="25.5" hidden="1" customHeight="1" outlineLevel="1">
      <c r="A110" s="87"/>
      <c r="B110" s="181"/>
      <c r="C110" s="89" t="s">
        <v>1137</v>
      </c>
      <c r="D110" s="181"/>
      <c r="E110" s="181"/>
      <c r="F110" s="258">
        <v>30.0</v>
      </c>
      <c r="G110" s="93">
        <v>59.0</v>
      </c>
      <c r="H110" s="93">
        <v>59.0</v>
      </c>
      <c r="I110" s="238">
        <f t="shared" si="39"/>
        <v>1</v>
      </c>
      <c r="J110" s="162">
        <v>6.51</v>
      </c>
      <c r="K110" s="238">
        <f t="shared" si="40"/>
        <v>0.1103389831</v>
      </c>
      <c r="L110" s="93">
        <f t="shared" si="41"/>
        <v>52.49</v>
      </c>
      <c r="M110" s="158">
        <f t="shared" si="42"/>
        <v>8.062980031</v>
      </c>
      <c r="N110" s="93">
        <v>59.0</v>
      </c>
      <c r="O110" s="87" t="s">
        <v>111</v>
      </c>
      <c r="P110" s="87"/>
      <c r="Q110" s="87"/>
    </row>
    <row r="111" ht="25.5" hidden="1" customHeight="1" outlineLevel="1">
      <c r="A111" s="87"/>
      <c r="B111" s="181"/>
      <c r="C111" s="89" t="s">
        <v>484</v>
      </c>
      <c r="D111" s="181"/>
      <c r="E111" s="181"/>
      <c r="F111" s="258">
        <v>30.0</v>
      </c>
      <c r="G111" s="93">
        <v>59.0</v>
      </c>
      <c r="H111" s="93">
        <v>59.0</v>
      </c>
      <c r="I111" s="238">
        <f t="shared" si="39"/>
        <v>1</v>
      </c>
      <c r="J111" s="162">
        <v>15.8</v>
      </c>
      <c r="K111" s="238">
        <f t="shared" si="40"/>
        <v>0.2677966102</v>
      </c>
      <c r="L111" s="93">
        <f t="shared" si="41"/>
        <v>43.2</v>
      </c>
      <c r="M111" s="158">
        <f t="shared" si="42"/>
        <v>2.734177215</v>
      </c>
      <c r="N111" s="93">
        <v>59.0</v>
      </c>
      <c r="O111" s="87" t="s">
        <v>111</v>
      </c>
      <c r="P111" s="87"/>
      <c r="Q111" s="87"/>
    </row>
    <row r="112" ht="25.5" hidden="1" customHeight="1" outlineLevel="1">
      <c r="A112" s="87"/>
      <c r="B112" s="181"/>
      <c r="C112" s="89" t="s">
        <v>1138</v>
      </c>
      <c r="D112" s="181"/>
      <c r="E112" s="181"/>
      <c r="F112" s="258">
        <v>30.0</v>
      </c>
      <c r="G112" s="93">
        <v>59.0</v>
      </c>
      <c r="H112" s="93">
        <v>59.0</v>
      </c>
      <c r="I112" s="238">
        <f t="shared" si="39"/>
        <v>1</v>
      </c>
      <c r="J112" s="162">
        <v>9.07</v>
      </c>
      <c r="K112" s="238">
        <f t="shared" si="40"/>
        <v>0.1537288136</v>
      </c>
      <c r="L112" s="93">
        <f t="shared" si="41"/>
        <v>49.93</v>
      </c>
      <c r="M112" s="158">
        <f t="shared" si="42"/>
        <v>5.504961411</v>
      </c>
      <c r="N112" s="93">
        <v>59.0</v>
      </c>
      <c r="O112" s="87" t="s">
        <v>111</v>
      </c>
      <c r="P112" s="87"/>
      <c r="Q112" s="87"/>
    </row>
    <row r="113" ht="25.5" hidden="1" customHeight="1" outlineLevel="1">
      <c r="A113" s="87"/>
      <c r="B113" s="181"/>
      <c r="C113" s="89" t="s">
        <v>486</v>
      </c>
      <c r="D113" s="181"/>
      <c r="E113" s="181"/>
      <c r="F113" s="258">
        <v>30.0</v>
      </c>
      <c r="G113" s="93">
        <v>59.0</v>
      </c>
      <c r="H113" s="93">
        <v>59.0</v>
      </c>
      <c r="I113" s="238">
        <f t="shared" si="39"/>
        <v>1</v>
      </c>
      <c r="J113" s="162">
        <v>13.22</v>
      </c>
      <c r="K113" s="238">
        <f t="shared" si="40"/>
        <v>0.2240677966</v>
      </c>
      <c r="L113" s="93">
        <f t="shared" si="41"/>
        <v>45.78</v>
      </c>
      <c r="M113" s="158">
        <f t="shared" si="42"/>
        <v>3.462934947</v>
      </c>
      <c r="N113" s="93">
        <v>59.0</v>
      </c>
      <c r="O113" s="87" t="s">
        <v>111</v>
      </c>
      <c r="P113" s="87"/>
      <c r="Q113" s="87"/>
    </row>
    <row r="114" ht="25.5" hidden="1" customHeight="1" outlineLevel="1">
      <c r="A114" s="87"/>
      <c r="B114" s="181"/>
      <c r="C114" s="89" t="s">
        <v>487</v>
      </c>
      <c r="D114" s="181"/>
      <c r="E114" s="181"/>
      <c r="F114" s="258">
        <v>30.0</v>
      </c>
      <c r="G114" s="93">
        <v>59.0</v>
      </c>
      <c r="H114" s="93">
        <v>59.0</v>
      </c>
      <c r="I114" s="238">
        <f t="shared" si="39"/>
        <v>1</v>
      </c>
      <c r="J114" s="162">
        <v>5.38</v>
      </c>
      <c r="K114" s="238">
        <f t="shared" si="40"/>
        <v>0.09118644068</v>
      </c>
      <c r="L114" s="93">
        <f t="shared" si="41"/>
        <v>53.62</v>
      </c>
      <c r="M114" s="158">
        <f t="shared" si="42"/>
        <v>9.966542751</v>
      </c>
      <c r="N114" s="93">
        <v>59.0</v>
      </c>
      <c r="O114" s="87" t="s">
        <v>111</v>
      </c>
      <c r="P114" s="87"/>
      <c r="Q114" s="87"/>
    </row>
    <row r="115" ht="25.5" hidden="1" customHeight="1" outlineLevel="1">
      <c r="A115" s="87"/>
      <c r="B115" s="181"/>
      <c r="C115" s="89" t="s">
        <v>488</v>
      </c>
      <c r="D115" s="181"/>
      <c r="E115" s="181"/>
      <c r="F115" s="258">
        <v>30.0</v>
      </c>
      <c r="G115" s="93">
        <v>59.0</v>
      </c>
      <c r="H115" s="93">
        <v>59.0</v>
      </c>
      <c r="I115" s="238">
        <f t="shared" si="39"/>
        <v>1</v>
      </c>
      <c r="J115" s="162">
        <v>15.89</v>
      </c>
      <c r="K115" s="238">
        <f t="shared" si="40"/>
        <v>0.2693220339</v>
      </c>
      <c r="L115" s="93">
        <f t="shared" si="41"/>
        <v>43.11</v>
      </c>
      <c r="M115" s="158">
        <f t="shared" si="42"/>
        <v>2.713027061</v>
      </c>
      <c r="N115" s="93">
        <v>59.0</v>
      </c>
      <c r="O115" s="87" t="s">
        <v>111</v>
      </c>
      <c r="P115" s="87"/>
      <c r="Q115" s="87"/>
    </row>
    <row r="116" ht="25.5" hidden="1" customHeight="1" outlineLevel="1">
      <c r="A116" s="87"/>
      <c r="B116" s="181"/>
      <c r="C116" s="89" t="s">
        <v>489</v>
      </c>
      <c r="D116" s="181"/>
      <c r="E116" s="181"/>
      <c r="F116" s="258">
        <v>30.0</v>
      </c>
      <c r="G116" s="93">
        <v>59.0</v>
      </c>
      <c r="H116" s="93">
        <v>59.0</v>
      </c>
      <c r="I116" s="238">
        <f t="shared" si="39"/>
        <v>1</v>
      </c>
      <c r="J116" s="162">
        <v>9.39</v>
      </c>
      <c r="K116" s="238">
        <f t="shared" si="40"/>
        <v>0.1591525424</v>
      </c>
      <c r="L116" s="93">
        <f t="shared" si="41"/>
        <v>49.61</v>
      </c>
      <c r="M116" s="158">
        <f t="shared" si="42"/>
        <v>5.283280085</v>
      </c>
      <c r="N116" s="93">
        <v>59.0</v>
      </c>
      <c r="O116" s="87" t="s">
        <v>111</v>
      </c>
      <c r="P116" s="87"/>
      <c r="Q116" s="87"/>
    </row>
    <row r="117" ht="25.5" hidden="1" customHeight="1" outlineLevel="1">
      <c r="A117" s="87"/>
      <c r="B117" s="181"/>
      <c r="C117" s="89" t="s">
        <v>490</v>
      </c>
      <c r="D117" s="181"/>
      <c r="E117" s="181"/>
      <c r="F117" s="258">
        <v>30.0</v>
      </c>
      <c r="G117" s="93">
        <v>59.0</v>
      </c>
      <c r="H117" s="93">
        <v>59.0</v>
      </c>
      <c r="I117" s="238">
        <f t="shared" si="39"/>
        <v>1</v>
      </c>
      <c r="J117" s="162">
        <v>9.57</v>
      </c>
      <c r="K117" s="238">
        <f t="shared" si="40"/>
        <v>0.1622033898</v>
      </c>
      <c r="L117" s="93">
        <f t="shared" si="41"/>
        <v>49.43</v>
      </c>
      <c r="M117" s="158">
        <f t="shared" si="42"/>
        <v>5.165099269</v>
      </c>
      <c r="N117" s="93">
        <v>59.0</v>
      </c>
      <c r="O117" s="87" t="s">
        <v>111</v>
      </c>
      <c r="P117" s="87"/>
      <c r="Q117" s="87"/>
    </row>
    <row r="118" ht="25.5" hidden="1" customHeight="1" outlineLevel="1">
      <c r="A118" s="87"/>
      <c r="B118" s="181"/>
      <c r="C118" s="89" t="s">
        <v>491</v>
      </c>
      <c r="D118" s="181"/>
      <c r="E118" s="181"/>
      <c r="F118" s="258">
        <v>30.0</v>
      </c>
      <c r="G118" s="93">
        <v>59.0</v>
      </c>
      <c r="H118" s="93">
        <v>59.0</v>
      </c>
      <c r="I118" s="238">
        <f t="shared" si="39"/>
        <v>1</v>
      </c>
      <c r="J118" s="162">
        <v>7.99</v>
      </c>
      <c r="K118" s="238">
        <f t="shared" si="40"/>
        <v>0.1354237288</v>
      </c>
      <c r="L118" s="93">
        <f t="shared" si="41"/>
        <v>51.01</v>
      </c>
      <c r="M118" s="158">
        <f t="shared" si="42"/>
        <v>6.384230288</v>
      </c>
      <c r="N118" s="93">
        <v>59.0</v>
      </c>
      <c r="O118" s="87" t="s">
        <v>111</v>
      </c>
      <c r="P118" s="87"/>
      <c r="Q118" s="87"/>
    </row>
    <row r="119" ht="25.5" hidden="1" customHeight="1" outlineLevel="1">
      <c r="A119" s="87"/>
      <c r="B119" s="181"/>
      <c r="C119" s="89" t="s">
        <v>1139</v>
      </c>
      <c r="D119" s="181"/>
      <c r="E119" s="181"/>
      <c r="F119" s="258">
        <v>30.0</v>
      </c>
      <c r="G119" s="93">
        <v>59.0</v>
      </c>
      <c r="H119" s="93">
        <v>59.0</v>
      </c>
      <c r="I119" s="238">
        <f t="shared" si="39"/>
        <v>1</v>
      </c>
      <c r="J119" s="162">
        <v>9.0</v>
      </c>
      <c r="K119" s="238">
        <f t="shared" si="40"/>
        <v>0.1525423729</v>
      </c>
      <c r="L119" s="93">
        <f t="shared" si="41"/>
        <v>50</v>
      </c>
      <c r="M119" s="158">
        <f t="shared" si="42"/>
        <v>5.555555556</v>
      </c>
      <c r="N119" s="93">
        <v>59.0</v>
      </c>
      <c r="O119" s="87" t="s">
        <v>111</v>
      </c>
      <c r="P119" s="87"/>
      <c r="Q119" s="87"/>
    </row>
    <row r="120" ht="25.5" hidden="1" customHeight="1" outlineLevel="1">
      <c r="A120" s="87"/>
      <c r="B120" s="181"/>
      <c r="C120" s="89" t="s">
        <v>492</v>
      </c>
      <c r="D120" s="181"/>
      <c r="E120" s="181"/>
      <c r="F120" s="258">
        <v>30.0</v>
      </c>
      <c r="G120" s="93">
        <v>59.0</v>
      </c>
      <c r="H120" s="93">
        <v>59.0</v>
      </c>
      <c r="I120" s="238">
        <f t="shared" si="39"/>
        <v>1</v>
      </c>
      <c r="J120" s="162">
        <v>14.72</v>
      </c>
      <c r="K120" s="238">
        <f t="shared" si="40"/>
        <v>0.2494915254</v>
      </c>
      <c r="L120" s="93">
        <f t="shared" si="41"/>
        <v>44.28</v>
      </c>
      <c r="M120" s="158">
        <f t="shared" si="42"/>
        <v>3.008152174</v>
      </c>
      <c r="N120" s="93">
        <v>59.0</v>
      </c>
      <c r="O120" s="87" t="s">
        <v>111</v>
      </c>
      <c r="P120" s="87"/>
      <c r="Q120" s="87"/>
    </row>
    <row r="121" ht="25.5" hidden="1" customHeight="1" outlineLevel="1">
      <c r="A121" s="87"/>
      <c r="B121" s="181"/>
      <c r="C121" s="89" t="s">
        <v>1140</v>
      </c>
      <c r="D121" s="181" t="s">
        <v>401</v>
      </c>
      <c r="E121" s="181"/>
      <c r="F121" s="258">
        <v>120.0</v>
      </c>
      <c r="G121" s="93">
        <v>99.0</v>
      </c>
      <c r="H121" s="93">
        <v>99.0</v>
      </c>
      <c r="I121" s="238">
        <f t="shared" si="39"/>
        <v>1</v>
      </c>
      <c r="J121" s="162">
        <v>29.0</v>
      </c>
      <c r="K121" s="238">
        <f t="shared" si="40"/>
        <v>0.2929292929</v>
      </c>
      <c r="L121" s="93">
        <f t="shared" si="41"/>
        <v>70</v>
      </c>
      <c r="M121" s="158">
        <f t="shared" si="42"/>
        <v>2.413793103</v>
      </c>
      <c r="N121" s="134"/>
      <c r="O121" s="87" t="s">
        <v>112</v>
      </c>
      <c r="P121" s="87"/>
      <c r="Q121" s="87"/>
    </row>
    <row r="122" ht="25.5" hidden="1" customHeight="1" outlineLevel="1">
      <c r="A122" s="87"/>
      <c r="B122" s="181"/>
      <c r="C122" s="89" t="s">
        <v>1141</v>
      </c>
      <c r="D122" s="181"/>
      <c r="E122" s="181"/>
      <c r="F122" s="258">
        <v>80.0</v>
      </c>
      <c r="G122" s="93">
        <v>29.0</v>
      </c>
      <c r="H122" s="93">
        <v>29.0</v>
      </c>
      <c r="I122" s="238">
        <f t="shared" si="39"/>
        <v>1</v>
      </c>
      <c r="J122" s="162">
        <v>4.88</v>
      </c>
      <c r="K122" s="238">
        <f t="shared" si="40"/>
        <v>0.1682758621</v>
      </c>
      <c r="L122" s="93">
        <f t="shared" si="41"/>
        <v>24.12</v>
      </c>
      <c r="M122" s="158">
        <f t="shared" si="42"/>
        <v>4.942622951</v>
      </c>
      <c r="N122" s="134">
        <v>29.0</v>
      </c>
      <c r="O122" s="87" t="s">
        <v>111</v>
      </c>
      <c r="P122" s="87"/>
      <c r="Q122" s="87"/>
    </row>
    <row r="123" ht="25.5" hidden="1" customHeight="1" outlineLevel="1">
      <c r="A123" s="87"/>
      <c r="B123" s="181"/>
      <c r="C123" s="89" t="s">
        <v>1142</v>
      </c>
      <c r="D123" s="181" t="s">
        <v>1143</v>
      </c>
      <c r="E123" s="181"/>
      <c r="F123" s="258">
        <v>140.0</v>
      </c>
      <c r="G123" s="93">
        <v>149.0</v>
      </c>
      <c r="H123" s="93">
        <v>149.0</v>
      </c>
      <c r="I123" s="238">
        <f t="shared" si="39"/>
        <v>1</v>
      </c>
      <c r="J123" s="162">
        <v>41.0</v>
      </c>
      <c r="K123" s="238">
        <f t="shared" si="40"/>
        <v>0.2751677852</v>
      </c>
      <c r="L123" s="93">
        <f t="shared" si="41"/>
        <v>108</v>
      </c>
      <c r="M123" s="158">
        <f t="shared" si="42"/>
        <v>2.634146341</v>
      </c>
      <c r="N123" s="134">
        <v>189.0</v>
      </c>
      <c r="O123" s="87" t="s">
        <v>111</v>
      </c>
      <c r="P123" s="87"/>
      <c r="Q123" s="87"/>
    </row>
    <row r="124" ht="25.5" customHeight="1">
      <c r="A124" s="86"/>
      <c r="B124" s="615" t="str">
        <f>"Детское меню "&amp;COUNTA(C125:C135)&amp;" шт"</f>
        <v>Детское меню 10 шт</v>
      </c>
      <c r="C124" s="614" t="s">
        <v>1144</v>
      </c>
      <c r="D124" s="681"/>
      <c r="E124" s="681"/>
      <c r="F124" s="682"/>
      <c r="G124" s="645"/>
      <c r="H124" s="645"/>
      <c r="I124" s="648"/>
      <c r="J124" s="683"/>
      <c r="K124" s="647">
        <f>AVERAGE(K125:K135)</f>
        <v>0.2392054151</v>
      </c>
      <c r="L124" s="86"/>
      <c r="M124" s="648"/>
      <c r="N124" s="670"/>
      <c r="O124" s="86"/>
      <c r="P124" s="86"/>
      <c r="Q124" s="86"/>
    </row>
    <row r="125" ht="25.5" customHeight="1" outlineLevel="1">
      <c r="A125" s="87"/>
      <c r="B125" s="181"/>
      <c r="C125" s="89" t="s">
        <v>405</v>
      </c>
      <c r="D125" s="89" t="s">
        <v>406</v>
      </c>
      <c r="E125" s="89"/>
      <c r="F125" s="258">
        <v>150.0</v>
      </c>
      <c r="G125" s="93">
        <v>199.0</v>
      </c>
      <c r="H125" s="93">
        <v>189.0</v>
      </c>
      <c r="I125" s="238">
        <f t="shared" ref="I125:I135" si="43">G125/H125</f>
        <v>1.052910053</v>
      </c>
      <c r="J125" s="162">
        <v>37.47</v>
      </c>
      <c r="K125" s="158">
        <f t="shared" ref="K125:K135" si="44">J125/G125</f>
        <v>0.1882914573</v>
      </c>
      <c r="L125" s="93">
        <f t="shared" ref="L125:L126" si="45">G125-J125</f>
        <v>161.53</v>
      </c>
      <c r="M125" s="158">
        <f t="shared" ref="M125:M126" si="46">H125/J125-1</f>
        <v>4.044035228</v>
      </c>
      <c r="N125" s="134">
        <v>229.0</v>
      </c>
      <c r="O125" s="87" t="s">
        <v>111</v>
      </c>
      <c r="P125" s="87"/>
      <c r="Q125" s="87"/>
    </row>
    <row r="126" ht="25.5" customHeight="1" outlineLevel="1">
      <c r="A126" s="87"/>
      <c r="B126" s="181"/>
      <c r="C126" s="89" t="s">
        <v>1145</v>
      </c>
      <c r="D126" s="181" t="s">
        <v>1146</v>
      </c>
      <c r="E126" s="181"/>
      <c r="F126" s="258">
        <v>300.0</v>
      </c>
      <c r="G126" s="93">
        <v>199.0</v>
      </c>
      <c r="H126" s="93">
        <v>189.0</v>
      </c>
      <c r="I126" s="238">
        <f t="shared" si="43"/>
        <v>1.052910053</v>
      </c>
      <c r="J126" s="162">
        <v>40.08</v>
      </c>
      <c r="K126" s="158">
        <f t="shared" si="44"/>
        <v>0.2014070352</v>
      </c>
      <c r="L126" s="93">
        <f t="shared" si="45"/>
        <v>158.92</v>
      </c>
      <c r="M126" s="158">
        <f t="shared" si="46"/>
        <v>3.715568862</v>
      </c>
      <c r="N126" s="134">
        <v>249.0</v>
      </c>
      <c r="O126" s="87" t="s">
        <v>111</v>
      </c>
      <c r="P126" s="87"/>
      <c r="Q126" s="87"/>
    </row>
    <row r="127" ht="25.5" customHeight="1" outlineLevel="1">
      <c r="A127" s="87"/>
      <c r="B127" s="181"/>
      <c r="C127" s="89"/>
      <c r="D127" s="684" t="s">
        <v>1147</v>
      </c>
      <c r="E127" s="684"/>
      <c r="F127" s="258" t="s">
        <v>1148</v>
      </c>
      <c r="G127" s="93">
        <v>199.0</v>
      </c>
      <c r="H127" s="93">
        <v>179.0</v>
      </c>
      <c r="I127" s="238">
        <f t="shared" si="43"/>
        <v>1.111731844</v>
      </c>
      <c r="J127" s="162">
        <v>45.31</v>
      </c>
      <c r="K127" s="158">
        <f t="shared" si="44"/>
        <v>0.2276884422</v>
      </c>
      <c r="L127" s="87"/>
      <c r="M127" s="158"/>
      <c r="N127" s="134">
        <v>249.0</v>
      </c>
      <c r="O127" s="87" t="s">
        <v>111</v>
      </c>
      <c r="P127" s="87"/>
      <c r="Q127" s="93"/>
    </row>
    <row r="128" ht="25.5" customHeight="1" outlineLevel="1">
      <c r="A128" s="87"/>
      <c r="B128" s="181"/>
      <c r="C128" s="89" t="s">
        <v>414</v>
      </c>
      <c r="D128" s="181" t="s">
        <v>413</v>
      </c>
      <c r="E128" s="181"/>
      <c r="F128" s="258">
        <v>320.0</v>
      </c>
      <c r="G128" s="93">
        <v>279.0</v>
      </c>
      <c r="H128" s="93">
        <v>269.0</v>
      </c>
      <c r="I128" s="238">
        <f t="shared" si="43"/>
        <v>1.037174721</v>
      </c>
      <c r="J128" s="162">
        <v>49.96</v>
      </c>
      <c r="K128" s="158">
        <f t="shared" si="44"/>
        <v>0.1790681004</v>
      </c>
      <c r="L128" s="93">
        <f t="shared" ref="L128:L135" si="47">G128-J128</f>
        <v>229.04</v>
      </c>
      <c r="M128" s="158">
        <f>H128/J128-1</f>
        <v>4.384307446</v>
      </c>
      <c r="N128" s="134">
        <v>349.0</v>
      </c>
      <c r="O128" s="87" t="s">
        <v>111</v>
      </c>
      <c r="P128" s="87"/>
      <c r="Q128" s="87"/>
    </row>
    <row r="129" ht="25.5" customHeight="1" outlineLevel="1">
      <c r="A129" s="87"/>
      <c r="B129" s="181"/>
      <c r="C129" s="89" t="s">
        <v>339</v>
      </c>
      <c r="D129" s="181" t="s">
        <v>415</v>
      </c>
      <c r="E129" s="181"/>
      <c r="F129" s="258">
        <v>320.0</v>
      </c>
      <c r="G129" s="93">
        <v>279.0</v>
      </c>
      <c r="H129" s="93">
        <v>269.0</v>
      </c>
      <c r="I129" s="238">
        <f t="shared" si="43"/>
        <v>1.037174721</v>
      </c>
      <c r="J129" s="162">
        <v>65.0</v>
      </c>
      <c r="K129" s="158">
        <f t="shared" si="44"/>
        <v>0.2329749104</v>
      </c>
      <c r="L129" s="93">
        <f t="shared" si="47"/>
        <v>214</v>
      </c>
      <c r="M129" s="158"/>
      <c r="N129" s="134">
        <v>349.0</v>
      </c>
      <c r="O129" s="87" t="s">
        <v>111</v>
      </c>
      <c r="P129" s="87"/>
      <c r="Q129" s="87"/>
    </row>
    <row r="130" ht="25.5" customHeight="1" outlineLevel="1">
      <c r="A130" s="87"/>
      <c r="B130" s="181"/>
      <c r="C130" s="89" t="s">
        <v>332</v>
      </c>
      <c r="D130" s="181" t="s">
        <v>416</v>
      </c>
      <c r="E130" s="181"/>
      <c r="F130" s="258">
        <v>300.0</v>
      </c>
      <c r="G130" s="93">
        <v>259.0</v>
      </c>
      <c r="H130" s="93">
        <v>249.0</v>
      </c>
      <c r="I130" s="238">
        <f t="shared" si="43"/>
        <v>1.040160643</v>
      </c>
      <c r="J130" s="162">
        <v>60.61</v>
      </c>
      <c r="K130" s="158">
        <f t="shared" si="44"/>
        <v>0.234015444</v>
      </c>
      <c r="L130" s="93">
        <f t="shared" si="47"/>
        <v>198.39</v>
      </c>
      <c r="M130" s="158"/>
      <c r="N130" s="134">
        <v>299.0</v>
      </c>
      <c r="O130" s="87" t="s">
        <v>111</v>
      </c>
      <c r="P130" s="87"/>
      <c r="Q130" s="87"/>
    </row>
    <row r="131" ht="25.5" customHeight="1" outlineLevel="1">
      <c r="A131" s="87"/>
      <c r="B131" s="181"/>
      <c r="C131" s="89" t="s">
        <v>417</v>
      </c>
      <c r="D131" s="181" t="s">
        <v>1149</v>
      </c>
      <c r="E131" s="181"/>
      <c r="F131" s="258">
        <v>180.0</v>
      </c>
      <c r="G131" s="93">
        <v>339.0</v>
      </c>
      <c r="H131" s="93">
        <v>259.0</v>
      </c>
      <c r="I131" s="238">
        <f t="shared" si="43"/>
        <v>1.308880309</v>
      </c>
      <c r="J131" s="162">
        <v>103.08</v>
      </c>
      <c r="K131" s="158">
        <f t="shared" si="44"/>
        <v>0.3040707965</v>
      </c>
      <c r="L131" s="93">
        <f t="shared" si="47"/>
        <v>235.92</v>
      </c>
      <c r="M131" s="158">
        <f t="shared" ref="M131:M135" si="48">H131/J131-1</f>
        <v>1.512611564</v>
      </c>
      <c r="N131" s="134">
        <v>399.0</v>
      </c>
      <c r="O131" s="87" t="s">
        <v>111</v>
      </c>
      <c r="P131" s="87"/>
      <c r="Q131" s="87"/>
    </row>
    <row r="132" ht="15.75" customHeight="1" outlineLevel="1">
      <c r="A132" s="102"/>
      <c r="B132" s="650" t="s">
        <v>1150</v>
      </c>
      <c r="C132" s="657" t="s">
        <v>1151</v>
      </c>
      <c r="D132" s="650" t="s">
        <v>419</v>
      </c>
      <c r="E132" s="650"/>
      <c r="F132" s="652" t="s">
        <v>422</v>
      </c>
      <c r="G132" s="640">
        <v>299.0</v>
      </c>
      <c r="H132" s="640">
        <v>0.0</v>
      </c>
      <c r="I132" s="238" t="str">
        <f t="shared" si="43"/>
        <v>#DIV/0!</v>
      </c>
      <c r="J132" s="653">
        <v>99.06</v>
      </c>
      <c r="K132" s="654">
        <f t="shared" si="44"/>
        <v>0.3313043478</v>
      </c>
      <c r="L132" s="640">
        <f t="shared" si="47"/>
        <v>199.94</v>
      </c>
      <c r="M132" s="654">
        <f t="shared" si="48"/>
        <v>-1</v>
      </c>
      <c r="N132" s="655">
        <v>349.0</v>
      </c>
      <c r="O132" s="102" t="s">
        <v>111</v>
      </c>
      <c r="P132" s="102"/>
      <c r="Q132" s="102"/>
    </row>
    <row r="133" ht="42.0" customHeight="1" outlineLevel="1">
      <c r="A133" s="102"/>
      <c r="B133" s="650" t="s">
        <v>1152</v>
      </c>
      <c r="C133" s="657" t="s">
        <v>1153</v>
      </c>
      <c r="D133" s="650" t="s">
        <v>423</v>
      </c>
      <c r="E133" s="650"/>
      <c r="F133" s="652" t="s">
        <v>422</v>
      </c>
      <c r="G133" s="640">
        <v>299.0</v>
      </c>
      <c r="H133" s="640">
        <v>0.0</v>
      </c>
      <c r="I133" s="238" t="str">
        <f t="shared" si="43"/>
        <v>#DIV/0!</v>
      </c>
      <c r="J133" s="653">
        <v>106.11</v>
      </c>
      <c r="K133" s="654">
        <f t="shared" si="44"/>
        <v>0.3548829431</v>
      </c>
      <c r="L133" s="640">
        <f t="shared" si="47"/>
        <v>192.89</v>
      </c>
      <c r="M133" s="654">
        <f t="shared" si="48"/>
        <v>-1</v>
      </c>
      <c r="N133" s="655">
        <v>349.0</v>
      </c>
      <c r="O133" s="102" t="s">
        <v>111</v>
      </c>
      <c r="P133" s="102"/>
      <c r="Q133" s="102"/>
    </row>
    <row r="134" ht="30.75" customHeight="1" outlineLevel="1">
      <c r="A134" s="102"/>
      <c r="B134" s="650" t="s">
        <v>1154</v>
      </c>
      <c r="C134" s="657" t="s">
        <v>1155</v>
      </c>
      <c r="D134" s="685" t="s">
        <v>1156</v>
      </c>
      <c r="E134" s="685"/>
      <c r="F134" s="652">
        <v>150.0</v>
      </c>
      <c r="G134" s="640">
        <v>299.0</v>
      </c>
      <c r="H134" s="640">
        <v>0.0</v>
      </c>
      <c r="I134" s="238" t="str">
        <f t="shared" si="43"/>
        <v>#DIV/0!</v>
      </c>
      <c r="J134" s="653">
        <v>44.71</v>
      </c>
      <c r="K134" s="654">
        <f t="shared" si="44"/>
        <v>0.1495317726</v>
      </c>
      <c r="L134" s="640">
        <f t="shared" si="47"/>
        <v>254.29</v>
      </c>
      <c r="M134" s="654">
        <f t="shared" si="48"/>
        <v>-1</v>
      </c>
      <c r="N134" s="655">
        <v>349.0</v>
      </c>
      <c r="O134" s="102" t="s">
        <v>111</v>
      </c>
      <c r="P134" s="102"/>
      <c r="Q134" s="102"/>
    </row>
    <row r="135" ht="25.5" customHeight="1" outlineLevel="1">
      <c r="A135" s="87"/>
      <c r="B135" s="181"/>
      <c r="C135" s="89" t="s">
        <v>426</v>
      </c>
      <c r="D135" s="684" t="s">
        <v>427</v>
      </c>
      <c r="E135" s="684"/>
      <c r="F135" s="258">
        <v>250.0</v>
      </c>
      <c r="G135" s="93">
        <v>329.0</v>
      </c>
      <c r="H135" s="93">
        <v>329.0</v>
      </c>
      <c r="I135" s="238">
        <f t="shared" si="43"/>
        <v>1</v>
      </c>
      <c r="J135" s="162">
        <v>75.02</v>
      </c>
      <c r="K135" s="158">
        <f t="shared" si="44"/>
        <v>0.2280243161</v>
      </c>
      <c r="L135" s="93">
        <f t="shared" si="47"/>
        <v>253.98</v>
      </c>
      <c r="M135" s="158">
        <f t="shared" si="48"/>
        <v>3.385497201</v>
      </c>
      <c r="N135" s="134">
        <v>399.0</v>
      </c>
      <c r="O135" s="87" t="s">
        <v>111</v>
      </c>
      <c r="P135" s="87"/>
      <c r="Q135" s="87"/>
    </row>
    <row r="136" ht="25.5" customHeight="1">
      <c r="A136" s="86"/>
      <c r="B136" s="615" t="s">
        <v>1157</v>
      </c>
      <c r="C136" s="614"/>
      <c r="D136" s="681"/>
      <c r="E136" s="681"/>
      <c r="F136" s="354"/>
      <c r="G136" s="645"/>
      <c r="H136" s="645"/>
      <c r="I136" s="648"/>
      <c r="J136" s="683"/>
      <c r="K136" s="648">
        <f>AVERAGE(K137:K156)</f>
        <v>0.2580558522</v>
      </c>
      <c r="L136" s="86"/>
      <c r="M136" s="648"/>
      <c r="N136" s="670"/>
      <c r="O136" s="86"/>
      <c r="P136" s="86"/>
      <c r="Q136" s="86"/>
    </row>
    <row r="137" ht="37.5" customHeight="1" outlineLevel="1">
      <c r="A137" s="87"/>
      <c r="B137" s="181"/>
      <c r="C137" s="89" t="s">
        <v>1158</v>
      </c>
      <c r="D137" s="620"/>
      <c r="E137" s="620"/>
      <c r="F137" s="258"/>
      <c r="G137" s="93">
        <v>2499.0</v>
      </c>
      <c r="H137" s="93">
        <v>2499.0</v>
      </c>
      <c r="I137" s="158"/>
      <c r="J137" s="162">
        <v>564.64</v>
      </c>
      <c r="K137" s="158">
        <f t="shared" ref="K137:K143" si="49">J137/G137</f>
        <v>0.2259463786</v>
      </c>
      <c r="L137" s="93">
        <f t="shared" ref="L137:L143" si="50">G137-J137</f>
        <v>1934.36</v>
      </c>
      <c r="M137" s="158">
        <f t="shared" ref="M137:M143" si="51">H137/J137-1</f>
        <v>3.425828847</v>
      </c>
      <c r="N137" s="134"/>
      <c r="O137" s="87" t="s">
        <v>112</v>
      </c>
      <c r="P137" s="87"/>
      <c r="Q137" s="87"/>
    </row>
    <row r="138" ht="37.5" customHeight="1" outlineLevel="1">
      <c r="A138" s="87"/>
      <c r="B138" s="181"/>
      <c r="C138" s="89" t="s">
        <v>1159</v>
      </c>
      <c r="D138" s="620"/>
      <c r="E138" s="620"/>
      <c r="F138" s="258"/>
      <c r="G138" s="93">
        <v>599.0</v>
      </c>
      <c r="H138" s="93">
        <v>599.0</v>
      </c>
      <c r="I138" s="158"/>
      <c r="J138" s="162">
        <v>167.71</v>
      </c>
      <c r="K138" s="158">
        <f t="shared" si="49"/>
        <v>0.2799833055</v>
      </c>
      <c r="L138" s="93">
        <f t="shared" si="50"/>
        <v>431.29</v>
      </c>
      <c r="M138" s="158">
        <f t="shared" si="51"/>
        <v>2.571641524</v>
      </c>
      <c r="N138" s="134"/>
      <c r="O138" s="87" t="s">
        <v>112</v>
      </c>
      <c r="P138" s="87"/>
      <c r="Q138" s="87"/>
    </row>
    <row r="139" ht="37.5" customHeight="1" outlineLevel="1">
      <c r="A139" s="87"/>
      <c r="B139" s="181"/>
      <c r="C139" s="89" t="s">
        <v>1160</v>
      </c>
      <c r="D139" s="620"/>
      <c r="E139" s="620"/>
      <c r="F139" s="258"/>
      <c r="G139" s="93">
        <v>499.0</v>
      </c>
      <c r="H139" s="93">
        <v>499.0</v>
      </c>
      <c r="I139" s="158"/>
      <c r="J139" s="162">
        <v>110.0</v>
      </c>
      <c r="K139" s="158">
        <f t="shared" si="49"/>
        <v>0.2204408818</v>
      </c>
      <c r="L139" s="93">
        <f t="shared" si="50"/>
        <v>389</v>
      </c>
      <c r="M139" s="158">
        <f t="shared" si="51"/>
        <v>3.536363636</v>
      </c>
      <c r="N139" s="134"/>
      <c r="O139" s="87" t="s">
        <v>112</v>
      </c>
      <c r="P139" s="87"/>
      <c r="Q139" s="87"/>
    </row>
    <row r="140" ht="37.5" customHeight="1" outlineLevel="1">
      <c r="A140" s="87"/>
      <c r="B140" s="181"/>
      <c r="C140" s="89" t="s">
        <v>1161</v>
      </c>
      <c r="D140" s="181" t="s">
        <v>1162</v>
      </c>
      <c r="E140" s="181"/>
      <c r="F140" s="258"/>
      <c r="G140" s="93">
        <v>2699.0</v>
      </c>
      <c r="H140" s="93">
        <v>2699.0</v>
      </c>
      <c r="I140" s="158"/>
      <c r="J140" s="162">
        <v>601.32</v>
      </c>
      <c r="K140" s="158">
        <f t="shared" si="49"/>
        <v>0.2227936273</v>
      </c>
      <c r="L140" s="93">
        <f t="shared" si="50"/>
        <v>2097.68</v>
      </c>
      <c r="M140" s="158">
        <f t="shared" si="51"/>
        <v>3.488458724</v>
      </c>
      <c r="N140" s="134"/>
      <c r="O140" s="87" t="s">
        <v>112</v>
      </c>
      <c r="P140" s="87"/>
      <c r="Q140" s="87"/>
    </row>
    <row r="141" ht="43.5" customHeight="1" outlineLevel="1">
      <c r="A141" s="87"/>
      <c r="B141" s="181"/>
      <c r="C141" s="89" t="s">
        <v>1163</v>
      </c>
      <c r="D141" s="181" t="s">
        <v>1164</v>
      </c>
      <c r="E141" s="181"/>
      <c r="F141" s="258"/>
      <c r="G141" s="93">
        <v>6599.0</v>
      </c>
      <c r="H141" s="93">
        <v>6599.0</v>
      </c>
      <c r="I141" s="158"/>
      <c r="J141" s="162">
        <v>1632.4</v>
      </c>
      <c r="K141" s="158">
        <f t="shared" si="49"/>
        <v>0.2473708138</v>
      </c>
      <c r="L141" s="93">
        <f t="shared" si="50"/>
        <v>4966.6</v>
      </c>
      <c r="M141" s="158">
        <f t="shared" si="51"/>
        <v>3.04251409</v>
      </c>
      <c r="N141" s="134"/>
      <c r="O141" s="87" t="s">
        <v>112</v>
      </c>
      <c r="P141" s="87"/>
      <c r="Q141" s="87"/>
    </row>
    <row r="142" ht="45.0" customHeight="1" outlineLevel="1">
      <c r="A142" s="87"/>
      <c r="B142" s="181"/>
      <c r="C142" s="89" t="s">
        <v>1165</v>
      </c>
      <c r="D142" s="181" t="s">
        <v>1166</v>
      </c>
      <c r="E142" s="181"/>
      <c r="F142" s="258"/>
      <c r="G142" s="93">
        <v>9599.0</v>
      </c>
      <c r="H142" s="93">
        <v>9599.0</v>
      </c>
      <c r="I142" s="158"/>
      <c r="J142" s="162">
        <v>2049.98</v>
      </c>
      <c r="K142" s="158">
        <f t="shared" si="49"/>
        <v>0.2135618294</v>
      </c>
      <c r="L142" s="93">
        <f t="shared" si="50"/>
        <v>7549.02</v>
      </c>
      <c r="M142" s="158">
        <f t="shared" si="51"/>
        <v>3.682484707</v>
      </c>
      <c r="N142" s="134"/>
      <c r="O142" s="87" t="s">
        <v>112</v>
      </c>
      <c r="P142" s="87"/>
      <c r="Q142" s="87"/>
    </row>
    <row r="143" ht="38.25" customHeight="1" outlineLevel="1">
      <c r="A143" s="87"/>
      <c r="B143" s="181"/>
      <c r="C143" s="89" t="s">
        <v>1167</v>
      </c>
      <c r="D143" s="181" t="s">
        <v>1168</v>
      </c>
      <c r="E143" s="181"/>
      <c r="F143" s="258"/>
      <c r="G143" s="93">
        <v>6899.0</v>
      </c>
      <c r="H143" s="93">
        <v>6899.0</v>
      </c>
      <c r="I143" s="158"/>
      <c r="J143" s="162">
        <v>1689.62</v>
      </c>
      <c r="K143" s="158">
        <f t="shared" si="49"/>
        <v>0.2449079577</v>
      </c>
      <c r="L143" s="93">
        <f t="shared" si="50"/>
        <v>5209.38</v>
      </c>
      <c r="M143" s="158">
        <f t="shared" si="51"/>
        <v>3.083166629</v>
      </c>
      <c r="N143" s="134"/>
      <c r="O143" s="87" t="s">
        <v>112</v>
      </c>
      <c r="P143" s="87"/>
      <c r="Q143" s="87"/>
    </row>
    <row r="144" ht="25.5" customHeight="1">
      <c r="A144" s="86"/>
      <c r="B144" s="615" t="s">
        <v>1169</v>
      </c>
      <c r="C144" s="615"/>
      <c r="D144" s="686"/>
      <c r="E144" s="686"/>
      <c r="F144" s="682"/>
      <c r="G144" s="687"/>
      <c r="H144" s="687"/>
      <c r="I144" s="688"/>
      <c r="J144" s="686"/>
      <c r="K144" s="647">
        <f>AVERAGE(K145:K157)</f>
        <v>0.2681467288</v>
      </c>
      <c r="L144" s="86"/>
      <c r="M144" s="648"/>
      <c r="N144" s="670"/>
      <c r="O144" s="86"/>
      <c r="P144" s="86"/>
      <c r="Q144" s="86"/>
    </row>
    <row r="145" ht="15.75" customHeight="1" outlineLevel="1">
      <c r="A145" s="239"/>
      <c r="B145" s="689"/>
      <c r="C145" s="689"/>
      <c r="D145" s="690"/>
      <c r="E145" s="690"/>
      <c r="F145" s="265">
        <v>180.0</v>
      </c>
      <c r="G145" s="243">
        <v>599.0</v>
      </c>
      <c r="H145" s="243">
        <v>599.0</v>
      </c>
      <c r="I145" s="247"/>
      <c r="J145" s="275">
        <v>174.66</v>
      </c>
      <c r="K145" s="238">
        <f t="shared" ref="K145:K163" si="52">J145/G145</f>
        <v>0.2915859766</v>
      </c>
      <c r="L145" s="243">
        <f t="shared" ref="L145:L163" si="53">G145-J145</f>
        <v>424.34</v>
      </c>
      <c r="M145" s="158">
        <f t="shared" ref="M145:M163" si="54">H145/J145-1</f>
        <v>2.429520211</v>
      </c>
      <c r="N145" s="670"/>
      <c r="O145" s="239" t="s">
        <v>112</v>
      </c>
      <c r="P145" s="239"/>
      <c r="Q145" s="239"/>
    </row>
    <row r="146" ht="38.25" customHeight="1" outlineLevel="1">
      <c r="A146" s="239"/>
      <c r="B146" s="690"/>
      <c r="C146" s="690"/>
      <c r="D146" s="690"/>
      <c r="E146" s="690"/>
      <c r="F146" s="265">
        <v>180.0</v>
      </c>
      <c r="G146" s="243">
        <v>329.0</v>
      </c>
      <c r="H146" s="243">
        <v>329.0</v>
      </c>
      <c r="I146" s="247"/>
      <c r="J146" s="275">
        <v>68.02</v>
      </c>
      <c r="K146" s="238">
        <f t="shared" si="52"/>
        <v>0.2067477204</v>
      </c>
      <c r="L146" s="243">
        <f t="shared" si="53"/>
        <v>260.98</v>
      </c>
      <c r="M146" s="158">
        <f t="shared" si="54"/>
        <v>3.836812702</v>
      </c>
      <c r="N146" s="670">
        <v>369.0</v>
      </c>
      <c r="O146" s="239" t="s">
        <v>111</v>
      </c>
      <c r="P146" s="239"/>
      <c r="Q146" s="239"/>
    </row>
    <row r="147" ht="48.75" customHeight="1" outlineLevel="1">
      <c r="A147" s="239"/>
      <c r="B147" s="689"/>
      <c r="C147" s="689"/>
      <c r="D147" s="690"/>
      <c r="E147" s="690"/>
      <c r="F147" s="265">
        <v>200.0</v>
      </c>
      <c r="G147" s="243">
        <v>299.0</v>
      </c>
      <c r="H147" s="243">
        <v>299.0</v>
      </c>
      <c r="I147" s="247"/>
      <c r="J147" s="275">
        <v>71.22</v>
      </c>
      <c r="K147" s="238">
        <f t="shared" si="52"/>
        <v>0.2381939799</v>
      </c>
      <c r="L147" s="243">
        <f t="shared" si="53"/>
        <v>227.78</v>
      </c>
      <c r="M147" s="158">
        <f t="shared" si="54"/>
        <v>3.198258916</v>
      </c>
      <c r="N147" s="670">
        <v>339.0</v>
      </c>
      <c r="O147" s="239" t="s">
        <v>111</v>
      </c>
      <c r="P147" s="239"/>
      <c r="Q147" s="239"/>
    </row>
    <row r="148" ht="25.5" customHeight="1" outlineLevel="1">
      <c r="A148" s="239"/>
      <c r="B148" s="639"/>
      <c r="C148" s="639"/>
      <c r="D148" s="690"/>
      <c r="E148" s="690"/>
      <c r="F148" s="265">
        <v>150.0</v>
      </c>
      <c r="G148" s="243">
        <v>379.0</v>
      </c>
      <c r="H148" s="243">
        <v>379.0</v>
      </c>
      <c r="I148" s="247"/>
      <c r="J148" s="275">
        <v>98.86</v>
      </c>
      <c r="K148" s="238">
        <f t="shared" si="52"/>
        <v>0.2608443272</v>
      </c>
      <c r="L148" s="243">
        <f t="shared" si="53"/>
        <v>280.14</v>
      </c>
      <c r="M148" s="158">
        <f t="shared" si="54"/>
        <v>2.833704228</v>
      </c>
      <c r="N148" s="670">
        <v>429.0</v>
      </c>
      <c r="O148" s="239" t="s">
        <v>111</v>
      </c>
      <c r="P148" s="239"/>
      <c r="Q148" s="239"/>
    </row>
    <row r="149" ht="45.0" customHeight="1" outlineLevel="1">
      <c r="A149" s="239"/>
      <c r="B149" s="689"/>
      <c r="C149" s="689"/>
      <c r="D149" s="690"/>
      <c r="E149" s="690"/>
      <c r="F149" s="265">
        <v>200.0</v>
      </c>
      <c r="G149" s="243">
        <v>299.0</v>
      </c>
      <c r="H149" s="243">
        <v>299.0</v>
      </c>
      <c r="I149" s="247"/>
      <c r="J149" s="275">
        <v>77.9</v>
      </c>
      <c r="K149" s="238">
        <f t="shared" si="52"/>
        <v>0.2605351171</v>
      </c>
      <c r="L149" s="243">
        <f t="shared" si="53"/>
        <v>221.1</v>
      </c>
      <c r="M149" s="158">
        <f t="shared" si="54"/>
        <v>2.838254172</v>
      </c>
      <c r="N149" s="670"/>
      <c r="O149" s="239" t="s">
        <v>112</v>
      </c>
      <c r="P149" s="239"/>
      <c r="Q149" s="239"/>
    </row>
    <row r="150" ht="43.5" customHeight="1" outlineLevel="1">
      <c r="A150" s="239"/>
      <c r="B150" s="689"/>
      <c r="C150" s="689"/>
      <c r="D150" s="690"/>
      <c r="E150" s="690"/>
      <c r="F150" s="265">
        <v>300.0</v>
      </c>
      <c r="G150" s="243">
        <v>439.0</v>
      </c>
      <c r="H150" s="243">
        <v>439.0</v>
      </c>
      <c r="I150" s="247"/>
      <c r="J150" s="275">
        <v>130.47</v>
      </c>
      <c r="K150" s="238">
        <f t="shared" si="52"/>
        <v>0.2971981777</v>
      </c>
      <c r="L150" s="243">
        <f t="shared" si="53"/>
        <v>308.53</v>
      </c>
      <c r="M150" s="158">
        <f t="shared" si="54"/>
        <v>2.364758182</v>
      </c>
      <c r="N150" s="670">
        <v>489.0</v>
      </c>
      <c r="O150" s="239" t="s">
        <v>111</v>
      </c>
      <c r="P150" s="239"/>
      <c r="Q150" s="239"/>
    </row>
    <row r="151" ht="37.5" customHeight="1" outlineLevel="1">
      <c r="A151" s="239"/>
      <c r="B151" s="689"/>
      <c r="C151" s="689"/>
      <c r="D151" s="689"/>
      <c r="E151" s="689"/>
      <c r="F151" s="265">
        <v>300.0</v>
      </c>
      <c r="G151" s="243">
        <v>339.0</v>
      </c>
      <c r="H151" s="243">
        <v>339.0</v>
      </c>
      <c r="I151" s="247"/>
      <c r="J151" s="275">
        <v>67.55</v>
      </c>
      <c r="K151" s="238">
        <f t="shared" si="52"/>
        <v>0.1992625369</v>
      </c>
      <c r="L151" s="243">
        <f t="shared" si="53"/>
        <v>271.45</v>
      </c>
      <c r="M151" s="158">
        <f t="shared" si="54"/>
        <v>4.018504811</v>
      </c>
      <c r="N151" s="670">
        <v>369.0</v>
      </c>
      <c r="O151" s="239" t="s">
        <v>111</v>
      </c>
      <c r="P151" s="239"/>
      <c r="Q151" s="239"/>
    </row>
    <row r="152" ht="33.0" customHeight="1" outlineLevel="1">
      <c r="A152" s="239"/>
      <c r="B152" s="689"/>
      <c r="C152" s="689"/>
      <c r="D152" s="689"/>
      <c r="E152" s="689"/>
      <c r="F152" s="265">
        <v>180.0</v>
      </c>
      <c r="G152" s="243">
        <v>399.0</v>
      </c>
      <c r="H152" s="243">
        <v>399.0</v>
      </c>
      <c r="I152" s="247"/>
      <c r="J152" s="275">
        <v>93.03</v>
      </c>
      <c r="K152" s="238">
        <f t="shared" si="52"/>
        <v>0.2331578947</v>
      </c>
      <c r="L152" s="243">
        <f t="shared" si="53"/>
        <v>305.97</v>
      </c>
      <c r="M152" s="158">
        <f t="shared" si="54"/>
        <v>3.288939052</v>
      </c>
      <c r="N152" s="670">
        <v>399.0</v>
      </c>
      <c r="O152" s="239" t="s">
        <v>111</v>
      </c>
      <c r="P152" s="239"/>
      <c r="Q152" s="239"/>
    </row>
    <row r="153" ht="42.75" customHeight="1" outlineLevel="1">
      <c r="A153" s="239"/>
      <c r="B153" s="689"/>
      <c r="C153" s="689"/>
      <c r="D153" s="689"/>
      <c r="E153" s="689"/>
      <c r="F153" s="265">
        <v>300.0</v>
      </c>
      <c r="G153" s="243">
        <v>279.0</v>
      </c>
      <c r="H153" s="243">
        <v>279.0</v>
      </c>
      <c r="I153" s="247"/>
      <c r="J153" s="275">
        <v>83.66</v>
      </c>
      <c r="K153" s="238">
        <f t="shared" si="52"/>
        <v>0.2998566308</v>
      </c>
      <c r="L153" s="243">
        <f t="shared" si="53"/>
        <v>195.34</v>
      </c>
      <c r="M153" s="158">
        <f t="shared" si="54"/>
        <v>2.334927086</v>
      </c>
      <c r="N153" s="670">
        <v>329.0</v>
      </c>
      <c r="O153" s="239" t="s">
        <v>111</v>
      </c>
      <c r="P153" s="239"/>
      <c r="Q153" s="239"/>
    </row>
    <row r="154" ht="25.5" customHeight="1" outlineLevel="1">
      <c r="A154" s="239"/>
      <c r="B154" s="689"/>
      <c r="C154" s="689"/>
      <c r="D154" s="689"/>
      <c r="E154" s="689"/>
      <c r="F154" s="265">
        <v>160.0</v>
      </c>
      <c r="G154" s="243">
        <v>269.0</v>
      </c>
      <c r="H154" s="243">
        <v>269.0</v>
      </c>
      <c r="I154" s="247"/>
      <c r="J154" s="275">
        <v>77.45</v>
      </c>
      <c r="K154" s="238">
        <f t="shared" si="52"/>
        <v>0.2879182156</v>
      </c>
      <c r="L154" s="243">
        <f t="shared" si="53"/>
        <v>191.55</v>
      </c>
      <c r="M154" s="158">
        <f t="shared" si="54"/>
        <v>2.473208522</v>
      </c>
      <c r="N154" s="670">
        <v>299.0</v>
      </c>
      <c r="O154" s="239" t="s">
        <v>111</v>
      </c>
      <c r="P154" s="239"/>
      <c r="Q154" s="239"/>
    </row>
    <row r="155" ht="35.25" customHeight="1" outlineLevel="1">
      <c r="A155" s="239"/>
      <c r="B155" s="689"/>
      <c r="C155" s="689"/>
      <c r="D155" s="689"/>
      <c r="E155" s="689"/>
      <c r="F155" s="265">
        <v>160.0</v>
      </c>
      <c r="G155" s="243">
        <v>329.0</v>
      </c>
      <c r="H155" s="243">
        <v>329.0</v>
      </c>
      <c r="I155" s="247"/>
      <c r="J155" s="275">
        <v>94.65</v>
      </c>
      <c r="K155" s="238">
        <f t="shared" si="52"/>
        <v>0.2876899696</v>
      </c>
      <c r="L155" s="243">
        <f t="shared" si="53"/>
        <v>234.35</v>
      </c>
      <c r="M155" s="158">
        <f t="shared" si="54"/>
        <v>2.475964078</v>
      </c>
      <c r="N155" s="670">
        <v>349.0</v>
      </c>
      <c r="O155" s="239" t="s">
        <v>111</v>
      </c>
      <c r="P155" s="239"/>
      <c r="Q155" s="239"/>
    </row>
    <row r="156" ht="26.25" customHeight="1" outlineLevel="1">
      <c r="A156" s="239"/>
      <c r="B156" s="689"/>
      <c r="C156" s="689"/>
      <c r="D156" s="689"/>
      <c r="E156" s="689"/>
      <c r="F156" s="265">
        <v>500.0</v>
      </c>
      <c r="G156" s="243">
        <v>999.0</v>
      </c>
      <c r="H156" s="243">
        <v>999.0</v>
      </c>
      <c r="I156" s="247"/>
      <c r="J156" s="275">
        <v>374.6</v>
      </c>
      <c r="K156" s="238">
        <f t="shared" si="52"/>
        <v>0.374974975</v>
      </c>
      <c r="L156" s="243">
        <f t="shared" si="53"/>
        <v>624.4</v>
      </c>
      <c r="M156" s="158">
        <f t="shared" si="54"/>
        <v>1.666844634</v>
      </c>
      <c r="N156" s="670">
        <v>1199.0</v>
      </c>
      <c r="O156" s="239" t="s">
        <v>111</v>
      </c>
      <c r="P156" s="239"/>
      <c r="Q156" s="239"/>
    </row>
    <row r="157" ht="25.5" customHeight="1" outlineLevel="1">
      <c r="A157" s="239"/>
      <c r="B157" s="89"/>
      <c r="C157" s="89"/>
      <c r="D157" s="689"/>
      <c r="E157" s="689"/>
      <c r="F157" s="265">
        <v>120.0</v>
      </c>
      <c r="G157" s="243">
        <v>379.0</v>
      </c>
      <c r="H157" s="243">
        <v>379.0</v>
      </c>
      <c r="I157" s="247"/>
      <c r="J157" s="275">
        <v>93.97</v>
      </c>
      <c r="K157" s="238">
        <f t="shared" si="52"/>
        <v>0.2479419525</v>
      </c>
      <c r="L157" s="243">
        <f t="shared" si="53"/>
        <v>285.03</v>
      </c>
      <c r="M157" s="158">
        <f t="shared" si="54"/>
        <v>3.033202086</v>
      </c>
      <c r="N157" s="670">
        <v>399.0</v>
      </c>
      <c r="O157" s="239" t="s">
        <v>111</v>
      </c>
      <c r="P157" s="239"/>
      <c r="Q157" s="239"/>
    </row>
    <row r="158" ht="25.5" customHeight="1" outlineLevel="1">
      <c r="A158" s="239"/>
      <c r="B158" s="87"/>
      <c r="C158" s="89"/>
      <c r="D158" s="689"/>
      <c r="E158" s="689"/>
      <c r="F158" s="265">
        <v>0.0</v>
      </c>
      <c r="G158" s="243">
        <v>0.0</v>
      </c>
      <c r="H158" s="243">
        <v>0.0</v>
      </c>
      <c r="I158" s="247"/>
      <c r="J158" s="275">
        <v>0.0</v>
      </c>
      <c r="K158" s="238" t="str">
        <f t="shared" si="52"/>
        <v>#DIV/0!</v>
      </c>
      <c r="L158" s="243">
        <f t="shared" si="53"/>
        <v>0</v>
      </c>
      <c r="M158" s="158" t="str">
        <f t="shared" si="54"/>
        <v>#DIV/0!</v>
      </c>
      <c r="N158" s="670"/>
      <c r="O158" s="239" t="s">
        <v>111</v>
      </c>
      <c r="P158" s="239"/>
      <c r="Q158" s="239"/>
    </row>
    <row r="159" ht="25.5" customHeight="1" outlineLevel="1">
      <c r="A159" s="239"/>
      <c r="B159" s="87"/>
      <c r="C159" s="89"/>
      <c r="D159" s="689"/>
      <c r="E159" s="689"/>
      <c r="F159" s="265">
        <v>0.0</v>
      </c>
      <c r="G159" s="243">
        <v>0.0</v>
      </c>
      <c r="H159" s="243">
        <v>0.0</v>
      </c>
      <c r="I159" s="247"/>
      <c r="J159" s="275">
        <v>0.0</v>
      </c>
      <c r="K159" s="238" t="str">
        <f t="shared" si="52"/>
        <v>#DIV/0!</v>
      </c>
      <c r="L159" s="243">
        <f t="shared" si="53"/>
        <v>0</v>
      </c>
      <c r="M159" s="158" t="str">
        <f t="shared" si="54"/>
        <v>#DIV/0!</v>
      </c>
      <c r="N159" s="670"/>
      <c r="O159" s="239"/>
      <c r="P159" s="239"/>
      <c r="Q159" s="239"/>
    </row>
    <row r="160" ht="25.5" customHeight="1" outlineLevel="1">
      <c r="A160" s="239"/>
      <c r="B160" s="87"/>
      <c r="C160" s="89"/>
      <c r="D160" s="690"/>
      <c r="E160" s="690"/>
      <c r="F160" s="265">
        <v>0.0</v>
      </c>
      <c r="G160" s="243">
        <v>0.0</v>
      </c>
      <c r="H160" s="243">
        <v>0.0</v>
      </c>
      <c r="I160" s="247"/>
      <c r="J160" s="275">
        <v>0.0</v>
      </c>
      <c r="K160" s="238" t="str">
        <f t="shared" si="52"/>
        <v>#DIV/0!</v>
      </c>
      <c r="L160" s="243">
        <f t="shared" si="53"/>
        <v>0</v>
      </c>
      <c r="M160" s="158" t="str">
        <f t="shared" si="54"/>
        <v>#DIV/0!</v>
      </c>
      <c r="N160" s="670"/>
      <c r="O160" s="239"/>
      <c r="P160" s="239"/>
      <c r="Q160" s="239"/>
    </row>
    <row r="161" ht="38.25" customHeight="1" outlineLevel="1">
      <c r="A161" s="239"/>
      <c r="B161" s="87"/>
      <c r="C161" s="89"/>
      <c r="D161" s="690"/>
      <c r="E161" s="690"/>
      <c r="F161" s="265">
        <v>0.0</v>
      </c>
      <c r="G161" s="243">
        <v>0.0</v>
      </c>
      <c r="H161" s="243">
        <v>0.0</v>
      </c>
      <c r="I161" s="247"/>
      <c r="J161" s="275">
        <v>0.0</v>
      </c>
      <c r="K161" s="238" t="str">
        <f t="shared" si="52"/>
        <v>#DIV/0!</v>
      </c>
      <c r="L161" s="243">
        <f t="shared" si="53"/>
        <v>0</v>
      </c>
      <c r="M161" s="158" t="str">
        <f t="shared" si="54"/>
        <v>#DIV/0!</v>
      </c>
      <c r="N161" s="670"/>
      <c r="O161" s="239"/>
      <c r="P161" s="239"/>
      <c r="Q161" s="239"/>
    </row>
    <row r="162" ht="43.5" customHeight="1" outlineLevel="1">
      <c r="A162" s="239"/>
      <c r="B162" s="87"/>
      <c r="C162" s="89"/>
      <c r="D162" s="690"/>
      <c r="E162" s="690"/>
      <c r="F162" s="265">
        <v>0.0</v>
      </c>
      <c r="G162" s="243">
        <v>0.0</v>
      </c>
      <c r="H162" s="243">
        <v>0.0</v>
      </c>
      <c r="I162" s="247"/>
      <c r="J162" s="275">
        <v>0.0</v>
      </c>
      <c r="K162" s="238" t="str">
        <f t="shared" si="52"/>
        <v>#DIV/0!</v>
      </c>
      <c r="L162" s="243">
        <f t="shared" si="53"/>
        <v>0</v>
      </c>
      <c r="M162" s="158" t="str">
        <f t="shared" si="54"/>
        <v>#DIV/0!</v>
      </c>
      <c r="N162" s="670"/>
      <c r="O162" s="239"/>
      <c r="P162" s="239"/>
      <c r="Q162" s="239"/>
    </row>
    <row r="163" ht="25.5" customHeight="1" outlineLevel="1">
      <c r="A163" s="239"/>
      <c r="B163" s="87"/>
      <c r="C163" s="89"/>
      <c r="D163" s="690"/>
      <c r="E163" s="690"/>
      <c r="F163" s="265">
        <v>0.0</v>
      </c>
      <c r="G163" s="243">
        <v>0.0</v>
      </c>
      <c r="H163" s="243">
        <v>0.0</v>
      </c>
      <c r="I163" s="247"/>
      <c r="J163" s="275">
        <v>0.0</v>
      </c>
      <c r="K163" s="238" t="str">
        <f t="shared" si="52"/>
        <v>#DIV/0!</v>
      </c>
      <c r="L163" s="243">
        <f t="shared" si="53"/>
        <v>0</v>
      </c>
      <c r="M163" s="158" t="str">
        <f t="shared" si="54"/>
        <v>#DIV/0!</v>
      </c>
      <c r="N163" s="670"/>
      <c r="O163" s="239"/>
      <c r="P163" s="239"/>
      <c r="Q163" s="239"/>
    </row>
    <row r="164" ht="25.5" customHeight="1">
      <c r="A164" s="86"/>
      <c r="B164" s="615" t="str">
        <f>"Меню праздника "&amp;COUNTA(C165:C179)&amp;" шт"</f>
        <v>Меню праздника 14 шт</v>
      </c>
      <c r="C164" s="615"/>
      <c r="D164" s="686"/>
      <c r="E164" s="686"/>
      <c r="F164" s="682"/>
      <c r="G164" s="687"/>
      <c r="H164" s="687"/>
      <c r="I164" s="688"/>
      <c r="J164" s="683"/>
      <c r="K164" s="648"/>
      <c r="L164" s="86"/>
      <c r="M164" s="648"/>
      <c r="N164" s="670"/>
      <c r="O164" s="86"/>
      <c r="P164" s="86"/>
      <c r="Q164" s="86"/>
    </row>
    <row r="165" ht="25.5" customHeight="1" outlineLevel="1">
      <c r="A165" s="87">
        <v>1.0</v>
      </c>
      <c r="B165" s="68"/>
      <c r="C165" s="116" t="s">
        <v>450</v>
      </c>
      <c r="D165" s="691"/>
      <c r="E165" s="691"/>
      <c r="F165" s="258">
        <v>30.0</v>
      </c>
      <c r="G165" s="93">
        <v>79.0</v>
      </c>
      <c r="H165" s="93">
        <v>79.0</v>
      </c>
      <c r="I165" s="158"/>
      <c r="J165" s="162">
        <v>20.38</v>
      </c>
      <c r="K165" s="238">
        <f t="shared" ref="K165:K178" si="55">J165/G165</f>
        <v>0.2579746835</v>
      </c>
      <c r="L165" s="93">
        <f t="shared" ref="L165:L178" si="56">G165-J165</f>
        <v>58.62</v>
      </c>
      <c r="M165" s="158">
        <f t="shared" ref="M165:M178" si="57">H165/J165-1</f>
        <v>2.876349362</v>
      </c>
      <c r="N165" s="134"/>
      <c r="O165" s="87"/>
      <c r="P165" s="87"/>
      <c r="Q165" s="87"/>
    </row>
    <row r="166" ht="25.5" customHeight="1" outlineLevel="1">
      <c r="A166" s="87">
        <v>2.0</v>
      </c>
      <c r="B166" s="89"/>
      <c r="C166" s="89" t="s">
        <v>1170</v>
      </c>
      <c r="D166" s="691"/>
      <c r="E166" s="691"/>
      <c r="F166" s="258">
        <v>40.0</v>
      </c>
      <c r="G166" s="93">
        <v>79.0</v>
      </c>
      <c r="H166" s="93">
        <v>79.0</v>
      </c>
      <c r="I166" s="158"/>
      <c r="J166" s="692">
        <v>20.2</v>
      </c>
      <c r="K166" s="238">
        <f t="shared" si="55"/>
        <v>0.2556962025</v>
      </c>
      <c r="L166" s="93">
        <f t="shared" si="56"/>
        <v>58.8</v>
      </c>
      <c r="M166" s="158">
        <f t="shared" si="57"/>
        <v>2.910891089</v>
      </c>
      <c r="N166" s="134"/>
      <c r="O166" s="87"/>
      <c r="P166" s="87"/>
      <c r="Q166" s="87"/>
    </row>
    <row r="167" ht="25.5" customHeight="1" outlineLevel="1">
      <c r="A167" s="87">
        <v>3.0</v>
      </c>
      <c r="B167" s="89"/>
      <c r="C167" s="89" t="s">
        <v>451</v>
      </c>
      <c r="D167" s="691"/>
      <c r="E167" s="691"/>
      <c r="F167" s="258">
        <v>40.0</v>
      </c>
      <c r="G167" s="93">
        <v>59.0</v>
      </c>
      <c r="H167" s="93">
        <v>59.0</v>
      </c>
      <c r="I167" s="158"/>
      <c r="J167" s="692">
        <v>11.3</v>
      </c>
      <c r="K167" s="238">
        <f t="shared" si="55"/>
        <v>0.1915254237</v>
      </c>
      <c r="L167" s="93">
        <f t="shared" si="56"/>
        <v>47.7</v>
      </c>
      <c r="M167" s="158">
        <f t="shared" si="57"/>
        <v>4.221238938</v>
      </c>
      <c r="N167" s="134"/>
      <c r="O167" s="87"/>
      <c r="P167" s="87"/>
      <c r="Q167" s="87"/>
    </row>
    <row r="168" ht="25.5" customHeight="1" outlineLevel="1">
      <c r="A168" s="87">
        <v>5.0</v>
      </c>
      <c r="B168" s="89"/>
      <c r="C168" s="89" t="s">
        <v>452</v>
      </c>
      <c r="D168" s="691"/>
      <c r="E168" s="691"/>
      <c r="F168" s="258">
        <v>50.0</v>
      </c>
      <c r="G168" s="93">
        <v>129.0</v>
      </c>
      <c r="H168" s="93">
        <v>129.0</v>
      </c>
      <c r="I168" s="158"/>
      <c r="J168" s="692">
        <v>40.72</v>
      </c>
      <c r="K168" s="238">
        <f t="shared" si="55"/>
        <v>0.3156589147</v>
      </c>
      <c r="L168" s="93">
        <f t="shared" si="56"/>
        <v>88.28</v>
      </c>
      <c r="M168" s="158">
        <f t="shared" si="57"/>
        <v>2.167976424</v>
      </c>
      <c r="N168" s="134"/>
      <c r="O168" s="87"/>
      <c r="P168" s="87"/>
      <c r="Q168" s="87"/>
    </row>
    <row r="169" ht="32.25" customHeight="1" outlineLevel="1">
      <c r="A169" s="87">
        <v>6.0</v>
      </c>
      <c r="B169" s="89"/>
      <c r="C169" s="89" t="s">
        <v>453</v>
      </c>
      <c r="D169" s="691"/>
      <c r="E169" s="691"/>
      <c r="F169" s="258">
        <v>40.0</v>
      </c>
      <c r="G169" s="93">
        <v>59.0</v>
      </c>
      <c r="H169" s="93">
        <v>59.0</v>
      </c>
      <c r="I169" s="158"/>
      <c r="J169" s="692">
        <v>13.09</v>
      </c>
      <c r="K169" s="238">
        <f t="shared" si="55"/>
        <v>0.2218644068</v>
      </c>
      <c r="L169" s="93">
        <f t="shared" si="56"/>
        <v>45.91</v>
      </c>
      <c r="M169" s="158">
        <f t="shared" si="57"/>
        <v>3.507257448</v>
      </c>
      <c r="N169" s="134"/>
      <c r="O169" s="87"/>
      <c r="P169" s="87"/>
      <c r="Q169" s="87"/>
    </row>
    <row r="170" ht="32.25" customHeight="1" outlineLevel="1">
      <c r="A170" s="87">
        <v>7.0</v>
      </c>
      <c r="B170" s="89"/>
      <c r="C170" s="89" t="s">
        <v>454</v>
      </c>
      <c r="D170" s="691"/>
      <c r="E170" s="691"/>
      <c r="F170" s="258">
        <v>30.0</v>
      </c>
      <c r="G170" s="93">
        <v>99.0</v>
      </c>
      <c r="H170" s="93">
        <v>99.0</v>
      </c>
      <c r="I170" s="158"/>
      <c r="J170" s="692">
        <v>30.0</v>
      </c>
      <c r="K170" s="238">
        <f t="shared" si="55"/>
        <v>0.303030303</v>
      </c>
      <c r="L170" s="93">
        <f t="shared" si="56"/>
        <v>69</v>
      </c>
      <c r="M170" s="158">
        <f t="shared" si="57"/>
        <v>2.3</v>
      </c>
      <c r="N170" s="134"/>
      <c r="O170" s="87"/>
      <c r="P170" s="87"/>
      <c r="Q170" s="87"/>
    </row>
    <row r="171" ht="31.5" customHeight="1" outlineLevel="1">
      <c r="A171" s="87">
        <v>8.0</v>
      </c>
      <c r="B171" s="89"/>
      <c r="C171" s="89" t="s">
        <v>455</v>
      </c>
      <c r="D171" s="691"/>
      <c r="E171" s="691"/>
      <c r="F171" s="258">
        <v>30.0</v>
      </c>
      <c r="G171" s="93">
        <v>89.0</v>
      </c>
      <c r="H171" s="93">
        <v>89.0</v>
      </c>
      <c r="I171" s="158"/>
      <c r="J171" s="692">
        <v>20.65</v>
      </c>
      <c r="K171" s="238">
        <f t="shared" si="55"/>
        <v>0.2320224719</v>
      </c>
      <c r="L171" s="93">
        <f t="shared" si="56"/>
        <v>68.35</v>
      </c>
      <c r="M171" s="158">
        <f t="shared" si="57"/>
        <v>3.309927361</v>
      </c>
      <c r="N171" s="134"/>
      <c r="O171" s="87"/>
      <c r="P171" s="87"/>
      <c r="Q171" s="87"/>
    </row>
    <row r="172" ht="20.25" customHeight="1" outlineLevel="1">
      <c r="A172" s="87">
        <v>9.0</v>
      </c>
      <c r="B172" s="89"/>
      <c r="C172" s="89" t="s">
        <v>456</v>
      </c>
      <c r="D172" s="691"/>
      <c r="E172" s="691"/>
      <c r="F172" s="258">
        <v>40.0</v>
      </c>
      <c r="G172" s="93">
        <v>49.0</v>
      </c>
      <c r="H172" s="93">
        <v>49.0</v>
      </c>
      <c r="I172" s="158"/>
      <c r="J172" s="692">
        <v>12.66</v>
      </c>
      <c r="K172" s="238">
        <f t="shared" si="55"/>
        <v>0.2583673469</v>
      </c>
      <c r="L172" s="93">
        <f t="shared" si="56"/>
        <v>36.34</v>
      </c>
      <c r="M172" s="158">
        <f t="shared" si="57"/>
        <v>2.870458136</v>
      </c>
      <c r="N172" s="134"/>
      <c r="O172" s="87"/>
      <c r="P172" s="87"/>
      <c r="Q172" s="87"/>
    </row>
    <row r="173" ht="27.75" customHeight="1" outlineLevel="1">
      <c r="A173" s="87">
        <v>10.0</v>
      </c>
      <c r="B173" s="89"/>
      <c r="C173" s="89" t="s">
        <v>457</v>
      </c>
      <c r="D173" s="691"/>
      <c r="E173" s="691"/>
      <c r="F173" s="258">
        <v>50.0</v>
      </c>
      <c r="G173" s="93">
        <v>89.0</v>
      </c>
      <c r="H173" s="93">
        <v>89.0</v>
      </c>
      <c r="I173" s="158"/>
      <c r="J173" s="692">
        <v>24.75</v>
      </c>
      <c r="K173" s="238">
        <f t="shared" si="55"/>
        <v>0.2780898876</v>
      </c>
      <c r="L173" s="93">
        <f t="shared" si="56"/>
        <v>64.25</v>
      </c>
      <c r="M173" s="158">
        <f t="shared" si="57"/>
        <v>2.595959596</v>
      </c>
      <c r="N173" s="134"/>
      <c r="O173" s="87"/>
      <c r="P173" s="87"/>
      <c r="Q173" s="87"/>
    </row>
    <row r="174" ht="32.25" customHeight="1" outlineLevel="1">
      <c r="A174" s="87">
        <v>11.0</v>
      </c>
      <c r="B174" s="89"/>
      <c r="C174" s="89" t="s">
        <v>458</v>
      </c>
      <c r="D174" s="691"/>
      <c r="E174" s="691"/>
      <c r="F174" s="258">
        <v>50.0</v>
      </c>
      <c r="G174" s="93">
        <v>179.0</v>
      </c>
      <c r="H174" s="93">
        <v>179.0</v>
      </c>
      <c r="I174" s="158"/>
      <c r="J174" s="692">
        <v>55.9</v>
      </c>
      <c r="K174" s="238">
        <f t="shared" si="55"/>
        <v>0.3122905028</v>
      </c>
      <c r="L174" s="93">
        <f t="shared" si="56"/>
        <v>123.1</v>
      </c>
      <c r="M174" s="158">
        <f t="shared" si="57"/>
        <v>2.202146691</v>
      </c>
      <c r="N174" s="134"/>
      <c r="O174" s="87"/>
      <c r="P174" s="87"/>
      <c r="Q174" s="87"/>
    </row>
    <row r="175" ht="33.75" customHeight="1" outlineLevel="1">
      <c r="A175" s="87">
        <v>12.0</v>
      </c>
      <c r="B175" s="89"/>
      <c r="C175" s="89" t="s">
        <v>459</v>
      </c>
      <c r="D175" s="691"/>
      <c r="E175" s="691"/>
      <c r="F175" s="258">
        <v>50.0</v>
      </c>
      <c r="G175" s="93">
        <v>159.0</v>
      </c>
      <c r="H175" s="93">
        <v>159.0</v>
      </c>
      <c r="I175" s="158"/>
      <c r="J175" s="692">
        <v>43.04</v>
      </c>
      <c r="K175" s="238">
        <f t="shared" si="55"/>
        <v>0.2706918239</v>
      </c>
      <c r="L175" s="93">
        <f t="shared" si="56"/>
        <v>115.96</v>
      </c>
      <c r="M175" s="158">
        <f t="shared" si="57"/>
        <v>2.694237918</v>
      </c>
      <c r="N175" s="134"/>
      <c r="O175" s="87"/>
      <c r="P175" s="87"/>
      <c r="Q175" s="87"/>
    </row>
    <row r="176" ht="24.0" customHeight="1" outlineLevel="1">
      <c r="A176" s="87">
        <v>13.0</v>
      </c>
      <c r="B176" s="89"/>
      <c r="C176" s="89" t="s">
        <v>460</v>
      </c>
      <c r="D176" s="691"/>
      <c r="E176" s="691"/>
      <c r="F176" s="258">
        <v>50.0</v>
      </c>
      <c r="G176" s="93">
        <v>169.0</v>
      </c>
      <c r="H176" s="93">
        <v>169.0</v>
      </c>
      <c r="I176" s="158"/>
      <c r="J176" s="692">
        <v>47.22</v>
      </c>
      <c r="K176" s="238">
        <f t="shared" si="55"/>
        <v>0.279408284</v>
      </c>
      <c r="L176" s="93">
        <f t="shared" si="56"/>
        <v>121.78</v>
      </c>
      <c r="M176" s="158">
        <f t="shared" si="57"/>
        <v>2.578991953</v>
      </c>
      <c r="N176" s="134"/>
      <c r="O176" s="87"/>
      <c r="P176" s="87"/>
      <c r="Q176" s="87"/>
    </row>
    <row r="177" ht="25.5" customHeight="1" outlineLevel="1">
      <c r="A177" s="87">
        <v>14.0</v>
      </c>
      <c r="B177" s="89"/>
      <c r="C177" s="689" t="s">
        <v>461</v>
      </c>
      <c r="D177" s="690"/>
      <c r="E177" s="690"/>
      <c r="F177" s="265">
        <v>50.0</v>
      </c>
      <c r="G177" s="243">
        <v>99.0</v>
      </c>
      <c r="H177" s="243">
        <v>99.0</v>
      </c>
      <c r="I177" s="247"/>
      <c r="J177" s="275">
        <v>22.77</v>
      </c>
      <c r="K177" s="238">
        <f t="shared" si="55"/>
        <v>0.23</v>
      </c>
      <c r="L177" s="93">
        <f t="shared" si="56"/>
        <v>76.23</v>
      </c>
      <c r="M177" s="158">
        <f t="shared" si="57"/>
        <v>3.347826087</v>
      </c>
      <c r="N177" s="247"/>
      <c r="O177" s="239"/>
      <c r="P177" s="239"/>
      <c r="Q177" s="239"/>
    </row>
    <row r="178" ht="25.5" customHeight="1" outlineLevel="1">
      <c r="A178" s="87">
        <v>15.0</v>
      </c>
      <c r="B178" s="89"/>
      <c r="C178" s="689" t="s">
        <v>462</v>
      </c>
      <c r="D178" s="690"/>
      <c r="E178" s="690"/>
      <c r="F178" s="265">
        <v>50.0</v>
      </c>
      <c r="G178" s="243">
        <v>99.0</v>
      </c>
      <c r="H178" s="243">
        <v>99.0</v>
      </c>
      <c r="I178" s="247"/>
      <c r="J178" s="275">
        <v>18.5</v>
      </c>
      <c r="K178" s="238">
        <f t="shared" si="55"/>
        <v>0.1868686869</v>
      </c>
      <c r="L178" s="93">
        <f t="shared" si="56"/>
        <v>80.5</v>
      </c>
      <c r="M178" s="158">
        <f t="shared" si="57"/>
        <v>4.351351351</v>
      </c>
      <c r="N178" s="247"/>
      <c r="O178" s="239"/>
      <c r="P178" s="239"/>
      <c r="Q178" s="239"/>
    </row>
    <row r="179" ht="25.5" customHeight="1" outlineLevel="1">
      <c r="A179" s="239"/>
      <c r="B179" s="89"/>
      <c r="C179" s="689"/>
      <c r="D179" s="690"/>
      <c r="E179" s="690"/>
      <c r="F179" s="265"/>
      <c r="G179" s="243"/>
      <c r="H179" s="243"/>
      <c r="I179" s="247"/>
      <c r="J179" s="275"/>
      <c r="K179" s="238"/>
      <c r="L179" s="239"/>
      <c r="M179" s="247"/>
      <c r="N179" s="247"/>
      <c r="O179" s="239"/>
      <c r="P179" s="239"/>
      <c r="Q179" s="239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B3:D3"/>
  </mergeCells>
  <conditionalFormatting sqref="K1:K17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O1:Q179">
    <cfRule type="containsText" dxfId="0" priority="2" operator="containsText" text="нет">
      <formula>NOT(ISERROR(SEARCH(("нет"),(O1))))</formula>
    </cfRule>
  </conditionalFormatting>
  <conditionalFormatting sqref="G1:I1 G3:I100 I102:I123 I125:I135 N5:N15 N17:N33 N35:N44 N46:N49 N51:N101 N121:N176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O3:Q126 O127:P127 O128:Q179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4.71"/>
    <col customWidth="1" min="2" max="2" width="22.43"/>
    <col customWidth="1" min="3" max="3" width="30.0"/>
    <col customWidth="1" min="4" max="4" width="23.14"/>
    <col customWidth="1" min="5" max="5" width="14.29"/>
    <col customWidth="1" min="6" max="6" width="21.71"/>
    <col customWidth="1" min="7" max="7" width="8.43"/>
    <col customWidth="1" min="8" max="8" width="8.14"/>
    <col customWidth="1" min="9" max="9" width="8.43"/>
    <col customWidth="1" min="10" max="11" width="7.29"/>
    <col customWidth="1" min="12" max="12" width="7.14"/>
    <col customWidth="1" min="13" max="13" width="8.29"/>
    <col customWidth="1" min="14" max="15" width="9.71"/>
    <col customWidth="1" min="16" max="17" width="8.14"/>
  </cols>
  <sheetData>
    <row r="1" ht="25.5" customHeight="1">
      <c r="A1" s="87"/>
      <c r="C1" s="89" t="s">
        <v>1027</v>
      </c>
      <c r="D1" s="639"/>
      <c r="E1" s="258"/>
      <c r="F1" s="98" t="s">
        <v>1011</v>
      </c>
      <c r="G1" s="258" t="s">
        <v>1028</v>
      </c>
      <c r="H1" s="93"/>
      <c r="I1" s="162"/>
      <c r="J1" s="158"/>
      <c r="K1" s="87"/>
      <c r="L1" s="87"/>
      <c r="M1" s="87"/>
      <c r="N1" s="87"/>
      <c r="O1" s="87"/>
      <c r="P1" s="93" t="s">
        <v>1171</v>
      </c>
      <c r="Q1" s="243"/>
    </row>
    <row r="2" ht="66.0" customHeight="1">
      <c r="A2" s="68" t="s">
        <v>1012</v>
      </c>
      <c r="B2" s="69" t="s">
        <v>1013</v>
      </c>
      <c r="C2" s="90" t="s">
        <v>91</v>
      </c>
      <c r="D2" s="642" t="s">
        <v>1014</v>
      </c>
      <c r="E2" s="70" t="s">
        <v>1172</v>
      </c>
      <c r="F2" s="68" t="s">
        <v>1015</v>
      </c>
      <c r="G2" s="70" t="s">
        <v>96</v>
      </c>
      <c r="H2" s="432" t="s">
        <v>502</v>
      </c>
      <c r="I2" s="693" t="s">
        <v>99</v>
      </c>
      <c r="J2" s="694" t="s">
        <v>100</v>
      </c>
      <c r="K2" s="68" t="s">
        <v>466</v>
      </c>
      <c r="L2" s="68" t="s">
        <v>102</v>
      </c>
      <c r="M2" s="68" t="s">
        <v>1030</v>
      </c>
      <c r="N2" s="68" t="s">
        <v>506</v>
      </c>
      <c r="O2" s="68"/>
      <c r="P2" s="432" t="s">
        <v>1173</v>
      </c>
      <c r="Q2" s="432" t="s">
        <v>1174</v>
      </c>
    </row>
    <row r="3" ht="27.0" customHeight="1">
      <c r="A3" s="614"/>
      <c r="B3" s="615" t="str">
        <f>"Блюда на компанию "&amp;COUNTA(D6:D14)&amp;" шт"</f>
        <v>Блюда на компанию 9 шт</v>
      </c>
      <c r="C3" s="614"/>
      <c r="D3" s="614" t="s">
        <v>1175</v>
      </c>
      <c r="E3" s="616"/>
      <c r="F3" s="614"/>
      <c r="G3" s="616"/>
      <c r="H3" s="695"/>
      <c r="I3" s="618"/>
      <c r="J3" s="648">
        <f>AVERAGE(J4:J14)</f>
        <v>0.2718294945</v>
      </c>
      <c r="K3" s="614"/>
      <c r="L3" s="614"/>
      <c r="M3" s="614"/>
      <c r="N3" s="86"/>
      <c r="O3" s="86"/>
      <c r="P3" s="695"/>
      <c r="Q3" s="695"/>
    </row>
    <row r="4" ht="84.75" customHeight="1" outlineLevel="1">
      <c r="A4" s="87"/>
      <c r="B4" s="181" t="s">
        <v>1176</v>
      </c>
      <c r="C4" s="181" t="s">
        <v>1177</v>
      </c>
      <c r="D4" s="696" t="s">
        <v>1178</v>
      </c>
      <c r="E4" s="258"/>
      <c r="F4" s="181" t="s">
        <v>1179</v>
      </c>
      <c r="G4" s="258">
        <v>150.0</v>
      </c>
      <c r="H4" s="93">
        <v>899.0</v>
      </c>
      <c r="I4" s="162">
        <v>198.0</v>
      </c>
      <c r="J4" s="158">
        <f t="shared" ref="J4:J14" si="1">I4/H4</f>
        <v>0.2202447164</v>
      </c>
      <c r="K4" s="93">
        <f t="shared" ref="K4:K14" si="2">H4-I4</f>
        <v>701</v>
      </c>
      <c r="L4" s="158">
        <f t="shared" ref="L4:L14" si="3">H4/I4-1</f>
        <v>3.54040404</v>
      </c>
      <c r="M4" s="134"/>
      <c r="N4" s="87" t="s">
        <v>112</v>
      </c>
      <c r="O4" s="87"/>
      <c r="P4" s="93">
        <v>0.0</v>
      </c>
      <c r="Q4" s="640"/>
    </row>
    <row r="5" ht="25.5" customHeight="1" outlineLevel="1">
      <c r="A5" s="87"/>
      <c r="B5" s="89" t="s">
        <v>1180</v>
      </c>
      <c r="C5" s="89" t="s">
        <v>1181</v>
      </c>
      <c r="D5" s="696" t="s">
        <v>1032</v>
      </c>
      <c r="E5" s="258"/>
      <c r="F5" s="89" t="s">
        <v>1181</v>
      </c>
      <c r="G5" s="258" t="s">
        <v>1034</v>
      </c>
      <c r="H5" s="93">
        <v>899.0</v>
      </c>
      <c r="I5" s="162">
        <v>195.0</v>
      </c>
      <c r="J5" s="158">
        <f t="shared" si="1"/>
        <v>0.2169076752</v>
      </c>
      <c r="K5" s="93">
        <f t="shared" si="2"/>
        <v>704</v>
      </c>
      <c r="L5" s="158">
        <f t="shared" si="3"/>
        <v>3.61025641</v>
      </c>
      <c r="M5" s="134"/>
      <c r="N5" s="87" t="s">
        <v>112</v>
      </c>
      <c r="O5" s="87"/>
      <c r="P5" s="93">
        <v>899.0</v>
      </c>
      <c r="Q5" s="184">
        <v>799.0</v>
      </c>
    </row>
    <row r="6" ht="84.75" customHeight="1" outlineLevel="1">
      <c r="A6" s="87"/>
      <c r="B6" s="181" t="s">
        <v>1182</v>
      </c>
      <c r="C6" s="181" t="s">
        <v>1183</v>
      </c>
      <c r="D6" s="696" t="s">
        <v>1184</v>
      </c>
      <c r="E6" s="258"/>
      <c r="F6" s="181" t="s">
        <v>1185</v>
      </c>
      <c r="G6" s="258">
        <v>400.0</v>
      </c>
      <c r="H6" s="93">
        <v>999.0</v>
      </c>
      <c r="I6" s="162">
        <v>320.0</v>
      </c>
      <c r="J6" s="158">
        <f t="shared" si="1"/>
        <v>0.3203203203</v>
      </c>
      <c r="K6" s="93">
        <f t="shared" si="2"/>
        <v>679</v>
      </c>
      <c r="L6" s="158">
        <f t="shared" si="3"/>
        <v>2.121875</v>
      </c>
      <c r="M6" s="134">
        <v>1099.0</v>
      </c>
      <c r="N6" s="87" t="s">
        <v>111</v>
      </c>
      <c r="O6" s="87"/>
      <c r="P6" s="93">
        <v>899.0</v>
      </c>
      <c r="Q6" s="184"/>
    </row>
    <row r="7" outlineLevel="1">
      <c r="A7" s="87"/>
      <c r="B7" s="89" t="s">
        <v>1186</v>
      </c>
      <c r="C7" s="181" t="s">
        <v>1187</v>
      </c>
      <c r="D7" s="696" t="s">
        <v>143</v>
      </c>
      <c r="E7" s="258"/>
      <c r="F7" s="181" t="s">
        <v>1187</v>
      </c>
      <c r="G7" s="258">
        <v>1000.0</v>
      </c>
      <c r="H7" s="93">
        <v>1899.0</v>
      </c>
      <c r="I7" s="162">
        <v>567.0</v>
      </c>
      <c r="J7" s="158">
        <f t="shared" si="1"/>
        <v>0.2985781991</v>
      </c>
      <c r="K7" s="93">
        <f t="shared" si="2"/>
        <v>1332</v>
      </c>
      <c r="L7" s="158">
        <f t="shared" si="3"/>
        <v>2.349206349</v>
      </c>
      <c r="M7" s="134"/>
      <c r="N7" s="87" t="s">
        <v>112</v>
      </c>
      <c r="O7" s="87"/>
      <c r="P7" s="93">
        <v>0.0</v>
      </c>
      <c r="Q7" s="640">
        <v>799.0</v>
      </c>
    </row>
    <row r="8" outlineLevel="1">
      <c r="A8" s="87"/>
      <c r="B8" s="181"/>
      <c r="C8" s="181" t="s">
        <v>1042</v>
      </c>
      <c r="D8" s="696" t="s">
        <v>1041</v>
      </c>
      <c r="E8" s="258"/>
      <c r="F8" s="181" t="s">
        <v>1042</v>
      </c>
      <c r="G8" s="258">
        <v>550.0</v>
      </c>
      <c r="H8" s="93">
        <v>949.0</v>
      </c>
      <c r="I8" s="162">
        <v>298.0</v>
      </c>
      <c r="J8" s="158">
        <f t="shared" si="1"/>
        <v>0.3140147524</v>
      </c>
      <c r="K8" s="93">
        <f t="shared" si="2"/>
        <v>651</v>
      </c>
      <c r="L8" s="158">
        <f t="shared" si="3"/>
        <v>2.184563758</v>
      </c>
      <c r="M8" s="134">
        <v>999.0</v>
      </c>
      <c r="N8" s="87" t="s">
        <v>111</v>
      </c>
      <c r="O8" s="87"/>
      <c r="P8" s="93">
        <v>799.0</v>
      </c>
      <c r="Q8" s="93">
        <v>749.0</v>
      </c>
    </row>
    <row r="9" ht="75.75" customHeight="1" outlineLevel="1">
      <c r="A9" s="87"/>
      <c r="B9" s="98" t="s">
        <v>1188</v>
      </c>
      <c r="C9" s="87" t="s">
        <v>1189</v>
      </c>
      <c r="D9" s="696" t="s">
        <v>161</v>
      </c>
      <c r="E9" s="662"/>
      <c r="F9" s="87" t="s">
        <v>1190</v>
      </c>
      <c r="G9" s="662">
        <v>700.0</v>
      </c>
      <c r="H9" s="134">
        <v>1399.0</v>
      </c>
      <c r="I9" s="162">
        <v>420.0</v>
      </c>
      <c r="J9" s="158">
        <f t="shared" si="1"/>
        <v>0.3002144389</v>
      </c>
      <c r="K9" s="93">
        <f t="shared" si="2"/>
        <v>979</v>
      </c>
      <c r="L9" s="158">
        <f t="shared" si="3"/>
        <v>2.330952381</v>
      </c>
      <c r="M9" s="134">
        <v>1499.0</v>
      </c>
      <c r="N9" s="87" t="s">
        <v>111</v>
      </c>
      <c r="O9" s="87"/>
      <c r="P9" s="134">
        <v>0.0</v>
      </c>
      <c r="Q9" s="232">
        <v>1199.0</v>
      </c>
    </row>
    <row r="10" ht="48.0" customHeight="1" outlineLevel="1">
      <c r="A10" s="87"/>
      <c r="B10" s="98"/>
      <c r="C10" s="87" t="s">
        <v>1048</v>
      </c>
      <c r="D10" s="696" t="s">
        <v>157</v>
      </c>
      <c r="E10" s="662"/>
      <c r="F10" s="87" t="s">
        <v>1191</v>
      </c>
      <c r="G10" s="662">
        <v>1250.0</v>
      </c>
      <c r="H10" s="93">
        <v>2999.0</v>
      </c>
      <c r="I10" s="162">
        <v>867.0</v>
      </c>
      <c r="J10" s="158">
        <f t="shared" si="1"/>
        <v>0.2890963655</v>
      </c>
      <c r="K10" s="93">
        <f t="shared" si="2"/>
        <v>2132</v>
      </c>
      <c r="L10" s="158">
        <f t="shared" si="3"/>
        <v>2.45905421</v>
      </c>
      <c r="M10" s="134">
        <v>3199.0</v>
      </c>
      <c r="N10" s="87" t="s">
        <v>111</v>
      </c>
      <c r="O10" s="87"/>
      <c r="P10" s="93">
        <v>2799.0</v>
      </c>
      <c r="Q10" s="134">
        <v>2599.0</v>
      </c>
    </row>
    <row r="11" ht="83.25" customHeight="1" outlineLevel="1">
      <c r="A11" s="87"/>
      <c r="B11" s="181"/>
      <c r="C11" s="87" t="s">
        <v>1045</v>
      </c>
      <c r="D11" s="696" t="s">
        <v>155</v>
      </c>
      <c r="E11" s="258"/>
      <c r="F11" s="87" t="s">
        <v>1192</v>
      </c>
      <c r="G11" s="258">
        <v>1200.0</v>
      </c>
      <c r="H11" s="93">
        <v>1599.0</v>
      </c>
      <c r="I11" s="162">
        <v>314.14</v>
      </c>
      <c r="J11" s="158">
        <f t="shared" si="1"/>
        <v>0.1964602877</v>
      </c>
      <c r="K11" s="93">
        <f t="shared" si="2"/>
        <v>1284.86</v>
      </c>
      <c r="L11" s="158">
        <f t="shared" si="3"/>
        <v>4.090087222</v>
      </c>
      <c r="M11" s="134"/>
      <c r="N11" s="87" t="s">
        <v>112</v>
      </c>
      <c r="O11" s="87"/>
      <c r="P11" s="93">
        <v>1399.0</v>
      </c>
      <c r="Q11" s="93">
        <v>1199.0</v>
      </c>
    </row>
    <row r="12" outlineLevel="1">
      <c r="A12" s="87"/>
      <c r="B12" s="116" t="s">
        <v>1193</v>
      </c>
      <c r="C12" s="116" t="s">
        <v>1194</v>
      </c>
      <c r="D12" s="697" t="s">
        <v>152</v>
      </c>
      <c r="E12" s="258"/>
      <c r="F12" s="116" t="s">
        <v>1195</v>
      </c>
      <c r="G12" s="258">
        <v>500.0</v>
      </c>
      <c r="H12" s="93">
        <v>1499.0</v>
      </c>
      <c r="I12" s="162">
        <v>457.0</v>
      </c>
      <c r="J12" s="158">
        <f t="shared" si="1"/>
        <v>0.3048699133</v>
      </c>
      <c r="K12" s="93">
        <f t="shared" si="2"/>
        <v>1042</v>
      </c>
      <c r="L12" s="158">
        <f t="shared" si="3"/>
        <v>2.280087527</v>
      </c>
      <c r="M12" s="134">
        <v>1599.0</v>
      </c>
      <c r="N12" s="87" t="s">
        <v>111</v>
      </c>
      <c r="O12" s="87"/>
      <c r="P12" s="93">
        <v>999.0</v>
      </c>
      <c r="Q12" s="640">
        <v>259.0</v>
      </c>
    </row>
    <row r="13" outlineLevel="1">
      <c r="A13" s="87"/>
      <c r="B13" s="181" t="s">
        <v>1196</v>
      </c>
      <c r="C13" s="181" t="s">
        <v>1043</v>
      </c>
      <c r="D13" s="696" t="s">
        <v>149</v>
      </c>
      <c r="E13" s="258"/>
      <c r="F13" s="181" t="s">
        <v>1197</v>
      </c>
      <c r="G13" s="258">
        <v>1400.0</v>
      </c>
      <c r="H13" s="93">
        <v>2499.0</v>
      </c>
      <c r="I13" s="162">
        <v>701.0</v>
      </c>
      <c r="J13" s="158">
        <f t="shared" si="1"/>
        <v>0.2805122049</v>
      </c>
      <c r="K13" s="93">
        <f t="shared" si="2"/>
        <v>1798</v>
      </c>
      <c r="L13" s="158">
        <f t="shared" si="3"/>
        <v>2.564907275</v>
      </c>
      <c r="M13" s="134">
        <v>2599.0</v>
      </c>
      <c r="N13" s="87" t="s">
        <v>111</v>
      </c>
      <c r="O13" s="87"/>
      <c r="P13" s="93">
        <v>2299.0</v>
      </c>
      <c r="Q13" s="184">
        <v>1999.0</v>
      </c>
    </row>
    <row r="14" ht="25.5" customHeight="1" outlineLevel="1">
      <c r="A14" s="87"/>
      <c r="B14" s="98" t="s">
        <v>1198</v>
      </c>
      <c r="C14" s="87" t="s">
        <v>1047</v>
      </c>
      <c r="D14" s="689" t="s">
        <v>1046</v>
      </c>
      <c r="E14" s="258"/>
      <c r="F14" s="87" t="s">
        <v>1199</v>
      </c>
      <c r="G14" s="258">
        <v>1200.0</v>
      </c>
      <c r="H14" s="93">
        <v>1599.0</v>
      </c>
      <c r="I14" s="162">
        <v>398.0</v>
      </c>
      <c r="J14" s="158">
        <f t="shared" si="1"/>
        <v>0.248905566</v>
      </c>
      <c r="K14" s="93">
        <f t="shared" si="2"/>
        <v>1201</v>
      </c>
      <c r="L14" s="158">
        <f t="shared" si="3"/>
        <v>3.01758794</v>
      </c>
      <c r="M14" s="134"/>
      <c r="N14" s="87" t="s">
        <v>112</v>
      </c>
      <c r="O14" s="87"/>
      <c r="P14" s="93">
        <v>1799.0</v>
      </c>
      <c r="Q14" s="655"/>
    </row>
    <row r="15" ht="27.0" customHeight="1">
      <c r="A15" s="614"/>
      <c r="B15" s="615" t="str">
        <f>"Япония "&amp;COUNTA(D17:D23)&amp;" шт"</f>
        <v>Япония 7 шт</v>
      </c>
      <c r="C15" s="614"/>
      <c r="D15" s="614"/>
      <c r="E15" s="616"/>
      <c r="F15" s="614"/>
      <c r="G15" s="616"/>
      <c r="H15" s="695"/>
      <c r="I15" s="618"/>
      <c r="J15" s="648">
        <f>AVERAGE(J16:J23)</f>
        <v>0.2476409972</v>
      </c>
      <c r="K15" s="614"/>
      <c r="L15" s="614"/>
      <c r="M15" s="614"/>
      <c r="N15" s="86"/>
      <c r="O15" s="86"/>
      <c r="P15" s="695"/>
      <c r="Q15" s="695"/>
    </row>
    <row r="16" ht="67.5" customHeight="1" outlineLevel="1">
      <c r="A16" s="87"/>
      <c r="B16" s="87" t="s">
        <v>1200</v>
      </c>
      <c r="C16" s="87" t="s">
        <v>1058</v>
      </c>
      <c r="D16" s="696" t="s">
        <v>1201</v>
      </c>
      <c r="E16" s="258" t="s">
        <v>1202</v>
      </c>
      <c r="F16" s="239" t="s">
        <v>1203</v>
      </c>
      <c r="G16" s="258">
        <v>120.0</v>
      </c>
      <c r="H16" s="93">
        <v>599.0</v>
      </c>
      <c r="I16" s="664">
        <v>187.0</v>
      </c>
      <c r="J16" s="158">
        <f t="shared" ref="J16:J23" si="4">I16/H16</f>
        <v>0.3121869783</v>
      </c>
      <c r="K16" s="93">
        <f t="shared" ref="K16:K23" si="5">H16-I16</f>
        <v>412</v>
      </c>
      <c r="L16" s="158">
        <f t="shared" ref="L16:L23" si="6">H16/I16-1</f>
        <v>2.203208556</v>
      </c>
      <c r="M16" s="134">
        <v>699.0</v>
      </c>
      <c r="N16" s="87" t="s">
        <v>111</v>
      </c>
      <c r="O16" s="87"/>
      <c r="P16" s="93">
        <v>0.0</v>
      </c>
      <c r="Q16" s="640"/>
    </row>
    <row r="17" ht="25.5" customHeight="1" outlineLevel="1">
      <c r="A17" s="87"/>
      <c r="B17" s="87"/>
      <c r="C17" s="87" t="s">
        <v>1204</v>
      </c>
      <c r="D17" s="696" t="s">
        <v>1050</v>
      </c>
      <c r="E17" s="258"/>
      <c r="F17" s="87"/>
      <c r="G17" s="258">
        <v>200.0</v>
      </c>
      <c r="H17" s="93">
        <v>459.0</v>
      </c>
      <c r="I17" s="162">
        <v>75.9</v>
      </c>
      <c r="J17" s="158">
        <f t="shared" si="4"/>
        <v>0.1653594771</v>
      </c>
      <c r="K17" s="93">
        <f t="shared" si="5"/>
        <v>383.1</v>
      </c>
      <c r="L17" s="158">
        <f t="shared" si="6"/>
        <v>5.04743083</v>
      </c>
      <c r="M17" s="134">
        <v>499.0</v>
      </c>
      <c r="N17" s="87" t="s">
        <v>111</v>
      </c>
      <c r="O17" s="87"/>
      <c r="P17" s="93">
        <v>399.0</v>
      </c>
      <c r="Q17" s="93">
        <v>399.0</v>
      </c>
    </row>
    <row r="18" ht="25.5" customHeight="1" outlineLevel="1">
      <c r="A18" s="87"/>
      <c r="B18" s="87"/>
      <c r="C18" s="87" t="s">
        <v>171</v>
      </c>
      <c r="D18" s="696" t="s">
        <v>1205</v>
      </c>
      <c r="E18" s="258" t="s">
        <v>1202</v>
      </c>
      <c r="F18" s="87" t="s">
        <v>171</v>
      </c>
      <c r="G18" s="258">
        <v>160.0</v>
      </c>
      <c r="H18" s="93">
        <v>399.0</v>
      </c>
      <c r="I18" s="162">
        <v>67.9</v>
      </c>
      <c r="J18" s="158">
        <f t="shared" si="4"/>
        <v>0.1701754386</v>
      </c>
      <c r="K18" s="93">
        <f t="shared" si="5"/>
        <v>331.1</v>
      </c>
      <c r="L18" s="158">
        <f t="shared" si="6"/>
        <v>4.87628866</v>
      </c>
      <c r="M18" s="134">
        <v>459.0</v>
      </c>
      <c r="N18" s="87" t="s">
        <v>111</v>
      </c>
      <c r="O18" s="87"/>
      <c r="P18" s="93">
        <v>349.0</v>
      </c>
      <c r="Q18" s="93">
        <v>349.0</v>
      </c>
    </row>
    <row r="19" ht="67.5" customHeight="1" outlineLevel="1">
      <c r="A19" s="87"/>
      <c r="B19" s="87" t="s">
        <v>1206</v>
      </c>
      <c r="C19" s="87" t="s">
        <v>1054</v>
      </c>
      <c r="D19" s="696" t="s">
        <v>175</v>
      </c>
      <c r="E19" s="258"/>
      <c r="F19" s="87"/>
      <c r="G19" s="258">
        <v>240.0</v>
      </c>
      <c r="H19" s="93">
        <v>599.0</v>
      </c>
      <c r="I19" s="162">
        <v>162.0</v>
      </c>
      <c r="J19" s="158">
        <f t="shared" si="4"/>
        <v>0.2704507513</v>
      </c>
      <c r="K19" s="93">
        <f t="shared" si="5"/>
        <v>437</v>
      </c>
      <c r="L19" s="158">
        <f t="shared" si="6"/>
        <v>2.697530864</v>
      </c>
      <c r="M19" s="134">
        <v>699.0</v>
      </c>
      <c r="N19" s="87" t="s">
        <v>111</v>
      </c>
      <c r="O19" s="87"/>
      <c r="P19" s="93">
        <v>539.0</v>
      </c>
      <c r="Q19" s="184">
        <v>499.0</v>
      </c>
    </row>
    <row r="20" ht="25.5" customHeight="1" outlineLevel="1">
      <c r="A20" s="87"/>
      <c r="B20" s="87"/>
      <c r="C20" s="87" t="s">
        <v>1207</v>
      </c>
      <c r="D20" s="696" t="s">
        <v>173</v>
      </c>
      <c r="E20" s="258"/>
      <c r="F20" s="87"/>
      <c r="G20" s="258">
        <v>230.0</v>
      </c>
      <c r="H20" s="93">
        <v>499.0</v>
      </c>
      <c r="I20" s="162">
        <v>135.0</v>
      </c>
      <c r="J20" s="158">
        <f t="shared" si="4"/>
        <v>0.2705410822</v>
      </c>
      <c r="K20" s="93">
        <f t="shared" si="5"/>
        <v>364</v>
      </c>
      <c r="L20" s="158">
        <f t="shared" si="6"/>
        <v>2.696296296</v>
      </c>
      <c r="M20" s="134">
        <v>559.0</v>
      </c>
      <c r="N20" s="87" t="s">
        <v>111</v>
      </c>
      <c r="O20" s="87"/>
      <c r="P20" s="93">
        <v>459.0</v>
      </c>
      <c r="Q20" s="93">
        <v>399.0</v>
      </c>
    </row>
    <row r="21" ht="25.5" customHeight="1" outlineLevel="1">
      <c r="A21" s="87"/>
      <c r="B21" s="87"/>
      <c r="C21" s="87" t="s">
        <v>1208</v>
      </c>
      <c r="D21" s="696" t="s">
        <v>169</v>
      </c>
      <c r="E21" s="258"/>
      <c r="F21" s="87"/>
      <c r="G21" s="258">
        <v>200.0</v>
      </c>
      <c r="H21" s="93">
        <v>599.0</v>
      </c>
      <c r="I21" s="162">
        <v>157.0</v>
      </c>
      <c r="J21" s="158">
        <f t="shared" si="4"/>
        <v>0.2621035058</v>
      </c>
      <c r="K21" s="93">
        <f t="shared" si="5"/>
        <v>442</v>
      </c>
      <c r="L21" s="158">
        <f t="shared" si="6"/>
        <v>2.815286624</v>
      </c>
      <c r="M21" s="134">
        <v>699.0</v>
      </c>
      <c r="N21" s="87" t="s">
        <v>111</v>
      </c>
      <c r="O21" s="87"/>
      <c r="P21" s="93">
        <v>559.0</v>
      </c>
      <c r="Q21" s="93">
        <v>499.0</v>
      </c>
    </row>
    <row r="22" ht="67.5" customHeight="1" outlineLevel="1">
      <c r="A22" s="87"/>
      <c r="B22" s="87"/>
      <c r="C22" s="87" t="s">
        <v>1056</v>
      </c>
      <c r="D22" s="696" t="s">
        <v>1055</v>
      </c>
      <c r="E22" s="258"/>
      <c r="F22" s="87" t="s">
        <v>1209</v>
      </c>
      <c r="G22" s="258">
        <v>200.0</v>
      </c>
      <c r="H22" s="93">
        <v>529.0</v>
      </c>
      <c r="I22" s="664">
        <v>157.0</v>
      </c>
      <c r="J22" s="158">
        <f t="shared" si="4"/>
        <v>0.2967863894</v>
      </c>
      <c r="K22" s="93">
        <f t="shared" si="5"/>
        <v>372</v>
      </c>
      <c r="L22" s="158">
        <f t="shared" si="6"/>
        <v>2.369426752</v>
      </c>
      <c r="M22" s="134">
        <v>599.0</v>
      </c>
      <c r="N22" s="87" t="s">
        <v>111</v>
      </c>
      <c r="O22" s="87"/>
      <c r="P22" s="93">
        <v>399.0</v>
      </c>
      <c r="Q22" s="93"/>
    </row>
    <row r="23" ht="67.5" customHeight="1" outlineLevel="1">
      <c r="A23" s="87"/>
      <c r="B23" s="87" t="s">
        <v>1210</v>
      </c>
      <c r="C23" s="87" t="s">
        <v>1060</v>
      </c>
      <c r="D23" s="696" t="s">
        <v>1211</v>
      </c>
      <c r="F23" s="258" t="s">
        <v>1212</v>
      </c>
      <c r="G23" s="258">
        <v>200.0</v>
      </c>
      <c r="H23" s="93">
        <v>349.0</v>
      </c>
      <c r="I23" s="664">
        <v>81.5</v>
      </c>
      <c r="J23" s="158">
        <f t="shared" si="4"/>
        <v>0.2335243553</v>
      </c>
      <c r="K23" s="93">
        <f t="shared" si="5"/>
        <v>267.5</v>
      </c>
      <c r="L23" s="158">
        <f t="shared" si="6"/>
        <v>3.282208589</v>
      </c>
      <c r="M23" s="134">
        <v>399.0</v>
      </c>
      <c r="N23" s="87" t="s">
        <v>111</v>
      </c>
      <c r="O23" s="87"/>
      <c r="P23" s="93">
        <v>299.0</v>
      </c>
      <c r="Q23" s="640"/>
    </row>
    <row r="24" ht="25.5" customHeight="1">
      <c r="A24" s="615"/>
      <c r="B24" s="615" t="str">
        <f>"Салаты "&amp;COUNTA(D26:D30)&amp;" шт"</f>
        <v>Салаты 4 шт</v>
      </c>
      <c r="C24" s="615"/>
      <c r="D24" s="615"/>
      <c r="E24" s="669"/>
      <c r="F24" s="615"/>
      <c r="G24" s="669"/>
      <c r="H24" s="698"/>
      <c r="I24" s="618"/>
      <c r="J24" s="648">
        <f>AVERAGE(J25:J30)</f>
        <v>0.2539726673</v>
      </c>
      <c r="K24" s="615"/>
      <c r="L24" s="615"/>
      <c r="M24" s="670"/>
      <c r="N24" s="672"/>
      <c r="O24" s="672"/>
      <c r="P24" s="698"/>
      <c r="Q24" s="698"/>
    </row>
    <row r="25" ht="45.0" customHeight="1" outlineLevel="1">
      <c r="A25" s="87"/>
      <c r="B25" s="116" t="s">
        <v>1213</v>
      </c>
      <c r="C25" s="699" t="s">
        <v>1063</v>
      </c>
      <c r="D25" s="697" t="s">
        <v>1214</v>
      </c>
      <c r="E25" s="258"/>
      <c r="F25" s="700" t="s">
        <v>1215</v>
      </c>
      <c r="G25" s="258">
        <v>180.0</v>
      </c>
      <c r="H25" s="93">
        <v>499.0</v>
      </c>
      <c r="I25" s="162">
        <v>135.0</v>
      </c>
      <c r="J25" s="158">
        <f t="shared" ref="J25:J30" si="7">I25/H25</f>
        <v>0.2705410822</v>
      </c>
      <c r="K25" s="93">
        <f t="shared" ref="K25:K30" si="8">H25-I25</f>
        <v>364</v>
      </c>
      <c r="L25" s="158">
        <f t="shared" ref="L25:L30" si="9">H25/I25-1</f>
        <v>2.696296296</v>
      </c>
      <c r="M25" s="134"/>
      <c r="N25" s="87" t="s">
        <v>112</v>
      </c>
      <c r="O25" s="87"/>
      <c r="P25" s="93">
        <v>299.0</v>
      </c>
      <c r="Q25" s="184">
        <v>269.0</v>
      </c>
    </row>
    <row r="26" ht="47.25" customHeight="1" outlineLevel="1">
      <c r="A26" s="87"/>
      <c r="B26" s="89" t="s">
        <v>1216</v>
      </c>
      <c r="C26" s="181" t="s">
        <v>178</v>
      </c>
      <c r="D26" s="696" t="s">
        <v>177</v>
      </c>
      <c r="E26" s="258"/>
      <c r="F26" s="181" t="s">
        <v>178</v>
      </c>
      <c r="G26" s="258">
        <v>180.0</v>
      </c>
      <c r="H26" s="93">
        <v>599.0</v>
      </c>
      <c r="I26" s="162">
        <v>135.0</v>
      </c>
      <c r="J26" s="158">
        <f t="shared" si="7"/>
        <v>0.225375626</v>
      </c>
      <c r="K26" s="93">
        <f t="shared" si="8"/>
        <v>464</v>
      </c>
      <c r="L26" s="158">
        <f t="shared" si="9"/>
        <v>3.437037037</v>
      </c>
      <c r="M26" s="134">
        <v>659.0</v>
      </c>
      <c r="N26" s="87" t="s">
        <v>111</v>
      </c>
      <c r="O26" s="87"/>
      <c r="P26" s="93">
        <v>599.0</v>
      </c>
      <c r="Q26" s="184">
        <v>599.0</v>
      </c>
    </row>
    <row r="27" ht="25.5" customHeight="1" outlineLevel="1">
      <c r="A27" s="87"/>
      <c r="B27" s="89"/>
      <c r="C27" s="699" t="s">
        <v>1064</v>
      </c>
      <c r="D27" s="696" t="s">
        <v>1217</v>
      </c>
      <c r="E27" s="258"/>
      <c r="F27" s="700" t="s">
        <v>1218</v>
      </c>
      <c r="G27" s="258">
        <v>210.0</v>
      </c>
      <c r="H27" s="93">
        <v>499.0</v>
      </c>
      <c r="I27" s="664">
        <v>97.9</v>
      </c>
      <c r="J27" s="158">
        <f t="shared" si="7"/>
        <v>0.1961923848</v>
      </c>
      <c r="K27" s="93">
        <f t="shared" si="8"/>
        <v>401.1</v>
      </c>
      <c r="L27" s="158">
        <f t="shared" si="9"/>
        <v>4.097037794</v>
      </c>
      <c r="M27" s="134">
        <v>559.0</v>
      </c>
      <c r="N27" s="87" t="s">
        <v>111</v>
      </c>
      <c r="O27" s="87"/>
      <c r="P27" s="93">
        <v>399.0</v>
      </c>
      <c r="Q27" s="93">
        <v>399.0</v>
      </c>
    </row>
    <row r="28" ht="30.0" customHeight="1" outlineLevel="1">
      <c r="A28" s="87"/>
      <c r="B28" s="89"/>
      <c r="C28" s="181" t="s">
        <v>1066</v>
      </c>
      <c r="E28" s="258"/>
      <c r="F28" s="181" t="s">
        <v>1219</v>
      </c>
      <c r="G28" s="258">
        <v>210.0</v>
      </c>
      <c r="H28" s="93">
        <v>599.0</v>
      </c>
      <c r="I28" s="664">
        <v>156.0</v>
      </c>
      <c r="J28" s="158">
        <f t="shared" si="7"/>
        <v>0.2604340568</v>
      </c>
      <c r="K28" s="93">
        <f t="shared" si="8"/>
        <v>443</v>
      </c>
      <c r="L28" s="158">
        <f t="shared" si="9"/>
        <v>2.83974359</v>
      </c>
      <c r="M28" s="134">
        <v>659.0</v>
      </c>
      <c r="N28" s="87" t="s">
        <v>111</v>
      </c>
      <c r="O28" s="87"/>
      <c r="P28" s="93">
        <v>579.0</v>
      </c>
      <c r="Q28" s="93">
        <v>569.0</v>
      </c>
    </row>
    <row r="29" ht="51.75" customHeight="1" outlineLevel="1">
      <c r="A29" s="87"/>
      <c r="B29" s="89"/>
      <c r="C29" s="699" t="s">
        <v>182</v>
      </c>
      <c r="D29" s="696" t="s">
        <v>184</v>
      </c>
      <c r="E29" s="258"/>
      <c r="F29" s="700" t="s">
        <v>1220</v>
      </c>
      <c r="G29" s="258">
        <v>190.0</v>
      </c>
      <c r="H29" s="93">
        <v>499.0</v>
      </c>
      <c r="I29" s="664">
        <v>136.0</v>
      </c>
      <c r="J29" s="158">
        <f t="shared" si="7"/>
        <v>0.2725450902</v>
      </c>
      <c r="K29" s="93">
        <f t="shared" si="8"/>
        <v>363</v>
      </c>
      <c r="L29" s="158">
        <f t="shared" si="9"/>
        <v>2.669117647</v>
      </c>
      <c r="M29" s="134">
        <v>559.0</v>
      </c>
      <c r="N29" s="87" t="s">
        <v>111</v>
      </c>
      <c r="O29" s="87"/>
      <c r="P29" s="93">
        <v>399.0</v>
      </c>
      <c r="Q29" s="93">
        <v>399.0</v>
      </c>
    </row>
    <row r="30" ht="33.75" customHeight="1" outlineLevel="1">
      <c r="A30" s="87"/>
      <c r="B30" s="89"/>
      <c r="C30" s="181" t="s">
        <v>1068</v>
      </c>
      <c r="D30" s="696" t="s">
        <v>1067</v>
      </c>
      <c r="E30" s="258"/>
      <c r="F30" s="181" t="s">
        <v>1221</v>
      </c>
      <c r="G30" s="258">
        <v>150.0</v>
      </c>
      <c r="H30" s="93">
        <v>559.0</v>
      </c>
      <c r="I30" s="664">
        <v>167.0</v>
      </c>
      <c r="J30" s="158">
        <f t="shared" si="7"/>
        <v>0.2987477639</v>
      </c>
      <c r="K30" s="93">
        <f t="shared" si="8"/>
        <v>392</v>
      </c>
      <c r="L30" s="158">
        <f t="shared" si="9"/>
        <v>2.347305389</v>
      </c>
      <c r="M30" s="134">
        <v>599.0</v>
      </c>
      <c r="N30" s="87" t="s">
        <v>111</v>
      </c>
      <c r="O30" s="87"/>
      <c r="P30" s="93">
        <v>499.0</v>
      </c>
      <c r="Q30" s="184">
        <v>499.0</v>
      </c>
    </row>
    <row r="31" ht="25.5" customHeight="1">
      <c r="A31" s="614"/>
      <c r="B31" s="615" t="str">
        <f>"Закуски "&amp;COUNTA(D32:D39)&amp;" шт"</f>
        <v>Закуски 8 шт</v>
      </c>
      <c r="C31" s="614"/>
      <c r="D31" s="614"/>
      <c r="E31" s="616"/>
      <c r="F31" s="614"/>
      <c r="G31" s="616"/>
      <c r="H31" s="695"/>
      <c r="I31" s="618"/>
      <c r="J31" s="648">
        <f>AVERAGE(J32:J39)</f>
        <v>0.2515375223</v>
      </c>
      <c r="K31" s="614"/>
      <c r="L31" s="614"/>
      <c r="M31" s="614"/>
      <c r="N31" s="86"/>
      <c r="O31" s="86"/>
      <c r="P31" s="695"/>
      <c r="Q31" s="695"/>
    </row>
    <row r="32" ht="25.5" customHeight="1" outlineLevel="1">
      <c r="A32" s="87"/>
      <c r="B32" s="89" t="s">
        <v>1222</v>
      </c>
      <c r="C32" s="181"/>
      <c r="D32" s="696" t="s">
        <v>206</v>
      </c>
      <c r="E32" s="258"/>
      <c r="F32" s="181"/>
      <c r="G32" s="258">
        <v>200.0</v>
      </c>
      <c r="H32" s="93">
        <v>279.0</v>
      </c>
      <c r="I32" s="162">
        <v>66.8</v>
      </c>
      <c r="J32" s="158">
        <f t="shared" ref="J32:J39" si="10">I32/H32</f>
        <v>0.2394265233</v>
      </c>
      <c r="K32" s="93">
        <f t="shared" ref="K32:K39" si="11">H32-I32</f>
        <v>212.2</v>
      </c>
      <c r="L32" s="158">
        <f t="shared" ref="L32:L39" si="12">H32/I32-1</f>
        <v>3.176646707</v>
      </c>
      <c r="M32" s="134">
        <v>359.0</v>
      </c>
      <c r="N32" s="87" t="s">
        <v>111</v>
      </c>
      <c r="O32" s="87"/>
      <c r="P32" s="93">
        <v>299.0</v>
      </c>
      <c r="Q32" s="184">
        <v>299.0</v>
      </c>
    </row>
    <row r="33" ht="25.5" customHeight="1" outlineLevel="1">
      <c r="A33" s="87"/>
      <c r="B33" s="89" t="s">
        <v>1216</v>
      </c>
      <c r="C33" s="181"/>
      <c r="D33" s="696" t="s">
        <v>203</v>
      </c>
      <c r="E33" s="258"/>
      <c r="F33" s="181"/>
      <c r="G33" s="258" t="s">
        <v>202</v>
      </c>
      <c r="H33" s="93">
        <v>399.0</v>
      </c>
      <c r="I33" s="162">
        <v>119.9</v>
      </c>
      <c r="J33" s="158">
        <f t="shared" si="10"/>
        <v>0.3005012531</v>
      </c>
      <c r="K33" s="93">
        <f t="shared" si="11"/>
        <v>279.1</v>
      </c>
      <c r="L33" s="158">
        <f t="shared" si="12"/>
        <v>2.327773144</v>
      </c>
      <c r="M33" s="134">
        <v>459.0</v>
      </c>
      <c r="N33" s="87" t="s">
        <v>111</v>
      </c>
      <c r="O33" s="87"/>
      <c r="P33" s="93">
        <v>379.0</v>
      </c>
      <c r="Q33" s="184">
        <v>359.0</v>
      </c>
    </row>
    <row r="34" ht="47.25" customHeight="1" outlineLevel="1">
      <c r="A34" s="87"/>
      <c r="B34" s="89"/>
      <c r="C34" s="181" t="s">
        <v>1075</v>
      </c>
      <c r="D34" s="696" t="s">
        <v>1223</v>
      </c>
      <c r="E34" s="258"/>
      <c r="F34" s="181" t="s">
        <v>1224</v>
      </c>
      <c r="G34" s="258">
        <v>200.0</v>
      </c>
      <c r="H34" s="93">
        <v>469.0</v>
      </c>
      <c r="I34" s="162">
        <v>137.9</v>
      </c>
      <c r="J34" s="158">
        <f t="shared" si="10"/>
        <v>0.2940298507</v>
      </c>
      <c r="K34" s="93">
        <f t="shared" si="11"/>
        <v>331.1</v>
      </c>
      <c r="L34" s="158">
        <f t="shared" si="12"/>
        <v>2.401015228</v>
      </c>
      <c r="M34" s="134">
        <v>499.0</v>
      </c>
      <c r="N34" s="87" t="s">
        <v>111</v>
      </c>
      <c r="O34" s="87"/>
      <c r="P34" s="93">
        <v>0.0</v>
      </c>
      <c r="Q34" s="640">
        <v>399.0</v>
      </c>
    </row>
    <row r="35" ht="25.5" customHeight="1" outlineLevel="1">
      <c r="A35" s="87"/>
      <c r="B35" s="89"/>
      <c r="C35" s="181"/>
      <c r="D35" s="696" t="s">
        <v>472</v>
      </c>
      <c r="E35" s="258"/>
      <c r="F35" s="181"/>
      <c r="G35" s="258" t="s">
        <v>1078</v>
      </c>
      <c r="H35" s="93">
        <v>229.0</v>
      </c>
      <c r="I35" s="162">
        <v>52.0</v>
      </c>
      <c r="J35" s="158">
        <f t="shared" si="10"/>
        <v>0.2270742358</v>
      </c>
      <c r="K35" s="93">
        <f t="shared" si="11"/>
        <v>177</v>
      </c>
      <c r="L35" s="158">
        <f t="shared" si="12"/>
        <v>3.403846154</v>
      </c>
      <c r="M35" s="134">
        <v>259.0</v>
      </c>
      <c r="N35" s="87" t="s">
        <v>111</v>
      </c>
      <c r="O35" s="87"/>
      <c r="P35" s="93">
        <v>199.0</v>
      </c>
      <c r="Q35" s="184">
        <v>199.0</v>
      </c>
    </row>
    <row r="36" ht="15.75" customHeight="1" outlineLevel="1">
      <c r="A36" s="87"/>
      <c r="B36" s="89"/>
      <c r="C36" s="181" t="s">
        <v>1225</v>
      </c>
      <c r="D36" s="696" t="s">
        <v>1226</v>
      </c>
      <c r="E36" s="258" t="s">
        <v>1227</v>
      </c>
      <c r="F36" s="181"/>
      <c r="G36" s="258">
        <v>300.0</v>
      </c>
      <c r="H36" s="93">
        <v>499.0</v>
      </c>
      <c r="I36" s="162">
        <v>152.3</v>
      </c>
      <c r="J36" s="158">
        <f t="shared" si="10"/>
        <v>0.3052104208</v>
      </c>
      <c r="K36" s="93">
        <f t="shared" si="11"/>
        <v>346.7</v>
      </c>
      <c r="L36" s="158">
        <f t="shared" si="12"/>
        <v>2.276428102</v>
      </c>
      <c r="M36" s="134">
        <v>599.0</v>
      </c>
      <c r="N36" s="87" t="s">
        <v>111</v>
      </c>
      <c r="O36" s="87"/>
      <c r="P36" s="93">
        <v>0.0</v>
      </c>
      <c r="Q36" s="640">
        <v>399.0</v>
      </c>
    </row>
    <row r="37" ht="25.5" customHeight="1" outlineLevel="1">
      <c r="A37" s="87"/>
      <c r="B37" s="89" t="s">
        <v>1222</v>
      </c>
      <c r="C37" s="181"/>
      <c r="D37" s="696" t="s">
        <v>1228</v>
      </c>
      <c r="E37" s="258"/>
      <c r="F37" s="181"/>
      <c r="G37" s="258">
        <v>200.0</v>
      </c>
      <c r="H37" s="93">
        <v>279.0</v>
      </c>
      <c r="I37" s="162">
        <v>66.8</v>
      </c>
      <c r="J37" s="158">
        <f t="shared" si="10"/>
        <v>0.2394265233</v>
      </c>
      <c r="K37" s="93">
        <f t="shared" si="11"/>
        <v>212.2</v>
      </c>
      <c r="L37" s="158">
        <f t="shared" si="12"/>
        <v>3.176646707</v>
      </c>
      <c r="M37" s="134">
        <v>359.0</v>
      </c>
      <c r="N37" s="87" t="s">
        <v>111</v>
      </c>
      <c r="O37" s="87"/>
      <c r="P37" s="93">
        <v>299.0</v>
      </c>
      <c r="Q37" s="184">
        <v>299.0</v>
      </c>
    </row>
    <row r="38" ht="24.75" customHeight="1" outlineLevel="1">
      <c r="A38" s="87"/>
      <c r="B38" s="89" t="s">
        <v>1222</v>
      </c>
      <c r="C38" s="181"/>
      <c r="D38" s="696" t="s">
        <v>207</v>
      </c>
      <c r="E38" s="258"/>
      <c r="F38" s="181"/>
      <c r="G38" s="258" t="s">
        <v>202</v>
      </c>
      <c r="H38" s="93">
        <v>339.0</v>
      </c>
      <c r="I38" s="162">
        <v>69.9</v>
      </c>
      <c r="J38" s="158">
        <f t="shared" si="10"/>
        <v>0.2061946903</v>
      </c>
      <c r="K38" s="93">
        <f t="shared" si="11"/>
        <v>269.1</v>
      </c>
      <c r="L38" s="158">
        <f t="shared" si="12"/>
        <v>3.849785408</v>
      </c>
      <c r="M38" s="134">
        <v>399.0</v>
      </c>
      <c r="N38" s="87" t="s">
        <v>111</v>
      </c>
      <c r="O38" s="87"/>
      <c r="P38" s="93">
        <v>0.0</v>
      </c>
      <c r="Q38" s="184">
        <v>359.0</v>
      </c>
    </row>
    <row r="39" ht="25.5" customHeight="1" outlineLevel="1">
      <c r="A39" s="239"/>
      <c r="B39" s="639"/>
      <c r="C39" s="639" t="s">
        <v>1077</v>
      </c>
      <c r="D39" s="701" t="s">
        <v>201</v>
      </c>
      <c r="E39" s="265" t="s">
        <v>202</v>
      </c>
      <c r="F39" s="243"/>
      <c r="G39" s="243" t="s">
        <v>202</v>
      </c>
      <c r="H39" s="184">
        <v>229.0</v>
      </c>
      <c r="I39" s="649">
        <v>45.9</v>
      </c>
      <c r="J39" s="238">
        <f t="shared" si="10"/>
        <v>0.2004366812</v>
      </c>
      <c r="K39" s="184">
        <f t="shared" si="11"/>
        <v>183.1</v>
      </c>
      <c r="L39" s="158">
        <f t="shared" si="12"/>
        <v>3.989106754</v>
      </c>
      <c r="M39" s="232">
        <v>279.0</v>
      </c>
      <c r="N39" s="87"/>
      <c r="O39" s="87"/>
      <c r="P39" s="93"/>
      <c r="Q39" s="127"/>
    </row>
    <row r="40" ht="25.5" customHeight="1">
      <c r="A40" s="614"/>
      <c r="B40" s="615" t="str">
        <f>"Супы "&amp;COUNTA(D41:D44)&amp;" шт"</f>
        <v>Супы 4 шт</v>
      </c>
      <c r="C40" s="614"/>
      <c r="D40" s="614"/>
      <c r="E40" s="616"/>
      <c r="F40" s="614"/>
      <c r="G40" s="616"/>
      <c r="H40" s="695"/>
      <c r="I40" s="618"/>
      <c r="J40" s="671">
        <f>AVERAGE(J41:J44)</f>
        <v>0.2424123849</v>
      </c>
      <c r="K40" s="614"/>
      <c r="L40" s="614"/>
      <c r="M40" s="614"/>
      <c r="N40" s="86"/>
      <c r="O40" s="86"/>
      <c r="P40" s="695"/>
      <c r="Q40" s="695"/>
    </row>
    <row r="41" ht="25.5" customHeight="1" outlineLevel="1">
      <c r="A41" s="87"/>
      <c r="B41" s="89"/>
      <c r="C41" s="181" t="s">
        <v>1081</v>
      </c>
      <c r="D41" s="696" t="s">
        <v>1080</v>
      </c>
      <c r="E41" s="258"/>
      <c r="F41" s="181" t="s">
        <v>1229</v>
      </c>
      <c r="G41" s="258">
        <v>300.0</v>
      </c>
      <c r="H41" s="93">
        <v>459.0</v>
      </c>
      <c r="I41" s="162">
        <v>132.0</v>
      </c>
      <c r="J41" s="158">
        <f t="shared" ref="J41:J44" si="13">I41/H41</f>
        <v>0.2875816993</v>
      </c>
      <c r="K41" s="93">
        <f t="shared" ref="K41:K44" si="14">H41-I41</f>
        <v>327</v>
      </c>
      <c r="L41" s="158">
        <f t="shared" ref="L41:L44" si="15">H41/I41-1</f>
        <v>2.477272727</v>
      </c>
      <c r="M41" s="134">
        <v>499.0</v>
      </c>
      <c r="N41" s="87" t="s">
        <v>111</v>
      </c>
      <c r="O41" s="87"/>
      <c r="P41" s="93">
        <v>399.0</v>
      </c>
      <c r="Q41" s="93">
        <v>399.0</v>
      </c>
    </row>
    <row r="42" ht="25.5" customHeight="1" outlineLevel="1">
      <c r="A42" s="87"/>
      <c r="B42" s="89"/>
      <c r="C42" s="181" t="s">
        <v>1082</v>
      </c>
      <c r="D42" s="696" t="s">
        <v>219</v>
      </c>
      <c r="E42" s="258" t="s">
        <v>1230</v>
      </c>
      <c r="F42" s="181" t="s">
        <v>1231</v>
      </c>
      <c r="G42" s="258">
        <v>350.0</v>
      </c>
      <c r="H42" s="93">
        <v>659.0</v>
      </c>
      <c r="I42" s="162">
        <v>173.0</v>
      </c>
      <c r="J42" s="158">
        <f t="shared" si="13"/>
        <v>0.2625189681</v>
      </c>
      <c r="K42" s="93">
        <f t="shared" si="14"/>
        <v>486</v>
      </c>
      <c r="L42" s="158">
        <f t="shared" si="15"/>
        <v>2.809248555</v>
      </c>
      <c r="M42" s="134">
        <v>699.0</v>
      </c>
      <c r="N42" s="87" t="s">
        <v>111</v>
      </c>
      <c r="O42" s="87"/>
      <c r="P42" s="93">
        <v>599.0</v>
      </c>
      <c r="Q42" s="93">
        <v>579.0</v>
      </c>
    </row>
    <row r="43" ht="25.5" customHeight="1" outlineLevel="1">
      <c r="A43" s="87"/>
      <c r="B43" s="89"/>
      <c r="C43" s="181" t="s">
        <v>1084</v>
      </c>
      <c r="D43" s="696" t="s">
        <v>1232</v>
      </c>
      <c r="E43" s="258"/>
      <c r="F43" s="181" t="s">
        <v>1233</v>
      </c>
      <c r="G43" s="258">
        <v>300.0</v>
      </c>
      <c r="H43" s="93">
        <v>399.0</v>
      </c>
      <c r="I43" s="162">
        <v>84.0</v>
      </c>
      <c r="J43" s="158">
        <f t="shared" si="13"/>
        <v>0.2105263158</v>
      </c>
      <c r="K43" s="93">
        <f t="shared" si="14"/>
        <v>315</v>
      </c>
      <c r="L43" s="158">
        <f t="shared" si="15"/>
        <v>3.75</v>
      </c>
      <c r="M43" s="134">
        <v>459.0</v>
      </c>
      <c r="N43" s="87" t="s">
        <v>111</v>
      </c>
      <c r="O43" s="87"/>
      <c r="P43" s="93">
        <v>369.0</v>
      </c>
      <c r="Q43" s="93">
        <v>349.0</v>
      </c>
    </row>
    <row r="44" ht="25.5" customHeight="1" outlineLevel="1">
      <c r="A44" s="87"/>
      <c r="B44" s="116"/>
      <c r="C44" s="116" t="s">
        <v>1079</v>
      </c>
      <c r="D44" s="696" t="s">
        <v>214</v>
      </c>
      <c r="E44" s="258" t="s">
        <v>1230</v>
      </c>
      <c r="F44" s="116"/>
      <c r="G44" s="258">
        <v>300.0</v>
      </c>
      <c r="H44" s="93">
        <v>399.0</v>
      </c>
      <c r="I44" s="162">
        <v>83.4</v>
      </c>
      <c r="J44" s="158">
        <f t="shared" si="13"/>
        <v>0.2090225564</v>
      </c>
      <c r="K44" s="93">
        <f t="shared" si="14"/>
        <v>315.6</v>
      </c>
      <c r="L44" s="158">
        <f t="shared" si="15"/>
        <v>3.784172662</v>
      </c>
      <c r="M44" s="134">
        <v>459.0</v>
      </c>
      <c r="N44" s="87" t="s">
        <v>111</v>
      </c>
      <c r="O44" s="87"/>
      <c r="P44" s="93">
        <v>339.0</v>
      </c>
      <c r="Q44" s="93">
        <v>289.0</v>
      </c>
    </row>
    <row r="45" ht="25.5" customHeight="1">
      <c r="A45" s="614"/>
      <c r="B45" s="615" t="str">
        <f>"Паста "&amp;COUNTA(D46:D50)&amp;" шт"</f>
        <v>Паста 5 шт</v>
      </c>
      <c r="C45" s="614"/>
      <c r="D45" s="614"/>
      <c r="E45" s="616"/>
      <c r="F45" s="614"/>
      <c r="G45" s="616" t="s">
        <v>220</v>
      </c>
      <c r="H45" s="695"/>
      <c r="I45" s="618"/>
      <c r="J45" s="648">
        <f>AVERAGE(J46:J51)</f>
        <v>0.2848051771</v>
      </c>
      <c r="K45" s="614"/>
      <c r="L45" s="614"/>
      <c r="M45" s="614"/>
      <c r="N45" s="86"/>
      <c r="O45" s="86"/>
      <c r="P45" s="695"/>
      <c r="Q45" s="695"/>
    </row>
    <row r="46" ht="39.75" customHeight="1" outlineLevel="1">
      <c r="A46" s="87"/>
      <c r="B46" s="181" t="s">
        <v>1234</v>
      </c>
      <c r="C46" s="181" t="s">
        <v>1086</v>
      </c>
      <c r="D46" s="696" t="s">
        <v>1235</v>
      </c>
      <c r="E46" s="258"/>
      <c r="F46" s="181"/>
      <c r="G46" s="258">
        <v>280.0</v>
      </c>
      <c r="H46" s="93">
        <v>569.0</v>
      </c>
      <c r="I46" s="162">
        <v>162.0</v>
      </c>
      <c r="J46" s="158">
        <f t="shared" ref="J46:J51" si="16">I46/H46</f>
        <v>0.2847100176</v>
      </c>
      <c r="K46" s="93">
        <f t="shared" ref="K46:K51" si="17">H46-I46</f>
        <v>407</v>
      </c>
      <c r="L46" s="158">
        <f>H46/I46-1</f>
        <v>2.512345679</v>
      </c>
      <c r="M46" s="134">
        <v>599.0</v>
      </c>
      <c r="N46" s="87" t="s">
        <v>111</v>
      </c>
      <c r="O46" s="87"/>
      <c r="P46" s="93">
        <v>529.0</v>
      </c>
      <c r="Q46" s="184">
        <v>499.0</v>
      </c>
    </row>
    <row r="47" ht="25.5" customHeight="1">
      <c r="A47" s="639"/>
      <c r="B47" s="689"/>
      <c r="C47" s="639"/>
      <c r="D47" s="701" t="s">
        <v>1236</v>
      </c>
      <c r="E47" s="274"/>
      <c r="F47" s="274" t="s">
        <v>1091</v>
      </c>
      <c r="G47" s="265">
        <v>250.0</v>
      </c>
      <c r="H47" s="184">
        <v>489.0</v>
      </c>
      <c r="I47" s="653">
        <v>132.0</v>
      </c>
      <c r="J47" s="238">
        <f t="shared" si="16"/>
        <v>0.2699386503</v>
      </c>
      <c r="K47" s="184">
        <f t="shared" si="17"/>
        <v>357</v>
      </c>
      <c r="L47" s="238">
        <f>G47/I47-1</f>
        <v>0.8939393939</v>
      </c>
      <c r="M47" s="134">
        <v>549.0</v>
      </c>
      <c r="N47" s="86"/>
      <c r="O47" s="86"/>
      <c r="P47" s="695"/>
      <c r="Q47" s="695"/>
    </row>
    <row r="48" ht="39.75" customHeight="1" outlineLevel="1">
      <c r="A48" s="87"/>
      <c r="B48" s="181" t="s">
        <v>1216</v>
      </c>
      <c r="C48" s="181" t="s">
        <v>1087</v>
      </c>
      <c r="D48" s="696" t="s">
        <v>277</v>
      </c>
      <c r="E48" s="258"/>
      <c r="F48" s="181"/>
      <c r="G48" s="258">
        <v>230.0</v>
      </c>
      <c r="H48" s="93">
        <v>469.0</v>
      </c>
      <c r="I48" s="162">
        <v>123.0</v>
      </c>
      <c r="J48" s="158">
        <f t="shared" si="16"/>
        <v>0.2622601279</v>
      </c>
      <c r="K48" s="93">
        <f t="shared" si="17"/>
        <v>346</v>
      </c>
      <c r="L48" s="158">
        <f t="shared" ref="L48:L51" si="18">H48/I48-1</f>
        <v>2.81300813</v>
      </c>
      <c r="M48" s="134">
        <v>539.0</v>
      </c>
      <c r="N48" s="87" t="s">
        <v>111</v>
      </c>
      <c r="O48" s="87"/>
      <c r="P48" s="93">
        <v>459.0</v>
      </c>
      <c r="Q48" s="184">
        <v>429.0</v>
      </c>
    </row>
    <row r="49" ht="25.5" customHeight="1" outlineLevel="1">
      <c r="A49" s="87"/>
      <c r="B49" s="181" t="s">
        <v>1237</v>
      </c>
      <c r="C49" s="181" t="s">
        <v>1088</v>
      </c>
      <c r="D49" s="696" t="s">
        <v>280</v>
      </c>
      <c r="E49" s="258"/>
      <c r="F49" s="181"/>
      <c r="G49" s="258">
        <v>250.0</v>
      </c>
      <c r="H49" s="93">
        <v>459.0</v>
      </c>
      <c r="I49" s="162">
        <v>132.0</v>
      </c>
      <c r="J49" s="158">
        <f t="shared" si="16"/>
        <v>0.2875816993</v>
      </c>
      <c r="K49" s="93">
        <f t="shared" si="17"/>
        <v>327</v>
      </c>
      <c r="L49" s="158">
        <f t="shared" si="18"/>
        <v>2.477272727</v>
      </c>
      <c r="M49" s="134">
        <v>529.0</v>
      </c>
      <c r="N49" s="87" t="s">
        <v>111</v>
      </c>
      <c r="O49" s="87"/>
      <c r="P49" s="93">
        <v>429.0</v>
      </c>
      <c r="Q49" s="184">
        <v>399.0</v>
      </c>
    </row>
    <row r="50" ht="25.5" customHeight="1" outlineLevel="1">
      <c r="A50" s="87"/>
      <c r="B50" s="181" t="s">
        <v>1216</v>
      </c>
      <c r="C50" s="181" t="s">
        <v>1089</v>
      </c>
      <c r="D50" s="696" t="s">
        <v>283</v>
      </c>
      <c r="E50" s="258"/>
      <c r="F50" s="181"/>
      <c r="G50" s="258">
        <v>250.0</v>
      </c>
      <c r="H50" s="93">
        <v>599.0</v>
      </c>
      <c r="I50" s="162">
        <v>177.0</v>
      </c>
      <c r="J50" s="158">
        <f t="shared" si="16"/>
        <v>0.2954924875</v>
      </c>
      <c r="K50" s="93">
        <f t="shared" si="17"/>
        <v>422</v>
      </c>
      <c r="L50" s="158">
        <f t="shared" si="18"/>
        <v>2.384180791</v>
      </c>
      <c r="M50" s="134">
        <v>659.0</v>
      </c>
      <c r="N50" s="87" t="s">
        <v>111</v>
      </c>
      <c r="O50" s="87"/>
      <c r="P50" s="93">
        <v>579.0</v>
      </c>
      <c r="Q50" s="184">
        <v>559.0</v>
      </c>
    </row>
    <row r="51" ht="25.5" customHeight="1" outlineLevel="1">
      <c r="A51" s="87"/>
      <c r="B51" s="181" t="s">
        <v>1092</v>
      </c>
      <c r="C51" s="181" t="s">
        <v>1093</v>
      </c>
      <c r="D51" s="701" t="s">
        <v>1238</v>
      </c>
      <c r="E51" s="258"/>
      <c r="F51" s="181"/>
      <c r="G51" s="258">
        <v>230.0</v>
      </c>
      <c r="H51" s="93">
        <v>599.0</v>
      </c>
      <c r="I51" s="162">
        <v>185.0</v>
      </c>
      <c r="J51" s="158">
        <f t="shared" si="16"/>
        <v>0.3088480801</v>
      </c>
      <c r="K51" s="93">
        <f t="shared" si="17"/>
        <v>414</v>
      </c>
      <c r="L51" s="158">
        <f t="shared" si="18"/>
        <v>2.237837838</v>
      </c>
      <c r="M51" s="134">
        <v>659.0</v>
      </c>
      <c r="N51" s="87"/>
      <c r="O51" s="87"/>
      <c r="P51" s="93"/>
      <c r="Q51" s="640"/>
    </row>
    <row r="52" ht="25.5" customHeight="1">
      <c r="A52" s="614"/>
      <c r="B52" s="615" t="str">
        <f>"Горячее "&amp;COUNTA(D53:D56)&amp;" шт"</f>
        <v>Горячее 4 шт</v>
      </c>
      <c r="C52" s="614"/>
      <c r="D52" s="614"/>
      <c r="E52" s="616"/>
      <c r="F52" s="614"/>
      <c r="G52" s="616" t="s">
        <v>220</v>
      </c>
      <c r="H52" s="695"/>
      <c r="I52" s="618"/>
      <c r="J52" s="648">
        <f>AVERAGE(J53:J56)</f>
        <v>0.2353391159</v>
      </c>
      <c r="K52" s="614"/>
      <c r="L52" s="614"/>
      <c r="M52" s="614"/>
      <c r="N52" s="86"/>
      <c r="O52" s="86"/>
      <c r="P52" s="695"/>
      <c r="Q52" s="695"/>
    </row>
    <row r="53" ht="25.5" customHeight="1" outlineLevel="1">
      <c r="A53" s="87"/>
      <c r="B53" s="181"/>
      <c r="C53" s="181" t="s">
        <v>288</v>
      </c>
      <c r="D53" s="696" t="s">
        <v>290</v>
      </c>
      <c r="E53" s="258"/>
      <c r="F53" s="181"/>
      <c r="G53" s="258">
        <v>120.0</v>
      </c>
      <c r="H53" s="93">
        <v>179.0</v>
      </c>
      <c r="I53" s="162">
        <v>33.0</v>
      </c>
      <c r="J53" s="158">
        <f t="shared" ref="J53:J56" si="19">I53/H53</f>
        <v>0.1843575419</v>
      </c>
      <c r="K53" s="93">
        <f t="shared" ref="K53:K56" si="20">H53-I53</f>
        <v>146</v>
      </c>
      <c r="L53" s="158">
        <f t="shared" ref="L53:L56" si="21">H53/I53-1</f>
        <v>4.424242424</v>
      </c>
      <c r="M53" s="134">
        <v>229.0</v>
      </c>
      <c r="N53" s="87" t="s">
        <v>111</v>
      </c>
      <c r="O53" s="87"/>
      <c r="P53" s="93">
        <v>159.0</v>
      </c>
      <c r="Q53" s="93">
        <v>159.0</v>
      </c>
    </row>
    <row r="54" ht="25.5" customHeight="1" outlineLevel="1">
      <c r="A54" s="87"/>
      <c r="B54" s="181"/>
      <c r="C54" s="181" t="s">
        <v>1095</v>
      </c>
      <c r="D54" s="696" t="s">
        <v>1239</v>
      </c>
      <c r="E54" s="258"/>
      <c r="F54" s="181"/>
      <c r="G54" s="258">
        <v>300.0</v>
      </c>
      <c r="H54" s="93">
        <v>359.0</v>
      </c>
      <c r="I54" s="162">
        <v>95.0</v>
      </c>
      <c r="J54" s="158">
        <f t="shared" si="19"/>
        <v>0.2646239554</v>
      </c>
      <c r="K54" s="93">
        <f t="shared" si="20"/>
        <v>264</v>
      </c>
      <c r="L54" s="158">
        <f t="shared" si="21"/>
        <v>2.778947368</v>
      </c>
      <c r="M54" s="134">
        <v>389.0</v>
      </c>
      <c r="N54" s="87" t="s">
        <v>111</v>
      </c>
      <c r="O54" s="87"/>
      <c r="P54" s="93">
        <v>339.0</v>
      </c>
      <c r="Q54" s="93">
        <v>299.0</v>
      </c>
    </row>
    <row r="55" ht="25.5" customHeight="1" outlineLevel="1">
      <c r="A55" s="87"/>
      <c r="B55" s="181" t="s">
        <v>1096</v>
      </c>
      <c r="C55" s="181" t="s">
        <v>1097</v>
      </c>
      <c r="D55" s="701" t="s">
        <v>1240</v>
      </c>
      <c r="E55" s="258" t="s">
        <v>1241</v>
      </c>
      <c r="F55" s="274" t="s">
        <v>1242</v>
      </c>
      <c r="G55" s="258">
        <v>250.0</v>
      </c>
      <c r="H55" s="93">
        <v>549.0</v>
      </c>
      <c r="I55" s="162">
        <v>142.0</v>
      </c>
      <c r="J55" s="158">
        <f t="shared" si="19"/>
        <v>0.2586520947</v>
      </c>
      <c r="K55" s="93">
        <f t="shared" si="20"/>
        <v>407</v>
      </c>
      <c r="L55" s="158">
        <f t="shared" si="21"/>
        <v>2.866197183</v>
      </c>
      <c r="M55" s="134">
        <v>599.0</v>
      </c>
      <c r="N55" s="87" t="s">
        <v>111</v>
      </c>
      <c r="O55" s="87"/>
      <c r="P55" s="93">
        <v>0.0</v>
      </c>
      <c r="Q55" s="640">
        <v>449.0</v>
      </c>
    </row>
    <row r="56" ht="25.5" customHeight="1" outlineLevel="1">
      <c r="A56" s="87"/>
      <c r="B56" s="181" t="s">
        <v>1243</v>
      </c>
      <c r="C56" s="181" t="s">
        <v>1100</v>
      </c>
      <c r="D56" s="696" t="s">
        <v>1099</v>
      </c>
      <c r="E56" s="258"/>
      <c r="F56" s="274" t="s">
        <v>1244</v>
      </c>
      <c r="G56" s="258">
        <v>250.0</v>
      </c>
      <c r="H56" s="127">
        <v>599.0</v>
      </c>
      <c r="I56" s="162">
        <v>140.0</v>
      </c>
      <c r="J56" s="158">
        <f t="shared" si="19"/>
        <v>0.2337228715</v>
      </c>
      <c r="K56" s="93">
        <f t="shared" si="20"/>
        <v>459</v>
      </c>
      <c r="L56" s="158">
        <f t="shared" si="21"/>
        <v>3.278571429</v>
      </c>
      <c r="M56" s="134">
        <v>659.0</v>
      </c>
      <c r="N56" s="87" t="s">
        <v>111</v>
      </c>
      <c r="O56" s="87"/>
      <c r="P56" s="93">
        <v>0.0</v>
      </c>
      <c r="Q56" s="640"/>
    </row>
    <row r="57" ht="25.5" customHeight="1">
      <c r="A57" s="614"/>
      <c r="B57" s="615" t="str">
        <f>"Гриль "&amp;COUNTA(D58:D64)&amp;" шт"</f>
        <v>Гриль 7 шт</v>
      </c>
      <c r="C57" s="614"/>
      <c r="D57" s="614"/>
      <c r="E57" s="616"/>
      <c r="F57" s="614"/>
      <c r="G57" s="616" t="s">
        <v>220</v>
      </c>
      <c r="H57" s="695"/>
      <c r="I57" s="618"/>
      <c r="J57" s="648">
        <f>AVERAGE(J58:J64)</f>
        <v>0.2807575218</v>
      </c>
      <c r="K57" s="614"/>
      <c r="L57" s="614"/>
      <c r="M57" s="614"/>
      <c r="N57" s="86"/>
      <c r="O57" s="86"/>
      <c r="P57" s="695"/>
      <c r="Q57" s="695"/>
    </row>
    <row r="58" ht="40.5" customHeight="1" outlineLevel="1">
      <c r="A58" s="87"/>
      <c r="B58" s="181"/>
      <c r="C58" s="181" t="s">
        <v>1109</v>
      </c>
      <c r="D58" s="696" t="s">
        <v>1245</v>
      </c>
      <c r="E58" s="258"/>
      <c r="F58" s="181"/>
      <c r="G58" s="258">
        <v>300.0</v>
      </c>
      <c r="H58" s="93">
        <v>899.0</v>
      </c>
      <c r="I58" s="162">
        <v>189.0</v>
      </c>
      <c r="J58" s="158">
        <f t="shared" ref="J58:J64" si="22">I58/H58</f>
        <v>0.2102335929</v>
      </c>
      <c r="K58" s="93">
        <f t="shared" ref="K58:K64" si="23">H58-I58</f>
        <v>710</v>
      </c>
      <c r="L58" s="158">
        <f t="shared" ref="L58:L64" si="24">H58/I58-1</f>
        <v>3.756613757</v>
      </c>
      <c r="M58" s="134">
        <v>999.0</v>
      </c>
      <c r="N58" s="87" t="s">
        <v>111</v>
      </c>
      <c r="O58" s="87"/>
      <c r="P58" s="93">
        <v>899.0</v>
      </c>
      <c r="Q58" s="93">
        <v>899.0</v>
      </c>
    </row>
    <row r="59" ht="25.5" customHeight="1" outlineLevel="1">
      <c r="A59" s="87"/>
      <c r="B59" s="181" t="s">
        <v>1246</v>
      </c>
      <c r="C59" s="181" t="s">
        <v>1098</v>
      </c>
      <c r="D59" s="701" t="s">
        <v>1247</v>
      </c>
      <c r="E59" s="258"/>
      <c r="F59" s="181" t="s">
        <v>1248</v>
      </c>
      <c r="G59" s="258">
        <v>250.0</v>
      </c>
      <c r="H59" s="93">
        <v>489.0</v>
      </c>
      <c r="I59" s="162">
        <v>133.0</v>
      </c>
      <c r="J59" s="158">
        <f t="shared" si="22"/>
        <v>0.2719836401</v>
      </c>
      <c r="K59" s="93">
        <f t="shared" si="23"/>
        <v>356</v>
      </c>
      <c r="L59" s="158">
        <f t="shared" si="24"/>
        <v>2.676691729</v>
      </c>
      <c r="M59" s="134">
        <v>549.0</v>
      </c>
      <c r="N59" s="87" t="s">
        <v>112</v>
      </c>
      <c r="O59" s="87"/>
      <c r="P59" s="93">
        <v>0.0</v>
      </c>
      <c r="Q59" s="640"/>
    </row>
    <row r="60" ht="25.5" customHeight="1" outlineLevel="1">
      <c r="A60" s="87"/>
      <c r="B60" s="181"/>
      <c r="C60" s="181" t="s">
        <v>1104</v>
      </c>
      <c r="D60" s="696" t="s">
        <v>293</v>
      </c>
      <c r="E60" s="258"/>
      <c r="F60" s="181" t="s">
        <v>1249</v>
      </c>
      <c r="G60" s="258">
        <v>230.0</v>
      </c>
      <c r="H60" s="93">
        <v>499.0</v>
      </c>
      <c r="I60" s="162">
        <v>160.0</v>
      </c>
      <c r="J60" s="158">
        <f t="shared" si="22"/>
        <v>0.3206412826</v>
      </c>
      <c r="K60" s="93">
        <f t="shared" si="23"/>
        <v>339</v>
      </c>
      <c r="L60" s="158">
        <f t="shared" si="24"/>
        <v>2.11875</v>
      </c>
      <c r="M60" s="134">
        <v>559.0</v>
      </c>
      <c r="N60" s="87" t="s">
        <v>111</v>
      </c>
      <c r="O60" s="87"/>
      <c r="P60" s="93">
        <v>469.0</v>
      </c>
      <c r="Q60" s="93">
        <v>429.0</v>
      </c>
    </row>
    <row r="61" ht="25.5" customHeight="1" outlineLevel="1">
      <c r="A61" s="87"/>
      <c r="B61" s="181"/>
      <c r="C61" s="181" t="s">
        <v>1105</v>
      </c>
      <c r="D61" s="696" t="s">
        <v>297</v>
      </c>
      <c r="E61" s="258"/>
      <c r="F61" s="181" t="s">
        <v>1250</v>
      </c>
      <c r="G61" s="258">
        <v>230.0</v>
      </c>
      <c r="H61" s="93">
        <v>529.0</v>
      </c>
      <c r="I61" s="162">
        <v>143.0</v>
      </c>
      <c r="J61" s="158">
        <f t="shared" si="22"/>
        <v>0.2703213611</v>
      </c>
      <c r="K61" s="93">
        <f t="shared" si="23"/>
        <v>386</v>
      </c>
      <c r="L61" s="158">
        <f t="shared" si="24"/>
        <v>2.699300699</v>
      </c>
      <c r="M61" s="134">
        <v>579.0</v>
      </c>
      <c r="N61" s="87" t="s">
        <v>111</v>
      </c>
      <c r="O61" s="87"/>
      <c r="P61" s="93">
        <v>479.0</v>
      </c>
      <c r="Q61" s="93">
        <v>449.0</v>
      </c>
    </row>
    <row r="62" ht="25.5" customHeight="1" outlineLevel="1">
      <c r="A62" s="87"/>
      <c r="B62" s="181"/>
      <c r="C62" s="181" t="s">
        <v>1107</v>
      </c>
      <c r="D62" s="696" t="s">
        <v>1106</v>
      </c>
      <c r="E62" s="258"/>
      <c r="F62" s="181" t="s">
        <v>1251</v>
      </c>
      <c r="G62" s="258" t="s">
        <v>1108</v>
      </c>
      <c r="H62" s="93">
        <v>599.0</v>
      </c>
      <c r="I62" s="162">
        <v>150.0</v>
      </c>
      <c r="J62" s="158">
        <f t="shared" si="22"/>
        <v>0.2504173623</v>
      </c>
      <c r="K62" s="93">
        <f t="shared" si="23"/>
        <v>449</v>
      </c>
      <c r="L62" s="158">
        <f t="shared" si="24"/>
        <v>2.993333333</v>
      </c>
      <c r="M62" s="134">
        <v>649.0</v>
      </c>
      <c r="N62" s="87" t="s">
        <v>111</v>
      </c>
      <c r="O62" s="87"/>
      <c r="P62" s="93">
        <v>589.0</v>
      </c>
      <c r="Q62" s="93"/>
    </row>
    <row r="63" ht="25.5" customHeight="1" outlineLevel="1">
      <c r="A63" s="87"/>
      <c r="B63" s="181"/>
      <c r="C63" s="181" t="s">
        <v>1102</v>
      </c>
      <c r="D63" s="696" t="s">
        <v>1101</v>
      </c>
      <c r="E63" s="258"/>
      <c r="F63" s="181" t="s">
        <v>1102</v>
      </c>
      <c r="G63" s="258" t="s">
        <v>1103</v>
      </c>
      <c r="H63" s="93">
        <v>1599.0</v>
      </c>
      <c r="I63" s="162">
        <v>502.0</v>
      </c>
      <c r="J63" s="158">
        <f t="shared" si="22"/>
        <v>0.3139462164</v>
      </c>
      <c r="K63" s="93">
        <f t="shared" si="23"/>
        <v>1097</v>
      </c>
      <c r="L63" s="158">
        <f t="shared" si="24"/>
        <v>2.185258964</v>
      </c>
      <c r="M63" s="134"/>
      <c r="N63" s="87" t="s">
        <v>112</v>
      </c>
      <c r="O63" s="87"/>
      <c r="P63" s="93">
        <v>1499.0</v>
      </c>
      <c r="Q63" s="93">
        <v>1499.0</v>
      </c>
    </row>
    <row r="64" ht="25.5" customHeight="1" outlineLevel="1">
      <c r="A64" s="87"/>
      <c r="B64" s="105"/>
      <c r="C64" s="181" t="s">
        <v>1110</v>
      </c>
      <c r="D64" s="696" t="s">
        <v>303</v>
      </c>
      <c r="E64" s="258"/>
      <c r="F64" s="181"/>
      <c r="G64" s="258">
        <v>170.0</v>
      </c>
      <c r="H64" s="93">
        <v>299.0</v>
      </c>
      <c r="I64" s="162">
        <v>98.0</v>
      </c>
      <c r="J64" s="158">
        <f t="shared" si="22"/>
        <v>0.3277591973</v>
      </c>
      <c r="K64" s="93">
        <f t="shared" si="23"/>
        <v>201</v>
      </c>
      <c r="L64" s="158">
        <f t="shared" si="24"/>
        <v>2.051020408</v>
      </c>
      <c r="M64" s="134">
        <v>349.0</v>
      </c>
      <c r="N64" s="87" t="s">
        <v>111</v>
      </c>
      <c r="O64" s="87"/>
      <c r="P64" s="93">
        <v>259.0</v>
      </c>
      <c r="Q64" s="93">
        <v>249.0</v>
      </c>
    </row>
    <row r="65" ht="25.5" customHeight="1">
      <c r="A65" s="614"/>
      <c r="B65" s="615" t="str">
        <f>"Бургеры "&amp;COUNTA(D66:D69)&amp;" шт"</f>
        <v>Бургеры 4 шт</v>
      </c>
      <c r="C65" s="614"/>
      <c r="D65" s="614"/>
      <c r="E65" s="616"/>
      <c r="F65" s="614"/>
      <c r="G65" s="616"/>
      <c r="H65" s="695"/>
      <c r="I65" s="618"/>
      <c r="J65" s="648">
        <f>AVERAGE(J66:J69)</f>
        <v>0.2829873274</v>
      </c>
      <c r="K65" s="614"/>
      <c r="L65" s="614"/>
      <c r="M65" s="670"/>
      <c r="N65" s="86"/>
      <c r="O65" s="86"/>
      <c r="P65" s="695"/>
      <c r="Q65" s="695"/>
    </row>
    <row r="66" ht="25.5" customHeight="1" outlineLevel="1">
      <c r="A66" s="87"/>
      <c r="B66" s="89" t="s">
        <v>1116</v>
      </c>
      <c r="C66" s="89" t="s">
        <v>313</v>
      </c>
      <c r="D66" s="696" t="s">
        <v>314</v>
      </c>
      <c r="E66" s="258"/>
      <c r="F66" s="89" t="s">
        <v>315</v>
      </c>
      <c r="G66" s="258">
        <v>300.0</v>
      </c>
      <c r="H66" s="93">
        <v>489.0</v>
      </c>
      <c r="I66" s="162">
        <v>143.0</v>
      </c>
      <c r="J66" s="158">
        <f t="shared" ref="J66:J69" si="25">I66/H66</f>
        <v>0.2924335378</v>
      </c>
      <c r="K66" s="93">
        <f t="shared" ref="K66:K69" si="26">H66-I66</f>
        <v>346</v>
      </c>
      <c r="L66" s="158">
        <f t="shared" ref="L66:L69" si="27">H66/I66-1</f>
        <v>2.41958042</v>
      </c>
      <c r="M66" s="134">
        <v>569.0</v>
      </c>
      <c r="N66" s="87" t="s">
        <v>111</v>
      </c>
      <c r="O66" s="87"/>
      <c r="P66" s="93">
        <v>469.0</v>
      </c>
      <c r="Q66" s="184">
        <v>429.0</v>
      </c>
    </row>
    <row r="67" ht="25.5" customHeight="1" outlineLevel="1">
      <c r="A67" s="87"/>
      <c r="B67" s="89"/>
      <c r="C67" s="89" t="s">
        <v>323</v>
      </c>
      <c r="D67" s="696" t="s">
        <v>322</v>
      </c>
      <c r="E67" s="258" t="s">
        <v>1230</v>
      </c>
      <c r="F67" s="89" t="s">
        <v>323</v>
      </c>
      <c r="G67" s="258">
        <v>300.0</v>
      </c>
      <c r="H67" s="93">
        <v>569.0</v>
      </c>
      <c r="I67" s="162">
        <v>149.0</v>
      </c>
      <c r="J67" s="158">
        <f t="shared" si="25"/>
        <v>0.2618629174</v>
      </c>
      <c r="K67" s="93">
        <f t="shared" si="26"/>
        <v>420</v>
      </c>
      <c r="L67" s="158">
        <f t="shared" si="27"/>
        <v>2.818791946</v>
      </c>
      <c r="M67" s="134">
        <v>599.0</v>
      </c>
      <c r="N67" s="87" t="s">
        <v>111</v>
      </c>
      <c r="O67" s="87"/>
      <c r="P67" s="93">
        <v>0.0</v>
      </c>
      <c r="Q67" s="640">
        <v>589.0</v>
      </c>
    </row>
    <row r="68" ht="25.5" customHeight="1" outlineLevel="1">
      <c r="A68" s="87"/>
      <c r="B68" s="89" t="s">
        <v>1117</v>
      </c>
      <c r="C68" s="89" t="s">
        <v>1118</v>
      </c>
      <c r="D68" s="696" t="s">
        <v>318</v>
      </c>
      <c r="E68" s="258"/>
      <c r="F68" s="89" t="s">
        <v>1252</v>
      </c>
      <c r="G68" s="258">
        <v>300.0</v>
      </c>
      <c r="H68" s="93">
        <v>569.0</v>
      </c>
      <c r="I68" s="162">
        <v>152.0</v>
      </c>
      <c r="J68" s="158">
        <f t="shared" si="25"/>
        <v>0.2671353251</v>
      </c>
      <c r="K68" s="93">
        <f t="shared" si="26"/>
        <v>417</v>
      </c>
      <c r="L68" s="158">
        <f t="shared" si="27"/>
        <v>2.743421053</v>
      </c>
      <c r="M68" s="134">
        <v>599.0</v>
      </c>
      <c r="N68" s="87" t="s">
        <v>111</v>
      </c>
      <c r="O68" s="87"/>
      <c r="P68" s="93">
        <v>549.0</v>
      </c>
      <c r="Q68" s="184">
        <v>539.0</v>
      </c>
    </row>
    <row r="69" ht="25.5" customHeight="1" outlineLevel="1">
      <c r="A69" s="87"/>
      <c r="B69" s="89" t="s">
        <v>1253</v>
      </c>
      <c r="C69" s="181" t="s">
        <v>324</v>
      </c>
      <c r="D69" s="696" t="s">
        <v>325</v>
      </c>
      <c r="E69" s="258"/>
      <c r="F69" s="181" t="s">
        <v>1254</v>
      </c>
      <c r="G69" s="258">
        <v>280.0</v>
      </c>
      <c r="H69" s="93">
        <v>599.0</v>
      </c>
      <c r="I69" s="162">
        <v>186.0</v>
      </c>
      <c r="J69" s="158">
        <f t="shared" si="25"/>
        <v>0.3105175292</v>
      </c>
      <c r="K69" s="93">
        <f t="shared" si="26"/>
        <v>413</v>
      </c>
      <c r="L69" s="158">
        <f t="shared" si="27"/>
        <v>2.220430108</v>
      </c>
      <c r="M69" s="134">
        <v>659.0</v>
      </c>
      <c r="N69" s="87"/>
      <c r="O69" s="87"/>
      <c r="P69" s="93"/>
      <c r="Q69" s="640"/>
    </row>
    <row r="70" ht="25.5" customHeight="1">
      <c r="A70" s="614"/>
      <c r="B70" s="615" t="str">
        <f>"Пицца "&amp;COUNTA(D71:D78)&amp;" шт"</f>
        <v>Пицца 8 шт</v>
      </c>
      <c r="C70" s="614"/>
      <c r="D70" s="614"/>
      <c r="E70" s="616"/>
      <c r="F70" s="614"/>
      <c r="G70" s="616"/>
      <c r="H70" s="695"/>
      <c r="I70" s="618"/>
      <c r="J70" s="648">
        <f>AVERAGE(J71:J78)</f>
        <v>0.252293506</v>
      </c>
      <c r="K70" s="614"/>
      <c r="L70" s="614"/>
      <c r="M70" s="670"/>
      <c r="N70" s="86"/>
      <c r="O70" s="86"/>
      <c r="P70" s="695"/>
      <c r="Q70" s="695"/>
    </row>
    <row r="71" ht="25.5" customHeight="1" outlineLevel="1">
      <c r="A71" s="87"/>
      <c r="B71" s="181" t="s">
        <v>1255</v>
      </c>
      <c r="C71" s="181" t="s">
        <v>327</v>
      </c>
      <c r="D71" s="701" t="s">
        <v>329</v>
      </c>
      <c r="E71" s="258"/>
      <c r="F71" s="258" t="s">
        <v>1256</v>
      </c>
      <c r="G71" s="258">
        <v>460.0</v>
      </c>
      <c r="H71" s="93">
        <v>599.0</v>
      </c>
      <c r="I71" s="162">
        <v>145.0</v>
      </c>
      <c r="J71" s="158">
        <f t="shared" ref="J71:J78" si="28">I71/H71</f>
        <v>0.2420701169</v>
      </c>
      <c r="K71" s="93">
        <f t="shared" ref="K71:K78" si="29">H71-I71</f>
        <v>454</v>
      </c>
      <c r="L71" s="158">
        <f t="shared" ref="L71:L78" si="30">H71/I71-1</f>
        <v>3.131034483</v>
      </c>
      <c r="M71" s="134">
        <v>669.0</v>
      </c>
      <c r="N71" s="87" t="s">
        <v>111</v>
      </c>
      <c r="O71" s="87"/>
      <c r="P71" s="93">
        <v>0.0</v>
      </c>
      <c r="Q71" s="640">
        <v>699.0</v>
      </c>
    </row>
    <row r="72" ht="25.5" customHeight="1" outlineLevel="1">
      <c r="A72" s="87"/>
      <c r="B72" s="89"/>
      <c r="C72" s="181" t="s">
        <v>338</v>
      </c>
      <c r="D72" s="696" t="s">
        <v>339</v>
      </c>
      <c r="E72" s="258"/>
      <c r="F72" s="181"/>
      <c r="G72" s="258">
        <v>490.0</v>
      </c>
      <c r="H72" s="93">
        <v>599.0</v>
      </c>
      <c r="I72" s="162">
        <v>140.0</v>
      </c>
      <c r="J72" s="158">
        <f t="shared" si="28"/>
        <v>0.2337228715</v>
      </c>
      <c r="K72" s="93">
        <f t="shared" si="29"/>
        <v>459</v>
      </c>
      <c r="L72" s="158">
        <f t="shared" si="30"/>
        <v>3.278571429</v>
      </c>
      <c r="M72" s="134">
        <v>669.0</v>
      </c>
      <c r="N72" s="87" t="s">
        <v>111</v>
      </c>
      <c r="O72" s="87"/>
      <c r="P72" s="93">
        <v>569.0</v>
      </c>
      <c r="Q72" s="93">
        <v>549.0</v>
      </c>
    </row>
    <row r="73" ht="37.5" customHeight="1" outlineLevel="1">
      <c r="A73" s="87"/>
      <c r="B73" s="679"/>
      <c r="C73" s="181" t="s">
        <v>1123</v>
      </c>
      <c r="D73" s="696" t="s">
        <v>1257</v>
      </c>
      <c r="E73" s="258"/>
      <c r="F73" s="181" t="s">
        <v>1258</v>
      </c>
      <c r="G73" s="258">
        <v>510.0</v>
      </c>
      <c r="H73" s="93">
        <v>599.0</v>
      </c>
      <c r="I73" s="162">
        <v>143.0</v>
      </c>
      <c r="J73" s="158">
        <f t="shared" si="28"/>
        <v>0.2387312187</v>
      </c>
      <c r="K73" s="93">
        <f t="shared" si="29"/>
        <v>456</v>
      </c>
      <c r="L73" s="158">
        <f t="shared" si="30"/>
        <v>3.188811189</v>
      </c>
      <c r="M73" s="134">
        <v>669.0</v>
      </c>
      <c r="N73" s="87" t="s">
        <v>111</v>
      </c>
      <c r="O73" s="87"/>
      <c r="P73" s="93">
        <v>569.0</v>
      </c>
      <c r="Q73" s="93">
        <v>549.0</v>
      </c>
    </row>
    <row r="74" ht="25.5" customHeight="1" outlineLevel="1">
      <c r="A74" s="87"/>
      <c r="B74" s="90"/>
      <c r="C74" s="181" t="s">
        <v>331</v>
      </c>
      <c r="D74" s="696" t="s">
        <v>332</v>
      </c>
      <c r="E74" s="258"/>
      <c r="F74" s="258" t="s">
        <v>333</v>
      </c>
      <c r="G74" s="258">
        <v>430.0</v>
      </c>
      <c r="H74" s="93">
        <v>499.0</v>
      </c>
      <c r="I74" s="162">
        <v>101.0</v>
      </c>
      <c r="J74" s="158">
        <f t="shared" si="28"/>
        <v>0.2024048096</v>
      </c>
      <c r="K74" s="93">
        <f t="shared" si="29"/>
        <v>398</v>
      </c>
      <c r="L74" s="158">
        <f t="shared" si="30"/>
        <v>3.940594059</v>
      </c>
      <c r="M74" s="134">
        <v>569.0</v>
      </c>
      <c r="N74" s="87" t="s">
        <v>111</v>
      </c>
      <c r="O74" s="87"/>
      <c r="P74" s="93">
        <v>469.0</v>
      </c>
      <c r="Q74" s="93">
        <v>449.0</v>
      </c>
    </row>
    <row r="75" ht="25.5" customHeight="1" outlineLevel="1">
      <c r="A75" s="87"/>
      <c r="B75" s="89"/>
      <c r="C75" s="181" t="s">
        <v>334</v>
      </c>
      <c r="D75" s="696" t="s">
        <v>1259</v>
      </c>
      <c r="E75" s="258" t="s">
        <v>1230</v>
      </c>
      <c r="F75" s="181" t="s">
        <v>1260</v>
      </c>
      <c r="G75" s="258">
        <v>520.0</v>
      </c>
      <c r="H75" s="93">
        <v>599.0</v>
      </c>
      <c r="I75" s="162">
        <v>145.75</v>
      </c>
      <c r="J75" s="158">
        <f t="shared" si="28"/>
        <v>0.2433222037</v>
      </c>
      <c r="K75" s="93">
        <f t="shared" si="29"/>
        <v>453.25</v>
      </c>
      <c r="L75" s="158">
        <f t="shared" si="30"/>
        <v>3.109777015</v>
      </c>
      <c r="M75" s="134">
        <v>669.0</v>
      </c>
      <c r="N75" s="87" t="s">
        <v>111</v>
      </c>
      <c r="O75" s="87"/>
      <c r="P75" s="93">
        <v>569.0</v>
      </c>
      <c r="Q75" s="93">
        <v>549.0</v>
      </c>
    </row>
    <row r="76" ht="25.5" customHeight="1" outlineLevel="1">
      <c r="A76" s="87"/>
      <c r="B76" s="181" t="s">
        <v>1261</v>
      </c>
      <c r="C76" s="181" t="s">
        <v>1126</v>
      </c>
      <c r="D76" s="696" t="s">
        <v>348</v>
      </c>
      <c r="E76" s="258" t="s">
        <v>1262</v>
      </c>
      <c r="F76" s="181" t="s">
        <v>1263</v>
      </c>
      <c r="G76" s="258">
        <v>520.0</v>
      </c>
      <c r="H76" s="93">
        <v>599.0</v>
      </c>
      <c r="I76" s="162">
        <v>164.0</v>
      </c>
      <c r="J76" s="158">
        <f t="shared" si="28"/>
        <v>0.2737896494</v>
      </c>
      <c r="K76" s="93">
        <f t="shared" si="29"/>
        <v>435</v>
      </c>
      <c r="L76" s="158">
        <f t="shared" si="30"/>
        <v>2.652439024</v>
      </c>
      <c r="M76" s="134">
        <v>669.0</v>
      </c>
      <c r="N76" s="87" t="s">
        <v>111</v>
      </c>
      <c r="O76" s="87"/>
      <c r="P76" s="93">
        <v>0.0</v>
      </c>
      <c r="Q76" s="640">
        <v>659.0</v>
      </c>
    </row>
    <row r="77" ht="25.5" customHeight="1" outlineLevel="1">
      <c r="A77" s="87"/>
      <c r="B77" s="181"/>
      <c r="C77" s="181" t="s">
        <v>341</v>
      </c>
      <c r="D77" s="696" t="s">
        <v>342</v>
      </c>
      <c r="E77" s="258" t="s">
        <v>1202</v>
      </c>
      <c r="F77" s="181" t="s">
        <v>341</v>
      </c>
      <c r="G77" s="258">
        <v>560.0</v>
      </c>
      <c r="H77" s="93">
        <v>599.0</v>
      </c>
      <c r="I77" s="162">
        <v>180.0</v>
      </c>
      <c r="J77" s="158">
        <f t="shared" si="28"/>
        <v>0.3005008347</v>
      </c>
      <c r="K77" s="93">
        <f t="shared" si="29"/>
        <v>419</v>
      </c>
      <c r="L77" s="158">
        <f t="shared" si="30"/>
        <v>2.327777778</v>
      </c>
      <c r="M77" s="134">
        <v>669.0</v>
      </c>
      <c r="N77" s="87" t="s">
        <v>111</v>
      </c>
      <c r="O77" s="87"/>
      <c r="P77" s="93">
        <v>569.0</v>
      </c>
      <c r="Q77" s="93">
        <v>549.0</v>
      </c>
    </row>
    <row r="78" ht="15.75" customHeight="1" outlineLevel="1">
      <c r="A78" s="87"/>
      <c r="B78" s="89"/>
      <c r="C78" s="181" t="s">
        <v>1124</v>
      </c>
      <c r="D78" s="696" t="s">
        <v>344</v>
      </c>
      <c r="E78" s="258"/>
      <c r="F78" s="181" t="s">
        <v>345</v>
      </c>
      <c r="G78" s="258">
        <v>520.0</v>
      </c>
      <c r="H78" s="93">
        <v>599.0</v>
      </c>
      <c r="I78" s="162">
        <v>170.0</v>
      </c>
      <c r="J78" s="158">
        <f t="shared" si="28"/>
        <v>0.2838063439</v>
      </c>
      <c r="K78" s="93">
        <f t="shared" si="29"/>
        <v>429</v>
      </c>
      <c r="L78" s="158">
        <f t="shared" si="30"/>
        <v>2.523529412</v>
      </c>
      <c r="M78" s="134"/>
      <c r="N78" s="87" t="s">
        <v>112</v>
      </c>
      <c r="O78" s="87"/>
      <c r="P78" s="93">
        <v>569.0</v>
      </c>
      <c r="Q78" s="93">
        <v>549.0</v>
      </c>
    </row>
    <row r="79" ht="25.5" customHeight="1">
      <c r="A79" s="614"/>
      <c r="B79" s="615" t="str">
        <f>"Десерты "&amp;COUNTA(D80:D85)&amp;" шт"</f>
        <v>Десерты 6 шт</v>
      </c>
      <c r="C79" s="614"/>
      <c r="D79" s="614"/>
      <c r="E79" s="616"/>
      <c r="F79" s="614"/>
      <c r="G79" s="616"/>
      <c r="H79" s="695"/>
      <c r="I79" s="618"/>
      <c r="J79" s="648">
        <f>AVERAGE(J80:J85)</f>
        <v>0.3049566848</v>
      </c>
      <c r="K79" s="614"/>
      <c r="L79" s="614"/>
      <c r="M79" s="670"/>
      <c r="N79" s="86"/>
      <c r="O79" s="86"/>
      <c r="P79" s="695"/>
      <c r="Q79" s="695"/>
    </row>
    <row r="80" ht="48.0" customHeight="1" outlineLevel="1">
      <c r="A80" s="87"/>
      <c r="B80" s="87"/>
      <c r="C80" s="87" t="s">
        <v>374</v>
      </c>
      <c r="D80" s="696" t="s">
        <v>373</v>
      </c>
      <c r="E80" s="258" t="s">
        <v>1202</v>
      </c>
      <c r="F80" s="87" t="s">
        <v>374</v>
      </c>
      <c r="G80" s="258">
        <v>300.0</v>
      </c>
      <c r="H80" s="93">
        <v>399.0</v>
      </c>
      <c r="I80" s="162">
        <v>115.0</v>
      </c>
      <c r="J80" s="158">
        <f t="shared" ref="J80:J85" si="31">I80/H80</f>
        <v>0.2882205514</v>
      </c>
      <c r="K80" s="93">
        <f t="shared" ref="K80:K85" si="32">H80-I80</f>
        <v>284</v>
      </c>
      <c r="L80" s="158">
        <f t="shared" ref="L80:L85" si="33">H80/I80-1</f>
        <v>2.469565217</v>
      </c>
      <c r="M80" s="134"/>
      <c r="N80" s="87" t="s">
        <v>112</v>
      </c>
      <c r="O80" s="87"/>
      <c r="P80" s="93">
        <v>379.0</v>
      </c>
      <c r="Q80" s="93">
        <v>359.0</v>
      </c>
    </row>
    <row r="81" ht="25.5" customHeight="1" outlineLevel="1">
      <c r="A81" s="87"/>
      <c r="B81" s="87" t="s">
        <v>1264</v>
      </c>
      <c r="C81" s="87" t="s">
        <v>1130</v>
      </c>
      <c r="D81" s="696" t="s">
        <v>375</v>
      </c>
      <c r="E81" s="258"/>
      <c r="F81" s="87" t="s">
        <v>1130</v>
      </c>
      <c r="G81" s="258">
        <v>135.0</v>
      </c>
      <c r="H81" s="93">
        <v>389.0</v>
      </c>
      <c r="I81" s="162">
        <v>137.0</v>
      </c>
      <c r="J81" s="158">
        <f t="shared" si="31"/>
        <v>0.35218509</v>
      </c>
      <c r="K81" s="93">
        <f t="shared" si="32"/>
        <v>252</v>
      </c>
      <c r="L81" s="158">
        <f t="shared" si="33"/>
        <v>1.839416058</v>
      </c>
      <c r="M81" s="134">
        <v>449.0</v>
      </c>
      <c r="N81" s="87" t="s">
        <v>111</v>
      </c>
      <c r="O81" s="87"/>
      <c r="P81" s="93">
        <v>0.0</v>
      </c>
      <c r="Q81" s="184">
        <v>299.0</v>
      </c>
    </row>
    <row r="82" ht="25.5" customHeight="1" outlineLevel="1">
      <c r="A82" s="87"/>
      <c r="B82" s="87" t="s">
        <v>1264</v>
      </c>
      <c r="C82" s="89" t="s">
        <v>1132</v>
      </c>
      <c r="D82" s="702" t="s">
        <v>378</v>
      </c>
      <c r="E82" s="258"/>
      <c r="F82" s="89" t="s">
        <v>1132</v>
      </c>
      <c r="G82" s="258">
        <v>135.0</v>
      </c>
      <c r="H82" s="93">
        <v>399.0</v>
      </c>
      <c r="I82" s="162">
        <v>145.0</v>
      </c>
      <c r="J82" s="158">
        <f t="shared" si="31"/>
        <v>0.3634085213</v>
      </c>
      <c r="K82" s="93">
        <f t="shared" si="32"/>
        <v>254</v>
      </c>
      <c r="L82" s="158">
        <f t="shared" si="33"/>
        <v>1.751724138</v>
      </c>
      <c r="M82" s="134">
        <v>459.0</v>
      </c>
      <c r="N82" s="87" t="s">
        <v>111</v>
      </c>
      <c r="O82" s="87"/>
      <c r="P82" s="93">
        <v>0.0</v>
      </c>
      <c r="Q82" s="184">
        <v>349.0</v>
      </c>
    </row>
    <row r="83" ht="25.5" customHeight="1" outlineLevel="1">
      <c r="A83" s="87"/>
      <c r="B83" s="87" t="s">
        <v>1265</v>
      </c>
      <c r="C83" s="87"/>
      <c r="D83" s="696" t="s">
        <v>377</v>
      </c>
      <c r="E83" s="258"/>
      <c r="F83" s="239" t="s">
        <v>1266</v>
      </c>
      <c r="G83" s="258">
        <v>150.0</v>
      </c>
      <c r="H83" s="93">
        <v>329.0</v>
      </c>
      <c r="I83" s="162">
        <v>99.0</v>
      </c>
      <c r="J83" s="158">
        <f t="shared" si="31"/>
        <v>0.3009118541</v>
      </c>
      <c r="K83" s="93">
        <f t="shared" si="32"/>
        <v>230</v>
      </c>
      <c r="L83" s="158">
        <f t="shared" si="33"/>
        <v>2.323232323</v>
      </c>
      <c r="M83" s="134"/>
      <c r="N83" s="87" t="s">
        <v>112</v>
      </c>
      <c r="O83" s="87"/>
      <c r="P83" s="93">
        <v>0.0</v>
      </c>
      <c r="Q83" s="640">
        <v>699.0</v>
      </c>
    </row>
    <row r="84" ht="25.5" customHeight="1" outlineLevel="1">
      <c r="A84" s="87"/>
      <c r="B84" s="87"/>
      <c r="C84" s="87"/>
      <c r="D84" s="696" t="s">
        <v>1267</v>
      </c>
      <c r="E84" s="258"/>
      <c r="F84" s="87"/>
      <c r="G84" s="258" t="s">
        <v>1268</v>
      </c>
      <c r="H84" s="93">
        <v>299.0</v>
      </c>
      <c r="I84" s="162">
        <v>76.35</v>
      </c>
      <c r="J84" s="158">
        <f t="shared" si="31"/>
        <v>0.2553511706</v>
      </c>
      <c r="K84" s="93">
        <f t="shared" si="32"/>
        <v>222.65</v>
      </c>
      <c r="L84" s="158">
        <f t="shared" si="33"/>
        <v>2.916175508</v>
      </c>
      <c r="M84" s="134"/>
      <c r="N84" s="87" t="s">
        <v>111</v>
      </c>
      <c r="O84" s="87"/>
      <c r="P84" s="93">
        <v>299.0</v>
      </c>
      <c r="Q84" s="184"/>
    </row>
    <row r="85" ht="25.5" customHeight="1" outlineLevel="1">
      <c r="A85" s="87"/>
      <c r="B85" s="181"/>
      <c r="C85" s="181"/>
      <c r="D85" s="696" t="s">
        <v>380</v>
      </c>
      <c r="E85" s="258"/>
      <c r="F85" s="181"/>
      <c r="G85" s="258">
        <v>60.0</v>
      </c>
      <c r="H85" s="93">
        <v>89.0</v>
      </c>
      <c r="I85" s="162">
        <v>24.0</v>
      </c>
      <c r="J85" s="158">
        <f t="shared" si="31"/>
        <v>0.2696629213</v>
      </c>
      <c r="K85" s="93">
        <f t="shared" si="32"/>
        <v>65</v>
      </c>
      <c r="L85" s="158">
        <f t="shared" si="33"/>
        <v>2.708333333</v>
      </c>
      <c r="M85" s="134"/>
      <c r="N85" s="87" t="s">
        <v>112</v>
      </c>
      <c r="O85" s="87"/>
      <c r="P85" s="93">
        <v>89.0</v>
      </c>
      <c r="Q85" s="93">
        <v>79.0</v>
      </c>
    </row>
    <row r="86" ht="25.5" customHeight="1">
      <c r="A86" s="86"/>
      <c r="B86" s="615" t="str">
        <f>"Соусы, допы и хлеб "&amp;COUNTA(D87:D108)&amp;" шт"</f>
        <v>Соусы, допы и хлеб 22 шт</v>
      </c>
      <c r="C86" s="681"/>
      <c r="D86" s="614"/>
      <c r="E86" s="682"/>
      <c r="F86" s="681"/>
      <c r="G86" s="682"/>
      <c r="H86" s="645"/>
      <c r="I86" s="683"/>
      <c r="J86" s="648">
        <f>AVERAGE(J87:J108)</f>
        <v>0.1958520828</v>
      </c>
      <c r="K86" s="86"/>
      <c r="L86" s="648"/>
      <c r="M86" s="670"/>
      <c r="N86" s="86"/>
      <c r="O86" s="86"/>
      <c r="P86" s="645"/>
      <c r="Q86" s="645"/>
    </row>
    <row r="87" ht="25.5" customHeight="1" outlineLevel="1">
      <c r="A87" s="87"/>
      <c r="B87" s="89"/>
      <c r="C87" s="181"/>
      <c r="D87" s="696" t="s">
        <v>381</v>
      </c>
      <c r="E87" s="258"/>
      <c r="F87" s="181"/>
      <c r="G87" s="258">
        <v>50.0</v>
      </c>
      <c r="H87" s="93">
        <v>59.0</v>
      </c>
      <c r="I87" s="162">
        <v>10.1</v>
      </c>
      <c r="J87" s="158">
        <f t="shared" ref="J87:J108" si="34">I87/H87</f>
        <v>0.1711864407</v>
      </c>
      <c r="K87" s="93">
        <f t="shared" ref="K87:K108" si="35">H87-I87</f>
        <v>48.9</v>
      </c>
      <c r="L87" s="158">
        <f t="shared" ref="L87:L108" si="36">H87/I87-1</f>
        <v>4.841584158</v>
      </c>
      <c r="M87" s="93">
        <v>59.0</v>
      </c>
      <c r="N87" s="87" t="s">
        <v>111</v>
      </c>
      <c r="O87" s="87"/>
      <c r="P87" s="93">
        <v>59.0</v>
      </c>
      <c r="Q87" s="93">
        <v>59.0</v>
      </c>
    </row>
    <row r="88" ht="25.5" customHeight="1" outlineLevel="1">
      <c r="A88" s="87"/>
      <c r="B88" s="89"/>
      <c r="C88" s="181"/>
      <c r="D88" s="696" t="s">
        <v>1136</v>
      </c>
      <c r="E88" s="258"/>
      <c r="F88" s="181"/>
      <c r="G88" s="258">
        <v>30.0</v>
      </c>
      <c r="H88" s="93">
        <v>69.0</v>
      </c>
      <c r="I88" s="162">
        <v>17.9</v>
      </c>
      <c r="J88" s="158">
        <f t="shared" si="34"/>
        <v>0.2594202899</v>
      </c>
      <c r="K88" s="93">
        <f t="shared" si="35"/>
        <v>51.1</v>
      </c>
      <c r="L88" s="158">
        <f t="shared" si="36"/>
        <v>2.854748603</v>
      </c>
      <c r="M88" s="93">
        <v>69.0</v>
      </c>
      <c r="N88" s="87" t="s">
        <v>111</v>
      </c>
      <c r="O88" s="87"/>
      <c r="P88" s="93">
        <v>69.0</v>
      </c>
      <c r="Q88" s="93">
        <v>69.0</v>
      </c>
    </row>
    <row r="89" ht="25.5" customHeight="1" outlineLevel="1">
      <c r="A89" s="87"/>
      <c r="B89" s="89"/>
      <c r="C89" s="181"/>
      <c r="D89" s="696" t="s">
        <v>383</v>
      </c>
      <c r="E89" s="258"/>
      <c r="F89" s="181"/>
      <c r="G89" s="258">
        <v>30.0</v>
      </c>
      <c r="H89" s="93">
        <v>69.0</v>
      </c>
      <c r="I89" s="162">
        <v>20.21</v>
      </c>
      <c r="J89" s="158">
        <f t="shared" si="34"/>
        <v>0.2928985507</v>
      </c>
      <c r="K89" s="93">
        <f t="shared" si="35"/>
        <v>48.79</v>
      </c>
      <c r="L89" s="158">
        <f t="shared" si="36"/>
        <v>2.41415141</v>
      </c>
      <c r="M89" s="93">
        <v>69.0</v>
      </c>
      <c r="N89" s="87" t="s">
        <v>111</v>
      </c>
      <c r="O89" s="87"/>
      <c r="P89" s="93">
        <v>69.0</v>
      </c>
      <c r="Q89" s="93">
        <v>69.0</v>
      </c>
    </row>
    <row r="90" ht="25.5" customHeight="1" outlineLevel="1">
      <c r="A90" s="87"/>
      <c r="B90" s="89"/>
      <c r="C90" s="181"/>
      <c r="D90" s="696" t="s">
        <v>384</v>
      </c>
      <c r="E90" s="258"/>
      <c r="F90" s="181"/>
      <c r="G90" s="258">
        <v>30.0</v>
      </c>
      <c r="H90" s="93">
        <v>59.0</v>
      </c>
      <c r="I90" s="162">
        <v>12.66</v>
      </c>
      <c r="J90" s="158">
        <f t="shared" si="34"/>
        <v>0.2145762712</v>
      </c>
      <c r="K90" s="93">
        <f t="shared" si="35"/>
        <v>46.34</v>
      </c>
      <c r="L90" s="158">
        <f t="shared" si="36"/>
        <v>3.660347551</v>
      </c>
      <c r="M90" s="93">
        <v>59.0</v>
      </c>
      <c r="N90" s="87" t="s">
        <v>111</v>
      </c>
      <c r="O90" s="87"/>
      <c r="P90" s="93">
        <v>59.0</v>
      </c>
      <c r="Q90" s="93">
        <v>59.0</v>
      </c>
    </row>
    <row r="91" ht="25.5" customHeight="1" outlineLevel="1">
      <c r="A91" s="87"/>
      <c r="B91" s="89"/>
      <c r="C91" s="181"/>
      <c r="D91" s="696" t="s">
        <v>385</v>
      </c>
      <c r="E91" s="258"/>
      <c r="F91" s="181"/>
      <c r="G91" s="258">
        <v>30.0</v>
      </c>
      <c r="H91" s="93">
        <v>69.0</v>
      </c>
      <c r="I91" s="162">
        <v>12.95</v>
      </c>
      <c r="J91" s="158">
        <f t="shared" si="34"/>
        <v>0.1876811594</v>
      </c>
      <c r="K91" s="93">
        <f t="shared" si="35"/>
        <v>56.05</v>
      </c>
      <c r="L91" s="158">
        <f t="shared" si="36"/>
        <v>4.328185328</v>
      </c>
      <c r="M91" s="93">
        <v>69.0</v>
      </c>
      <c r="N91" s="87" t="s">
        <v>111</v>
      </c>
      <c r="O91" s="87"/>
      <c r="P91" s="93">
        <v>69.0</v>
      </c>
      <c r="Q91" s="93">
        <v>69.0</v>
      </c>
    </row>
    <row r="92" ht="25.5" customHeight="1" outlineLevel="1">
      <c r="A92" s="87"/>
      <c r="B92" s="89"/>
      <c r="C92" s="181"/>
      <c r="D92" s="696" t="s">
        <v>386</v>
      </c>
      <c r="E92" s="258"/>
      <c r="F92" s="181"/>
      <c r="G92" s="258">
        <v>15.0</v>
      </c>
      <c r="H92" s="93">
        <v>59.0</v>
      </c>
      <c r="I92" s="162">
        <v>8.11</v>
      </c>
      <c r="J92" s="158">
        <f t="shared" si="34"/>
        <v>0.1374576271</v>
      </c>
      <c r="K92" s="93">
        <f t="shared" si="35"/>
        <v>50.89</v>
      </c>
      <c r="L92" s="158">
        <f t="shared" si="36"/>
        <v>6.274969174</v>
      </c>
      <c r="M92" s="93">
        <v>59.0</v>
      </c>
      <c r="N92" s="87" t="s">
        <v>111</v>
      </c>
      <c r="O92" s="87"/>
      <c r="P92" s="93">
        <v>59.0</v>
      </c>
      <c r="Q92" s="93">
        <v>59.0</v>
      </c>
    </row>
    <row r="93" ht="25.5" customHeight="1" outlineLevel="1">
      <c r="A93" s="87"/>
      <c r="B93" s="89"/>
      <c r="C93" s="181"/>
      <c r="D93" s="696" t="s">
        <v>387</v>
      </c>
      <c r="E93" s="258"/>
      <c r="F93" s="181"/>
      <c r="G93" s="258">
        <v>30.0</v>
      </c>
      <c r="H93" s="93">
        <v>59.0</v>
      </c>
      <c r="I93" s="162">
        <v>12.36</v>
      </c>
      <c r="J93" s="158">
        <f t="shared" si="34"/>
        <v>0.2094915254</v>
      </c>
      <c r="K93" s="93">
        <f t="shared" si="35"/>
        <v>46.64</v>
      </c>
      <c r="L93" s="158">
        <f t="shared" si="36"/>
        <v>3.773462783</v>
      </c>
      <c r="M93" s="93">
        <v>59.0</v>
      </c>
      <c r="N93" s="87" t="s">
        <v>111</v>
      </c>
      <c r="O93" s="87"/>
      <c r="P93" s="93">
        <v>59.0</v>
      </c>
      <c r="Q93" s="93">
        <v>59.0</v>
      </c>
    </row>
    <row r="94" ht="25.5" customHeight="1" outlineLevel="1">
      <c r="A94" s="87"/>
      <c r="B94" s="181"/>
      <c r="C94" s="181"/>
      <c r="D94" s="696" t="s">
        <v>482</v>
      </c>
      <c r="E94" s="258"/>
      <c r="F94" s="181"/>
      <c r="G94" s="258">
        <v>30.0</v>
      </c>
      <c r="H94" s="93">
        <v>59.0</v>
      </c>
      <c r="I94" s="162">
        <v>7.34</v>
      </c>
      <c r="J94" s="158">
        <f t="shared" si="34"/>
        <v>0.1244067797</v>
      </c>
      <c r="K94" s="93">
        <f t="shared" si="35"/>
        <v>51.66</v>
      </c>
      <c r="L94" s="158">
        <f t="shared" si="36"/>
        <v>7.038147139</v>
      </c>
      <c r="M94" s="93">
        <v>59.0</v>
      </c>
      <c r="N94" s="87" t="s">
        <v>111</v>
      </c>
      <c r="O94" s="87"/>
      <c r="P94" s="93">
        <v>59.0</v>
      </c>
      <c r="Q94" s="93">
        <v>59.0</v>
      </c>
    </row>
    <row r="95" ht="25.5" customHeight="1" outlineLevel="1">
      <c r="A95" s="87"/>
      <c r="B95" s="181"/>
      <c r="C95" s="181"/>
      <c r="D95" s="696" t="s">
        <v>1137</v>
      </c>
      <c r="E95" s="258"/>
      <c r="F95" s="181"/>
      <c r="G95" s="258">
        <v>30.0</v>
      </c>
      <c r="H95" s="93">
        <v>59.0</v>
      </c>
      <c r="I95" s="162">
        <v>6.51</v>
      </c>
      <c r="J95" s="158">
        <f t="shared" si="34"/>
        <v>0.1103389831</v>
      </c>
      <c r="K95" s="93">
        <f t="shared" si="35"/>
        <v>52.49</v>
      </c>
      <c r="L95" s="158">
        <f t="shared" si="36"/>
        <v>8.062980031</v>
      </c>
      <c r="M95" s="93">
        <v>59.0</v>
      </c>
      <c r="N95" s="87" t="s">
        <v>111</v>
      </c>
      <c r="O95" s="87"/>
      <c r="P95" s="93">
        <v>59.0</v>
      </c>
      <c r="Q95" s="93">
        <v>59.0</v>
      </c>
    </row>
    <row r="96" ht="25.5" customHeight="1" outlineLevel="1">
      <c r="A96" s="87"/>
      <c r="B96" s="181"/>
      <c r="C96" s="181"/>
      <c r="D96" s="696" t="s">
        <v>484</v>
      </c>
      <c r="E96" s="258"/>
      <c r="F96" s="181"/>
      <c r="G96" s="258">
        <v>30.0</v>
      </c>
      <c r="H96" s="93">
        <v>59.0</v>
      </c>
      <c r="I96" s="162">
        <v>15.8</v>
      </c>
      <c r="J96" s="158">
        <f t="shared" si="34"/>
        <v>0.2677966102</v>
      </c>
      <c r="K96" s="93">
        <f t="shared" si="35"/>
        <v>43.2</v>
      </c>
      <c r="L96" s="158">
        <f t="shared" si="36"/>
        <v>2.734177215</v>
      </c>
      <c r="M96" s="93">
        <v>59.0</v>
      </c>
      <c r="N96" s="87" t="s">
        <v>111</v>
      </c>
      <c r="O96" s="87"/>
      <c r="P96" s="93">
        <v>59.0</v>
      </c>
      <c r="Q96" s="93">
        <v>59.0</v>
      </c>
    </row>
    <row r="97" ht="25.5" customHeight="1" outlineLevel="1">
      <c r="A97" s="87"/>
      <c r="B97" s="181"/>
      <c r="C97" s="181"/>
      <c r="D97" s="696" t="s">
        <v>1138</v>
      </c>
      <c r="E97" s="258"/>
      <c r="F97" s="181"/>
      <c r="G97" s="258">
        <v>30.0</v>
      </c>
      <c r="H97" s="93">
        <v>59.0</v>
      </c>
      <c r="I97" s="162">
        <v>9.07</v>
      </c>
      <c r="J97" s="158">
        <f t="shared" si="34"/>
        <v>0.1537288136</v>
      </c>
      <c r="K97" s="93">
        <f t="shared" si="35"/>
        <v>49.93</v>
      </c>
      <c r="L97" s="158">
        <f t="shared" si="36"/>
        <v>5.504961411</v>
      </c>
      <c r="M97" s="93">
        <v>59.0</v>
      </c>
      <c r="N97" s="87" t="s">
        <v>111</v>
      </c>
      <c r="O97" s="87"/>
      <c r="P97" s="93">
        <v>59.0</v>
      </c>
      <c r="Q97" s="93">
        <v>59.0</v>
      </c>
    </row>
    <row r="98" ht="25.5" customHeight="1" outlineLevel="1">
      <c r="A98" s="87"/>
      <c r="B98" s="181"/>
      <c r="C98" s="181"/>
      <c r="D98" s="696" t="s">
        <v>486</v>
      </c>
      <c r="E98" s="258"/>
      <c r="F98" s="181"/>
      <c r="G98" s="258">
        <v>30.0</v>
      </c>
      <c r="H98" s="93">
        <v>59.0</v>
      </c>
      <c r="I98" s="162">
        <v>13.22</v>
      </c>
      <c r="J98" s="158">
        <f t="shared" si="34"/>
        <v>0.2240677966</v>
      </c>
      <c r="K98" s="93">
        <f t="shared" si="35"/>
        <v>45.78</v>
      </c>
      <c r="L98" s="158">
        <f t="shared" si="36"/>
        <v>3.462934947</v>
      </c>
      <c r="M98" s="93">
        <v>59.0</v>
      </c>
      <c r="N98" s="87" t="s">
        <v>111</v>
      </c>
      <c r="O98" s="87"/>
      <c r="P98" s="93">
        <v>59.0</v>
      </c>
      <c r="Q98" s="93">
        <v>59.0</v>
      </c>
    </row>
    <row r="99" ht="25.5" customHeight="1" outlineLevel="1">
      <c r="A99" s="87"/>
      <c r="B99" s="181"/>
      <c r="C99" s="181"/>
      <c r="D99" s="696" t="s">
        <v>487</v>
      </c>
      <c r="E99" s="258"/>
      <c r="F99" s="181"/>
      <c r="G99" s="258">
        <v>30.0</v>
      </c>
      <c r="H99" s="93">
        <v>59.0</v>
      </c>
      <c r="I99" s="162">
        <v>5.38</v>
      </c>
      <c r="J99" s="158">
        <f t="shared" si="34"/>
        <v>0.09118644068</v>
      </c>
      <c r="K99" s="93">
        <f t="shared" si="35"/>
        <v>53.62</v>
      </c>
      <c r="L99" s="158">
        <f t="shared" si="36"/>
        <v>9.966542751</v>
      </c>
      <c r="M99" s="93">
        <v>59.0</v>
      </c>
      <c r="N99" s="87" t="s">
        <v>111</v>
      </c>
      <c r="O99" s="87"/>
      <c r="P99" s="93">
        <v>59.0</v>
      </c>
      <c r="Q99" s="93">
        <v>59.0</v>
      </c>
    </row>
    <row r="100" ht="25.5" customHeight="1" outlineLevel="1">
      <c r="A100" s="87"/>
      <c r="B100" s="181"/>
      <c r="C100" s="181"/>
      <c r="D100" s="696" t="s">
        <v>488</v>
      </c>
      <c r="E100" s="258"/>
      <c r="F100" s="181"/>
      <c r="G100" s="258">
        <v>30.0</v>
      </c>
      <c r="H100" s="93">
        <v>59.0</v>
      </c>
      <c r="I100" s="162">
        <v>15.89</v>
      </c>
      <c r="J100" s="158">
        <f t="shared" si="34"/>
        <v>0.2693220339</v>
      </c>
      <c r="K100" s="93">
        <f t="shared" si="35"/>
        <v>43.11</v>
      </c>
      <c r="L100" s="158">
        <f t="shared" si="36"/>
        <v>2.713027061</v>
      </c>
      <c r="M100" s="93">
        <v>59.0</v>
      </c>
      <c r="N100" s="87" t="s">
        <v>111</v>
      </c>
      <c r="O100" s="87"/>
      <c r="P100" s="93">
        <v>59.0</v>
      </c>
      <c r="Q100" s="93">
        <v>59.0</v>
      </c>
    </row>
    <row r="101" ht="25.5" customHeight="1" outlineLevel="1">
      <c r="A101" s="87"/>
      <c r="B101" s="181"/>
      <c r="C101" s="181"/>
      <c r="D101" s="696" t="s">
        <v>489</v>
      </c>
      <c r="E101" s="258"/>
      <c r="F101" s="181"/>
      <c r="G101" s="258">
        <v>30.0</v>
      </c>
      <c r="H101" s="93">
        <v>59.0</v>
      </c>
      <c r="I101" s="162">
        <v>9.39</v>
      </c>
      <c r="J101" s="158">
        <f t="shared" si="34"/>
        <v>0.1591525424</v>
      </c>
      <c r="K101" s="93">
        <f t="shared" si="35"/>
        <v>49.61</v>
      </c>
      <c r="L101" s="158">
        <f t="shared" si="36"/>
        <v>5.283280085</v>
      </c>
      <c r="M101" s="93">
        <v>59.0</v>
      </c>
      <c r="N101" s="87" t="s">
        <v>111</v>
      </c>
      <c r="O101" s="87"/>
      <c r="P101" s="93">
        <v>59.0</v>
      </c>
      <c r="Q101" s="93">
        <v>59.0</v>
      </c>
    </row>
    <row r="102" ht="25.5" customHeight="1" outlineLevel="1">
      <c r="A102" s="87"/>
      <c r="B102" s="181"/>
      <c r="C102" s="181"/>
      <c r="D102" s="696" t="s">
        <v>490</v>
      </c>
      <c r="E102" s="258"/>
      <c r="F102" s="181"/>
      <c r="G102" s="258">
        <v>30.0</v>
      </c>
      <c r="H102" s="93">
        <v>59.0</v>
      </c>
      <c r="I102" s="162">
        <v>9.57</v>
      </c>
      <c r="J102" s="158">
        <f t="shared" si="34"/>
        <v>0.1622033898</v>
      </c>
      <c r="K102" s="93">
        <f t="shared" si="35"/>
        <v>49.43</v>
      </c>
      <c r="L102" s="158">
        <f t="shared" si="36"/>
        <v>5.165099269</v>
      </c>
      <c r="M102" s="93">
        <v>59.0</v>
      </c>
      <c r="N102" s="87" t="s">
        <v>111</v>
      </c>
      <c r="O102" s="87"/>
      <c r="P102" s="93">
        <v>59.0</v>
      </c>
      <c r="Q102" s="93">
        <v>59.0</v>
      </c>
    </row>
    <row r="103" ht="25.5" customHeight="1" outlineLevel="1">
      <c r="A103" s="87"/>
      <c r="B103" s="181"/>
      <c r="C103" s="181"/>
      <c r="D103" s="696" t="s">
        <v>491</v>
      </c>
      <c r="E103" s="258"/>
      <c r="F103" s="181"/>
      <c r="G103" s="258">
        <v>30.0</v>
      </c>
      <c r="H103" s="93">
        <v>59.0</v>
      </c>
      <c r="I103" s="162">
        <v>7.99</v>
      </c>
      <c r="J103" s="158">
        <f t="shared" si="34"/>
        <v>0.1354237288</v>
      </c>
      <c r="K103" s="93">
        <f t="shared" si="35"/>
        <v>51.01</v>
      </c>
      <c r="L103" s="158">
        <f t="shared" si="36"/>
        <v>6.384230288</v>
      </c>
      <c r="M103" s="93">
        <v>59.0</v>
      </c>
      <c r="N103" s="87" t="s">
        <v>111</v>
      </c>
      <c r="O103" s="87"/>
      <c r="P103" s="93">
        <v>59.0</v>
      </c>
      <c r="Q103" s="93">
        <v>59.0</v>
      </c>
    </row>
    <row r="104" ht="25.5" customHeight="1" outlineLevel="1">
      <c r="A104" s="87"/>
      <c r="B104" s="181"/>
      <c r="C104" s="181"/>
      <c r="D104" s="696" t="s">
        <v>1139</v>
      </c>
      <c r="E104" s="258"/>
      <c r="F104" s="181"/>
      <c r="G104" s="258">
        <v>30.0</v>
      </c>
      <c r="H104" s="93">
        <v>59.0</v>
      </c>
      <c r="I104" s="162">
        <v>9.0</v>
      </c>
      <c r="J104" s="158">
        <f t="shared" si="34"/>
        <v>0.1525423729</v>
      </c>
      <c r="K104" s="93">
        <f t="shared" si="35"/>
        <v>50</v>
      </c>
      <c r="L104" s="158">
        <f t="shared" si="36"/>
        <v>5.555555556</v>
      </c>
      <c r="M104" s="93">
        <v>59.0</v>
      </c>
      <c r="N104" s="87" t="s">
        <v>111</v>
      </c>
      <c r="O104" s="87"/>
      <c r="P104" s="93">
        <v>59.0</v>
      </c>
      <c r="Q104" s="93">
        <v>59.0</v>
      </c>
    </row>
    <row r="105" ht="25.5" customHeight="1" outlineLevel="1">
      <c r="A105" s="87"/>
      <c r="B105" s="181"/>
      <c r="C105" s="181"/>
      <c r="D105" s="696" t="s">
        <v>492</v>
      </c>
      <c r="E105" s="258"/>
      <c r="F105" s="181"/>
      <c r="G105" s="258">
        <v>30.0</v>
      </c>
      <c r="H105" s="93">
        <v>59.0</v>
      </c>
      <c r="I105" s="162">
        <v>14.72</v>
      </c>
      <c r="J105" s="158">
        <f t="shared" si="34"/>
        <v>0.2494915254</v>
      </c>
      <c r="K105" s="93">
        <f t="shared" si="35"/>
        <v>44.28</v>
      </c>
      <c r="L105" s="158">
        <f t="shared" si="36"/>
        <v>3.008152174</v>
      </c>
      <c r="M105" s="93">
        <v>59.0</v>
      </c>
      <c r="N105" s="87" t="s">
        <v>111</v>
      </c>
      <c r="O105" s="87"/>
      <c r="P105" s="93">
        <v>59.0</v>
      </c>
      <c r="Q105" s="93">
        <v>59.0</v>
      </c>
    </row>
    <row r="106" ht="25.5" customHeight="1" outlineLevel="1">
      <c r="A106" s="87"/>
      <c r="B106" s="181"/>
      <c r="C106" s="181" t="s">
        <v>401</v>
      </c>
      <c r="D106" s="696" t="s">
        <v>1140</v>
      </c>
      <c r="E106" s="258"/>
      <c r="F106" s="181" t="s">
        <v>401</v>
      </c>
      <c r="G106" s="258">
        <v>120.0</v>
      </c>
      <c r="H106" s="93">
        <v>99.0</v>
      </c>
      <c r="I106" s="162">
        <v>29.0</v>
      </c>
      <c r="J106" s="158">
        <f t="shared" si="34"/>
        <v>0.2929292929</v>
      </c>
      <c r="K106" s="93">
        <f t="shared" si="35"/>
        <v>70</v>
      </c>
      <c r="L106" s="158">
        <f t="shared" si="36"/>
        <v>2.413793103</v>
      </c>
      <c r="M106" s="134"/>
      <c r="N106" s="87" t="s">
        <v>112</v>
      </c>
      <c r="O106" s="87"/>
      <c r="P106" s="93">
        <v>99.0</v>
      </c>
      <c r="Q106" s="93">
        <v>99.0</v>
      </c>
    </row>
    <row r="107" ht="25.5" customHeight="1" outlineLevel="1">
      <c r="A107" s="87"/>
      <c r="B107" s="181"/>
      <c r="C107" s="181"/>
      <c r="D107" s="696" t="s">
        <v>1141</v>
      </c>
      <c r="E107" s="258"/>
      <c r="F107" s="181"/>
      <c r="G107" s="258">
        <v>80.0</v>
      </c>
      <c r="H107" s="93">
        <v>29.0</v>
      </c>
      <c r="I107" s="162">
        <v>4.88</v>
      </c>
      <c r="J107" s="158">
        <f t="shared" si="34"/>
        <v>0.1682758621</v>
      </c>
      <c r="K107" s="93">
        <f t="shared" si="35"/>
        <v>24.12</v>
      </c>
      <c r="L107" s="158">
        <f t="shared" si="36"/>
        <v>4.942622951</v>
      </c>
      <c r="M107" s="134">
        <v>29.0</v>
      </c>
      <c r="N107" s="87" t="s">
        <v>111</v>
      </c>
      <c r="O107" s="87"/>
      <c r="P107" s="93">
        <v>29.0</v>
      </c>
      <c r="Q107" s="93">
        <v>29.0</v>
      </c>
    </row>
    <row r="108" ht="25.5" customHeight="1" outlineLevel="1">
      <c r="A108" s="87"/>
      <c r="B108" s="181"/>
      <c r="C108" s="181" t="s">
        <v>1143</v>
      </c>
      <c r="D108" s="696" t="s">
        <v>1142</v>
      </c>
      <c r="E108" s="258"/>
      <c r="F108" s="181" t="s">
        <v>1143</v>
      </c>
      <c r="G108" s="258">
        <v>140.0</v>
      </c>
      <c r="H108" s="93">
        <v>149.0</v>
      </c>
      <c r="I108" s="162">
        <v>41.0</v>
      </c>
      <c r="J108" s="158">
        <f t="shared" si="34"/>
        <v>0.2751677852</v>
      </c>
      <c r="K108" s="93">
        <f t="shared" si="35"/>
        <v>108</v>
      </c>
      <c r="L108" s="158">
        <f t="shared" si="36"/>
        <v>2.634146341</v>
      </c>
      <c r="M108" s="134">
        <v>199.0</v>
      </c>
      <c r="N108" s="87" t="s">
        <v>111</v>
      </c>
      <c r="O108" s="87"/>
      <c r="P108" s="93">
        <v>149.0</v>
      </c>
      <c r="Q108" s="93">
        <v>149.0</v>
      </c>
    </row>
    <row r="109" ht="25.5" customHeight="1" collapsed="1">
      <c r="A109" s="86"/>
      <c r="B109" s="615" t="str">
        <f>"Детское меню "&amp;COUNTA(D111:D120)&amp;" шт"</f>
        <v>Детское меню 10 шт</v>
      </c>
      <c r="C109" s="681"/>
      <c r="D109" s="614" t="s">
        <v>1144</v>
      </c>
      <c r="E109" s="682"/>
      <c r="F109" s="681"/>
      <c r="G109" s="682"/>
      <c r="H109" s="645"/>
      <c r="I109" s="683"/>
      <c r="J109" s="648">
        <f>AVERAGE(J110:J120)</f>
        <v>0.2468335488</v>
      </c>
      <c r="K109" s="86"/>
      <c r="L109" s="648"/>
      <c r="M109" s="670"/>
      <c r="N109" s="86"/>
      <c r="O109" s="86"/>
      <c r="P109" s="645"/>
      <c r="Q109" s="645"/>
    </row>
    <row r="110" ht="25.5" hidden="1" customHeight="1" outlineLevel="1">
      <c r="A110" s="87"/>
      <c r="B110" s="181"/>
      <c r="C110" s="684" t="s">
        <v>427</v>
      </c>
      <c r="D110" s="696" t="s">
        <v>426</v>
      </c>
      <c r="E110" s="258"/>
      <c r="F110" s="691" t="s">
        <v>427</v>
      </c>
      <c r="G110" s="258">
        <v>250.0</v>
      </c>
      <c r="H110" s="93">
        <v>329.0</v>
      </c>
      <c r="I110" s="162">
        <v>77.0</v>
      </c>
      <c r="J110" s="158">
        <f t="shared" ref="J110:J112" si="37">I110/H110</f>
        <v>0.2340425532</v>
      </c>
      <c r="K110" s="93">
        <f t="shared" ref="K110:K112" si="38">H110-I110</f>
        <v>252</v>
      </c>
      <c r="L110" s="158">
        <f t="shared" ref="L110:L120" si="39">H110/I110-1</f>
        <v>3.272727273</v>
      </c>
      <c r="M110" s="134">
        <v>399.0</v>
      </c>
      <c r="N110" s="87" t="s">
        <v>111</v>
      </c>
      <c r="O110" s="87"/>
      <c r="P110" s="93">
        <v>329.0</v>
      </c>
      <c r="Q110" s="93">
        <v>289.0</v>
      </c>
    </row>
    <row r="111" ht="25.5" hidden="1" customHeight="1" outlineLevel="1">
      <c r="A111" s="87"/>
      <c r="B111" s="181"/>
      <c r="C111" s="181" t="s">
        <v>1146</v>
      </c>
      <c r="D111" s="696" t="s">
        <v>1269</v>
      </c>
      <c r="E111" s="258"/>
      <c r="F111" s="181" t="s">
        <v>1146</v>
      </c>
      <c r="G111" s="258">
        <v>300.0</v>
      </c>
      <c r="H111" s="93">
        <v>199.0</v>
      </c>
      <c r="I111" s="162">
        <v>48.0</v>
      </c>
      <c r="J111" s="158">
        <f t="shared" si="37"/>
        <v>0.2412060302</v>
      </c>
      <c r="K111" s="93">
        <f t="shared" si="38"/>
        <v>151</v>
      </c>
      <c r="L111" s="158">
        <f t="shared" si="39"/>
        <v>3.145833333</v>
      </c>
      <c r="M111" s="134">
        <v>249.0</v>
      </c>
      <c r="N111" s="87" t="s">
        <v>112</v>
      </c>
      <c r="O111" s="87"/>
      <c r="P111" s="93">
        <v>189.0</v>
      </c>
      <c r="Q111" s="93">
        <v>179.0</v>
      </c>
    </row>
    <row r="112" ht="30.75" hidden="1" customHeight="1" outlineLevel="1">
      <c r="A112" s="87"/>
      <c r="B112" s="181" t="s">
        <v>1154</v>
      </c>
      <c r="C112" s="684"/>
      <c r="D112" s="639" t="s">
        <v>1155</v>
      </c>
      <c r="E112" s="265"/>
      <c r="F112" s="690" t="s">
        <v>1270</v>
      </c>
      <c r="G112" s="258">
        <v>150.0</v>
      </c>
      <c r="H112" s="93">
        <v>299.0</v>
      </c>
      <c r="I112" s="162">
        <v>84.0</v>
      </c>
      <c r="J112" s="158">
        <f t="shared" si="37"/>
        <v>0.2809364548</v>
      </c>
      <c r="K112" s="93">
        <f t="shared" si="38"/>
        <v>215</v>
      </c>
      <c r="L112" s="158">
        <f t="shared" si="39"/>
        <v>2.55952381</v>
      </c>
      <c r="M112" s="134">
        <v>349.0</v>
      </c>
      <c r="N112" s="87" t="s">
        <v>112</v>
      </c>
      <c r="O112" s="87"/>
      <c r="P112" s="93">
        <v>0.0</v>
      </c>
      <c r="Q112" s="640">
        <v>159.0</v>
      </c>
    </row>
    <row r="113" ht="25.5" hidden="1" customHeight="1" outlineLevel="1">
      <c r="A113" s="87"/>
      <c r="B113" s="181" t="s">
        <v>1271</v>
      </c>
      <c r="C113" s="181"/>
      <c r="D113" s="696" t="s">
        <v>1272</v>
      </c>
      <c r="E113" s="258"/>
      <c r="F113" s="181" t="s">
        <v>1273</v>
      </c>
      <c r="G113" s="258" t="s">
        <v>1148</v>
      </c>
      <c r="H113" s="93">
        <v>199.0</v>
      </c>
      <c r="I113" s="162"/>
      <c r="J113" s="158"/>
      <c r="K113" s="87"/>
      <c r="L113" s="158" t="str">
        <f t="shared" si="39"/>
        <v>#DIV/0!</v>
      </c>
      <c r="M113" s="134">
        <v>249.0</v>
      </c>
      <c r="N113" s="87"/>
      <c r="O113" s="87"/>
      <c r="P113" s="93"/>
      <c r="Q113" s="93"/>
    </row>
    <row r="114" ht="25.5" hidden="1" customHeight="1" outlineLevel="1">
      <c r="A114" s="87"/>
      <c r="B114" s="181"/>
      <c r="C114" s="89" t="s">
        <v>406</v>
      </c>
      <c r="D114" s="696" t="s">
        <v>405</v>
      </c>
      <c r="E114" s="258"/>
      <c r="F114" s="89" t="s">
        <v>406</v>
      </c>
      <c r="G114" s="258">
        <v>150.0</v>
      </c>
      <c r="H114" s="93">
        <v>199.0</v>
      </c>
      <c r="I114" s="162">
        <v>44.0</v>
      </c>
      <c r="J114" s="158">
        <f t="shared" ref="J114:J120" si="40">I114/H114</f>
        <v>0.2211055276</v>
      </c>
      <c r="K114" s="93">
        <f t="shared" ref="K114:K120" si="41">H114-I114</f>
        <v>155</v>
      </c>
      <c r="L114" s="158">
        <f t="shared" si="39"/>
        <v>3.522727273</v>
      </c>
      <c r="M114" s="134">
        <v>229.0</v>
      </c>
      <c r="N114" s="87" t="s">
        <v>112</v>
      </c>
      <c r="O114" s="87"/>
      <c r="P114" s="93">
        <v>189.0</v>
      </c>
      <c r="Q114" s="93">
        <v>159.0</v>
      </c>
    </row>
    <row r="115" ht="25.5" hidden="1" customHeight="1" outlineLevel="1">
      <c r="A115" s="87"/>
      <c r="B115" s="181"/>
      <c r="C115" s="181" t="s">
        <v>1149</v>
      </c>
      <c r="D115" s="696" t="s">
        <v>417</v>
      </c>
      <c r="E115" s="258"/>
      <c r="F115" s="181" t="s">
        <v>1149</v>
      </c>
      <c r="G115" s="258">
        <v>180.0</v>
      </c>
      <c r="H115" s="93">
        <v>339.0</v>
      </c>
      <c r="I115" s="162">
        <v>111.0</v>
      </c>
      <c r="J115" s="158">
        <f t="shared" si="40"/>
        <v>0.3274336283</v>
      </c>
      <c r="K115" s="93">
        <f t="shared" si="41"/>
        <v>228</v>
      </c>
      <c r="L115" s="158">
        <f t="shared" si="39"/>
        <v>2.054054054</v>
      </c>
      <c r="M115" s="134">
        <v>399.0</v>
      </c>
      <c r="N115" s="87" t="s">
        <v>112</v>
      </c>
      <c r="O115" s="87"/>
      <c r="P115" s="93">
        <v>259.0</v>
      </c>
      <c r="Q115" s="93">
        <v>239.0</v>
      </c>
    </row>
    <row r="116" ht="25.5" hidden="1" customHeight="1" outlineLevel="1">
      <c r="A116" s="87"/>
      <c r="B116" s="181"/>
      <c r="C116" s="181"/>
      <c r="D116" s="696" t="s">
        <v>414</v>
      </c>
      <c r="E116" s="258"/>
      <c r="F116" s="181"/>
      <c r="G116" s="258">
        <v>320.0</v>
      </c>
      <c r="H116" s="93">
        <v>279.0</v>
      </c>
      <c r="I116" s="162">
        <v>55.0</v>
      </c>
      <c r="J116" s="158">
        <f t="shared" si="40"/>
        <v>0.1971326165</v>
      </c>
      <c r="K116" s="93">
        <f t="shared" si="41"/>
        <v>224</v>
      </c>
      <c r="L116" s="158">
        <f t="shared" si="39"/>
        <v>4.072727273</v>
      </c>
      <c r="M116" s="134">
        <v>349.0</v>
      </c>
      <c r="N116" s="87" t="s">
        <v>112</v>
      </c>
      <c r="O116" s="87"/>
      <c r="P116" s="93">
        <v>269.0</v>
      </c>
      <c r="Q116" s="93">
        <v>239.0</v>
      </c>
    </row>
    <row r="117" ht="25.5" hidden="1" customHeight="1" outlineLevel="1">
      <c r="A117" s="87"/>
      <c r="B117" s="181"/>
      <c r="C117" s="181"/>
      <c r="D117" s="696" t="s">
        <v>339</v>
      </c>
      <c r="E117" s="258"/>
      <c r="F117" s="181"/>
      <c r="G117" s="258">
        <v>320.0</v>
      </c>
      <c r="H117" s="93">
        <v>279.0</v>
      </c>
      <c r="I117" s="162">
        <v>69.0</v>
      </c>
      <c r="J117" s="158">
        <f t="shared" si="40"/>
        <v>0.247311828</v>
      </c>
      <c r="K117" s="93">
        <f t="shared" si="41"/>
        <v>210</v>
      </c>
      <c r="L117" s="158">
        <f t="shared" si="39"/>
        <v>3.043478261</v>
      </c>
      <c r="M117" s="134">
        <v>349.0</v>
      </c>
      <c r="N117" s="87" t="s">
        <v>112</v>
      </c>
      <c r="O117" s="87"/>
      <c r="P117" s="93">
        <v>269.0</v>
      </c>
      <c r="Q117" s="93"/>
    </row>
    <row r="118" ht="25.5" hidden="1" customHeight="1" outlineLevel="1">
      <c r="A118" s="87"/>
      <c r="B118" s="181"/>
      <c r="C118" s="181"/>
      <c r="D118" s="696" t="s">
        <v>332</v>
      </c>
      <c r="E118" s="258"/>
      <c r="F118" s="181"/>
      <c r="G118" s="258">
        <v>300.0</v>
      </c>
      <c r="H118" s="93">
        <v>259.0</v>
      </c>
      <c r="I118" s="162">
        <v>52.0</v>
      </c>
      <c r="J118" s="158">
        <f t="shared" si="40"/>
        <v>0.2007722008</v>
      </c>
      <c r="K118" s="93">
        <f t="shared" si="41"/>
        <v>207</v>
      </c>
      <c r="L118" s="158">
        <f t="shared" si="39"/>
        <v>3.980769231</v>
      </c>
      <c r="M118" s="134">
        <v>299.0</v>
      </c>
      <c r="N118" s="87" t="s">
        <v>112</v>
      </c>
      <c r="O118" s="87"/>
      <c r="P118" s="93">
        <v>249.0</v>
      </c>
      <c r="Q118" s="93"/>
    </row>
    <row r="119" ht="15.75" hidden="1" customHeight="1" outlineLevel="1">
      <c r="A119" s="87"/>
      <c r="B119" s="181" t="s">
        <v>1150</v>
      </c>
      <c r="C119" s="181"/>
      <c r="D119" s="639" t="s">
        <v>420</v>
      </c>
      <c r="E119" s="258"/>
      <c r="F119" s="274" t="s">
        <v>1274</v>
      </c>
      <c r="G119" s="258">
        <v>180.0</v>
      </c>
      <c r="H119" s="93">
        <v>299.0</v>
      </c>
      <c r="I119" s="162">
        <v>76.0</v>
      </c>
      <c r="J119" s="158">
        <f t="shared" si="40"/>
        <v>0.254180602</v>
      </c>
      <c r="K119" s="93">
        <f t="shared" si="41"/>
        <v>223</v>
      </c>
      <c r="L119" s="158">
        <f t="shared" si="39"/>
        <v>2.934210526</v>
      </c>
      <c r="M119" s="134">
        <v>349.0</v>
      </c>
      <c r="N119" s="87" t="s">
        <v>112</v>
      </c>
      <c r="O119" s="87"/>
      <c r="P119" s="93">
        <v>0.0</v>
      </c>
      <c r="Q119" s="640">
        <v>159.0</v>
      </c>
    </row>
    <row r="120" ht="42.0" hidden="1" customHeight="1" outlineLevel="1">
      <c r="A120" s="87"/>
      <c r="B120" s="181" t="s">
        <v>1152</v>
      </c>
      <c r="C120" s="181"/>
      <c r="D120" s="639" t="s">
        <v>1275</v>
      </c>
      <c r="E120" s="258"/>
      <c r="F120" s="274" t="s">
        <v>1276</v>
      </c>
      <c r="G120" s="258">
        <v>150.0</v>
      </c>
      <c r="H120" s="93">
        <v>299.0</v>
      </c>
      <c r="I120" s="162">
        <v>79.0</v>
      </c>
      <c r="J120" s="158">
        <f t="shared" si="40"/>
        <v>0.2642140468</v>
      </c>
      <c r="K120" s="93">
        <f t="shared" si="41"/>
        <v>220</v>
      </c>
      <c r="L120" s="158">
        <f t="shared" si="39"/>
        <v>2.784810127</v>
      </c>
      <c r="M120" s="134">
        <v>349.0</v>
      </c>
      <c r="N120" s="87" t="s">
        <v>112</v>
      </c>
      <c r="O120" s="87"/>
      <c r="P120" s="93">
        <v>0.0</v>
      </c>
      <c r="Q120" s="640">
        <v>159.0</v>
      </c>
    </row>
    <row r="121" ht="25.5" customHeight="1" collapsed="1">
      <c r="A121" s="86"/>
      <c r="B121" s="615" t="s">
        <v>1157</v>
      </c>
      <c r="C121" s="681"/>
      <c r="D121" s="614"/>
      <c r="E121" s="354"/>
      <c r="F121" s="681"/>
      <c r="G121" s="354"/>
      <c r="H121" s="645"/>
      <c r="I121" s="683"/>
      <c r="J121" s="648">
        <f>AVERAGE(J122:J141)</f>
        <v>0.2580558522</v>
      </c>
      <c r="K121" s="86"/>
      <c r="L121" s="648"/>
      <c r="M121" s="670"/>
      <c r="N121" s="86"/>
      <c r="O121" s="86"/>
      <c r="P121" s="645"/>
      <c r="Q121" s="645"/>
    </row>
    <row r="122" ht="37.5" hidden="1" customHeight="1" outlineLevel="1">
      <c r="A122" s="87"/>
      <c r="B122" s="181"/>
      <c r="C122" s="620"/>
      <c r="D122" s="696" t="s">
        <v>1158</v>
      </c>
      <c r="E122" s="258"/>
      <c r="F122" s="691"/>
      <c r="G122" s="258"/>
      <c r="H122" s="93">
        <v>2499.0</v>
      </c>
      <c r="I122" s="162">
        <v>564.64</v>
      </c>
      <c r="J122" s="158">
        <f t="shared" ref="J122:J128" si="42">I122/H122</f>
        <v>0.2259463786</v>
      </c>
      <c r="K122" s="93">
        <f t="shared" ref="K122:K128" si="43">H122-I122</f>
        <v>1934.36</v>
      </c>
      <c r="L122" s="158">
        <f t="shared" ref="L122:L128" si="44">Q122/I122-1</f>
        <v>3.425828847</v>
      </c>
      <c r="M122" s="134"/>
      <c r="N122" s="87" t="s">
        <v>112</v>
      </c>
      <c r="O122" s="87"/>
      <c r="P122" s="93">
        <v>2499.0</v>
      </c>
      <c r="Q122" s="93">
        <v>2499.0</v>
      </c>
    </row>
    <row r="123" ht="37.5" hidden="1" customHeight="1" outlineLevel="1">
      <c r="A123" s="87"/>
      <c r="B123" s="181"/>
      <c r="C123" s="620"/>
      <c r="D123" s="696" t="s">
        <v>1159</v>
      </c>
      <c r="E123" s="258"/>
      <c r="F123" s="691"/>
      <c r="G123" s="258"/>
      <c r="H123" s="93">
        <v>599.0</v>
      </c>
      <c r="I123" s="162">
        <v>167.71</v>
      </c>
      <c r="J123" s="158">
        <f t="shared" si="42"/>
        <v>0.2799833055</v>
      </c>
      <c r="K123" s="93">
        <f t="shared" si="43"/>
        <v>431.29</v>
      </c>
      <c r="L123" s="158">
        <f t="shared" si="44"/>
        <v>2.571641524</v>
      </c>
      <c r="M123" s="134"/>
      <c r="N123" s="87" t="s">
        <v>112</v>
      </c>
      <c r="O123" s="87"/>
      <c r="P123" s="93">
        <v>599.0</v>
      </c>
      <c r="Q123" s="93">
        <v>599.0</v>
      </c>
    </row>
    <row r="124" ht="37.5" hidden="1" customHeight="1" outlineLevel="1">
      <c r="A124" s="87"/>
      <c r="B124" s="181"/>
      <c r="C124" s="620"/>
      <c r="D124" s="696" t="s">
        <v>1160</v>
      </c>
      <c r="E124" s="258"/>
      <c r="F124" s="691"/>
      <c r="G124" s="258"/>
      <c r="H124" s="93">
        <v>499.0</v>
      </c>
      <c r="I124" s="162">
        <v>110.0</v>
      </c>
      <c r="J124" s="158">
        <f t="shared" si="42"/>
        <v>0.2204408818</v>
      </c>
      <c r="K124" s="93">
        <f t="shared" si="43"/>
        <v>389</v>
      </c>
      <c r="L124" s="158">
        <f t="shared" si="44"/>
        <v>3.536363636</v>
      </c>
      <c r="M124" s="134"/>
      <c r="N124" s="87" t="s">
        <v>112</v>
      </c>
      <c r="O124" s="87"/>
      <c r="P124" s="93">
        <v>499.0</v>
      </c>
      <c r="Q124" s="93">
        <v>499.0</v>
      </c>
    </row>
    <row r="125" ht="37.5" hidden="1" customHeight="1" outlineLevel="1">
      <c r="A125" s="87"/>
      <c r="B125" s="181"/>
      <c r="C125" s="181" t="s">
        <v>1162</v>
      </c>
      <c r="D125" s="696" t="s">
        <v>1161</v>
      </c>
      <c r="E125" s="258"/>
      <c r="F125" s="181" t="s">
        <v>1162</v>
      </c>
      <c r="G125" s="258"/>
      <c r="H125" s="93">
        <v>2699.0</v>
      </c>
      <c r="I125" s="162">
        <v>601.32</v>
      </c>
      <c r="J125" s="158">
        <f t="shared" si="42"/>
        <v>0.2227936273</v>
      </c>
      <c r="K125" s="93">
        <f t="shared" si="43"/>
        <v>2097.68</v>
      </c>
      <c r="L125" s="158">
        <f t="shared" si="44"/>
        <v>3.488458724</v>
      </c>
      <c r="M125" s="134"/>
      <c r="N125" s="87" t="s">
        <v>112</v>
      </c>
      <c r="O125" s="87"/>
      <c r="P125" s="93">
        <v>2699.0</v>
      </c>
      <c r="Q125" s="93">
        <v>2699.0</v>
      </c>
    </row>
    <row r="126" ht="43.5" hidden="1" customHeight="1" outlineLevel="1">
      <c r="A126" s="87"/>
      <c r="B126" s="181"/>
      <c r="C126" s="181" t="s">
        <v>1164</v>
      </c>
      <c r="D126" s="696" t="s">
        <v>1163</v>
      </c>
      <c r="E126" s="258"/>
      <c r="F126" s="181" t="s">
        <v>1164</v>
      </c>
      <c r="G126" s="258"/>
      <c r="H126" s="93">
        <v>6599.0</v>
      </c>
      <c r="I126" s="162">
        <v>1632.4</v>
      </c>
      <c r="J126" s="158">
        <f t="shared" si="42"/>
        <v>0.2473708138</v>
      </c>
      <c r="K126" s="93">
        <f t="shared" si="43"/>
        <v>4966.6</v>
      </c>
      <c r="L126" s="158">
        <f t="shared" si="44"/>
        <v>3.04251409</v>
      </c>
      <c r="M126" s="134"/>
      <c r="N126" s="87" t="s">
        <v>112</v>
      </c>
      <c r="O126" s="87"/>
      <c r="P126" s="93">
        <v>6599.0</v>
      </c>
      <c r="Q126" s="93">
        <v>6599.0</v>
      </c>
    </row>
    <row r="127" ht="45.0" hidden="1" customHeight="1" outlineLevel="1">
      <c r="A127" s="87"/>
      <c r="B127" s="181"/>
      <c r="C127" s="181" t="s">
        <v>1166</v>
      </c>
      <c r="D127" s="696" t="s">
        <v>1165</v>
      </c>
      <c r="E127" s="258"/>
      <c r="F127" s="181" t="s">
        <v>1166</v>
      </c>
      <c r="G127" s="258"/>
      <c r="H127" s="93">
        <v>9599.0</v>
      </c>
      <c r="I127" s="162">
        <v>2049.98</v>
      </c>
      <c r="J127" s="158">
        <f t="shared" si="42"/>
        <v>0.2135618294</v>
      </c>
      <c r="K127" s="93">
        <f t="shared" si="43"/>
        <v>7549.02</v>
      </c>
      <c r="L127" s="158">
        <f t="shared" si="44"/>
        <v>3.682484707</v>
      </c>
      <c r="M127" s="134"/>
      <c r="N127" s="87" t="s">
        <v>112</v>
      </c>
      <c r="O127" s="87"/>
      <c r="P127" s="93">
        <v>9599.0</v>
      </c>
      <c r="Q127" s="93">
        <v>9599.0</v>
      </c>
    </row>
    <row r="128" ht="38.25" hidden="1" customHeight="1" outlineLevel="1">
      <c r="A128" s="87"/>
      <c r="B128" s="181"/>
      <c r="C128" s="181" t="s">
        <v>1168</v>
      </c>
      <c r="D128" s="696" t="s">
        <v>1167</v>
      </c>
      <c r="E128" s="258"/>
      <c r="F128" s="181" t="s">
        <v>1168</v>
      </c>
      <c r="G128" s="258"/>
      <c r="H128" s="93">
        <v>6899.0</v>
      </c>
      <c r="I128" s="162">
        <v>1689.62</v>
      </c>
      <c r="J128" s="158">
        <f t="shared" si="42"/>
        <v>0.2449079577</v>
      </c>
      <c r="K128" s="93">
        <f t="shared" si="43"/>
        <v>5209.38</v>
      </c>
      <c r="L128" s="158">
        <f t="shared" si="44"/>
        <v>3.077839988</v>
      </c>
      <c r="M128" s="134"/>
      <c r="N128" s="87" t="s">
        <v>112</v>
      </c>
      <c r="O128" s="87"/>
      <c r="P128" s="93">
        <v>6899.0</v>
      </c>
      <c r="Q128" s="93">
        <v>6890.0</v>
      </c>
    </row>
    <row r="129" ht="25.5" customHeight="1" collapsed="1">
      <c r="A129" s="86"/>
      <c r="B129" s="615" t="s">
        <v>1169</v>
      </c>
      <c r="C129" s="686"/>
      <c r="D129" s="615"/>
      <c r="E129" s="682"/>
      <c r="F129" s="686"/>
      <c r="G129" s="682"/>
      <c r="H129" s="687"/>
      <c r="I129" s="686"/>
      <c r="J129" s="648">
        <f>AVERAGE(J130:J142)</f>
        <v>0.2681467288</v>
      </c>
      <c r="K129" s="86"/>
      <c r="L129" s="648"/>
      <c r="M129" s="670"/>
      <c r="N129" s="86"/>
      <c r="O129" s="86"/>
      <c r="P129" s="687"/>
      <c r="Q129" s="687"/>
    </row>
    <row r="130" ht="15.75" hidden="1" customHeight="1" outlineLevel="1">
      <c r="A130" s="87"/>
      <c r="B130" s="116"/>
      <c r="C130" s="691"/>
      <c r="D130" s="697"/>
      <c r="E130" s="258"/>
      <c r="F130" s="691"/>
      <c r="G130" s="258">
        <v>180.0</v>
      </c>
      <c r="H130" s="93">
        <v>599.0</v>
      </c>
      <c r="I130" s="162">
        <v>174.66</v>
      </c>
      <c r="J130" s="158">
        <f t="shared" ref="J130:J148" si="45">I130/H130</f>
        <v>0.2915859766</v>
      </c>
      <c r="K130" s="93">
        <f t="shared" ref="K130:K148" si="46">H130-I130</f>
        <v>424.34</v>
      </c>
      <c r="L130" s="158">
        <f t="shared" ref="L130:L148" si="47">Q130/I130-1</f>
        <v>0.482881026</v>
      </c>
      <c r="M130" s="134"/>
      <c r="N130" s="87" t="s">
        <v>112</v>
      </c>
      <c r="O130" s="87"/>
      <c r="P130" s="93">
        <v>599.0</v>
      </c>
      <c r="Q130" s="243">
        <v>259.0</v>
      </c>
    </row>
    <row r="131" ht="38.25" hidden="1" customHeight="1" outlineLevel="1">
      <c r="A131" s="87"/>
      <c r="B131" s="691"/>
      <c r="C131" s="691"/>
      <c r="D131" s="703"/>
      <c r="E131" s="258"/>
      <c r="F131" s="691"/>
      <c r="G131" s="258">
        <v>180.0</v>
      </c>
      <c r="H131" s="93">
        <v>329.0</v>
      </c>
      <c r="I131" s="162">
        <v>68.02</v>
      </c>
      <c r="J131" s="158">
        <f t="shared" si="45"/>
        <v>0.2067477204</v>
      </c>
      <c r="K131" s="93">
        <f t="shared" si="46"/>
        <v>260.98</v>
      </c>
      <c r="L131" s="158">
        <f t="shared" si="47"/>
        <v>1.925610115</v>
      </c>
      <c r="M131" s="134">
        <v>369.0</v>
      </c>
      <c r="N131" s="87" t="s">
        <v>111</v>
      </c>
      <c r="O131" s="87"/>
      <c r="P131" s="93">
        <v>329.0</v>
      </c>
      <c r="Q131" s="243">
        <v>199.0</v>
      </c>
    </row>
    <row r="132" ht="48.75" hidden="1" customHeight="1" outlineLevel="1">
      <c r="A132" s="87"/>
      <c r="B132" s="116"/>
      <c r="C132" s="691"/>
      <c r="D132" s="697"/>
      <c r="E132" s="258"/>
      <c r="F132" s="691"/>
      <c r="G132" s="258">
        <v>200.0</v>
      </c>
      <c r="H132" s="93">
        <v>299.0</v>
      </c>
      <c r="I132" s="162">
        <v>71.22</v>
      </c>
      <c r="J132" s="158">
        <f t="shared" si="45"/>
        <v>0.2381939799</v>
      </c>
      <c r="K132" s="93">
        <f t="shared" si="46"/>
        <v>227.78</v>
      </c>
      <c r="L132" s="158">
        <f t="shared" si="47"/>
        <v>-1</v>
      </c>
      <c r="M132" s="134">
        <v>339.0</v>
      </c>
      <c r="N132" s="87" t="s">
        <v>111</v>
      </c>
      <c r="O132" s="87"/>
      <c r="P132" s="93">
        <v>299.0</v>
      </c>
      <c r="Q132" s="243"/>
    </row>
    <row r="133" ht="25.5" hidden="1" customHeight="1" outlineLevel="1">
      <c r="A133" s="87"/>
      <c r="B133" s="89"/>
      <c r="C133" s="691"/>
      <c r="D133" s="696"/>
      <c r="E133" s="258"/>
      <c r="F133" s="691"/>
      <c r="G133" s="258">
        <v>150.0</v>
      </c>
      <c r="H133" s="93">
        <v>379.0</v>
      </c>
      <c r="I133" s="162">
        <v>98.86</v>
      </c>
      <c r="J133" s="158">
        <f t="shared" si="45"/>
        <v>0.2608443272</v>
      </c>
      <c r="K133" s="93">
        <f t="shared" si="46"/>
        <v>280.14</v>
      </c>
      <c r="L133" s="158">
        <f t="shared" si="47"/>
        <v>-1</v>
      </c>
      <c r="M133" s="134">
        <v>429.0</v>
      </c>
      <c r="N133" s="87" t="s">
        <v>111</v>
      </c>
      <c r="O133" s="87"/>
      <c r="P133" s="93">
        <v>379.0</v>
      </c>
      <c r="Q133" s="243"/>
    </row>
    <row r="134" ht="45.0" hidden="1" customHeight="1" outlineLevel="1">
      <c r="A134" s="87"/>
      <c r="B134" s="116"/>
      <c r="C134" s="691"/>
      <c r="D134" s="697"/>
      <c r="E134" s="258"/>
      <c r="F134" s="691"/>
      <c r="G134" s="258">
        <v>200.0</v>
      </c>
      <c r="H134" s="93">
        <v>299.0</v>
      </c>
      <c r="I134" s="162">
        <v>77.9</v>
      </c>
      <c r="J134" s="158">
        <f t="shared" si="45"/>
        <v>0.2605351171</v>
      </c>
      <c r="K134" s="93">
        <f t="shared" si="46"/>
        <v>221.1</v>
      </c>
      <c r="L134" s="158">
        <f t="shared" si="47"/>
        <v>2.453145058</v>
      </c>
      <c r="M134" s="134"/>
      <c r="N134" s="87" t="s">
        <v>112</v>
      </c>
      <c r="O134" s="87"/>
      <c r="P134" s="93">
        <v>299.0</v>
      </c>
      <c r="Q134" s="243">
        <v>269.0</v>
      </c>
    </row>
    <row r="135" ht="43.5" hidden="1" customHeight="1" outlineLevel="1">
      <c r="A135" s="87"/>
      <c r="B135" s="116"/>
      <c r="C135" s="691"/>
      <c r="D135" s="697"/>
      <c r="E135" s="258"/>
      <c r="F135" s="691"/>
      <c r="G135" s="258">
        <v>300.0</v>
      </c>
      <c r="H135" s="93">
        <v>439.0</v>
      </c>
      <c r="I135" s="162">
        <v>130.47</v>
      </c>
      <c r="J135" s="158">
        <f t="shared" si="45"/>
        <v>0.2971981777</v>
      </c>
      <c r="K135" s="93">
        <f t="shared" si="46"/>
        <v>308.53</v>
      </c>
      <c r="L135" s="158">
        <f t="shared" si="47"/>
        <v>-1</v>
      </c>
      <c r="M135" s="134">
        <v>489.0</v>
      </c>
      <c r="N135" s="87" t="s">
        <v>111</v>
      </c>
      <c r="O135" s="87"/>
      <c r="P135" s="93">
        <v>439.0</v>
      </c>
      <c r="Q135" s="243"/>
    </row>
    <row r="136" ht="37.5" hidden="1" customHeight="1" outlineLevel="1">
      <c r="A136" s="87"/>
      <c r="B136" s="116"/>
      <c r="C136" s="116"/>
      <c r="D136" s="697"/>
      <c r="E136" s="258"/>
      <c r="F136" s="116"/>
      <c r="G136" s="258">
        <v>300.0</v>
      </c>
      <c r="H136" s="93">
        <v>339.0</v>
      </c>
      <c r="I136" s="162">
        <v>67.55</v>
      </c>
      <c r="J136" s="158">
        <f t="shared" si="45"/>
        <v>0.1992625369</v>
      </c>
      <c r="K136" s="93">
        <f t="shared" si="46"/>
        <v>271.45</v>
      </c>
      <c r="L136" s="158">
        <f t="shared" si="47"/>
        <v>-1</v>
      </c>
      <c r="M136" s="134">
        <v>369.0</v>
      </c>
      <c r="N136" s="87" t="s">
        <v>111</v>
      </c>
      <c r="O136" s="87"/>
      <c r="P136" s="93">
        <v>339.0</v>
      </c>
      <c r="Q136" s="243"/>
    </row>
    <row r="137" ht="33.0" hidden="1" customHeight="1" outlineLevel="1">
      <c r="A137" s="87"/>
      <c r="B137" s="116"/>
      <c r="C137" s="116"/>
      <c r="D137" s="697"/>
      <c r="E137" s="258"/>
      <c r="F137" s="116"/>
      <c r="G137" s="258">
        <v>180.0</v>
      </c>
      <c r="H137" s="93">
        <v>399.0</v>
      </c>
      <c r="I137" s="162">
        <v>93.03</v>
      </c>
      <c r="J137" s="158">
        <f t="shared" si="45"/>
        <v>0.2331578947</v>
      </c>
      <c r="K137" s="93">
        <f t="shared" si="46"/>
        <v>305.97</v>
      </c>
      <c r="L137" s="158">
        <f t="shared" si="47"/>
        <v>-1</v>
      </c>
      <c r="M137" s="134">
        <v>399.0</v>
      </c>
      <c r="N137" s="87" t="s">
        <v>111</v>
      </c>
      <c r="O137" s="87"/>
      <c r="P137" s="93">
        <v>399.0</v>
      </c>
      <c r="Q137" s="243"/>
    </row>
    <row r="138" ht="42.75" hidden="1" customHeight="1" outlineLevel="1">
      <c r="A138" s="87"/>
      <c r="B138" s="116"/>
      <c r="C138" s="116"/>
      <c r="D138" s="697"/>
      <c r="E138" s="258"/>
      <c r="F138" s="116"/>
      <c r="G138" s="258">
        <v>300.0</v>
      </c>
      <c r="H138" s="93">
        <v>279.0</v>
      </c>
      <c r="I138" s="162">
        <v>83.66</v>
      </c>
      <c r="J138" s="158">
        <f t="shared" si="45"/>
        <v>0.2998566308</v>
      </c>
      <c r="K138" s="93">
        <f t="shared" si="46"/>
        <v>195.34</v>
      </c>
      <c r="L138" s="158">
        <f t="shared" si="47"/>
        <v>-1</v>
      </c>
      <c r="M138" s="134">
        <v>329.0</v>
      </c>
      <c r="N138" s="87" t="s">
        <v>111</v>
      </c>
      <c r="O138" s="87"/>
      <c r="P138" s="93">
        <v>279.0</v>
      </c>
      <c r="Q138" s="243"/>
    </row>
    <row r="139" ht="25.5" hidden="1" customHeight="1" outlineLevel="1">
      <c r="A139" s="87"/>
      <c r="B139" s="116"/>
      <c r="C139" s="116"/>
      <c r="D139" s="697"/>
      <c r="E139" s="258"/>
      <c r="F139" s="116"/>
      <c r="G139" s="258">
        <v>160.0</v>
      </c>
      <c r="H139" s="93">
        <v>269.0</v>
      </c>
      <c r="I139" s="162">
        <v>77.45</v>
      </c>
      <c r="J139" s="158">
        <f t="shared" si="45"/>
        <v>0.2879182156</v>
      </c>
      <c r="K139" s="93">
        <f t="shared" si="46"/>
        <v>191.55</v>
      </c>
      <c r="L139" s="158">
        <f t="shared" si="47"/>
        <v>-1</v>
      </c>
      <c r="M139" s="134">
        <v>299.0</v>
      </c>
      <c r="N139" s="87" t="s">
        <v>111</v>
      </c>
      <c r="O139" s="87"/>
      <c r="P139" s="93">
        <v>269.0</v>
      </c>
      <c r="Q139" s="243"/>
    </row>
    <row r="140" ht="35.25" hidden="1" customHeight="1" outlineLevel="1">
      <c r="A140" s="87"/>
      <c r="B140" s="116"/>
      <c r="C140" s="116"/>
      <c r="D140" s="697"/>
      <c r="E140" s="258"/>
      <c r="F140" s="116"/>
      <c r="G140" s="258">
        <v>160.0</v>
      </c>
      <c r="H140" s="93">
        <v>329.0</v>
      </c>
      <c r="I140" s="162">
        <v>94.65</v>
      </c>
      <c r="J140" s="158">
        <f t="shared" si="45"/>
        <v>0.2876899696</v>
      </c>
      <c r="K140" s="93">
        <f t="shared" si="46"/>
        <v>234.35</v>
      </c>
      <c r="L140" s="158">
        <f t="shared" si="47"/>
        <v>-1</v>
      </c>
      <c r="M140" s="134">
        <v>349.0</v>
      </c>
      <c r="N140" s="87" t="s">
        <v>111</v>
      </c>
      <c r="O140" s="87"/>
      <c r="P140" s="93">
        <v>329.0</v>
      </c>
      <c r="Q140" s="243"/>
    </row>
    <row r="141" ht="26.25" hidden="1" customHeight="1" outlineLevel="1">
      <c r="A141" s="87"/>
      <c r="B141" s="116"/>
      <c r="C141" s="116"/>
      <c r="D141" s="697"/>
      <c r="E141" s="258"/>
      <c r="F141" s="116"/>
      <c r="G141" s="258">
        <v>500.0</v>
      </c>
      <c r="H141" s="93">
        <v>999.0</v>
      </c>
      <c r="I141" s="162">
        <v>374.6</v>
      </c>
      <c r="J141" s="158">
        <f t="shared" si="45"/>
        <v>0.374974975</v>
      </c>
      <c r="K141" s="93">
        <f t="shared" si="46"/>
        <v>624.4</v>
      </c>
      <c r="L141" s="158">
        <f t="shared" si="47"/>
        <v>-0.3085958356</v>
      </c>
      <c r="M141" s="134">
        <v>1199.0</v>
      </c>
      <c r="N141" s="87" t="s">
        <v>111</v>
      </c>
      <c r="O141" s="87"/>
      <c r="P141" s="93">
        <v>999.0</v>
      </c>
      <c r="Q141" s="243">
        <v>259.0</v>
      </c>
    </row>
    <row r="142" ht="25.5" hidden="1" customHeight="1" outlineLevel="1">
      <c r="A142" s="87"/>
      <c r="B142" s="89"/>
      <c r="C142" s="116"/>
      <c r="D142" s="696"/>
      <c r="E142" s="258"/>
      <c r="F142" s="116"/>
      <c r="G142" s="258">
        <v>120.0</v>
      </c>
      <c r="H142" s="93">
        <v>379.0</v>
      </c>
      <c r="I142" s="162">
        <v>93.97</v>
      </c>
      <c r="J142" s="158">
        <f t="shared" si="45"/>
        <v>0.2479419525</v>
      </c>
      <c r="K142" s="93">
        <f t="shared" si="46"/>
        <v>285.03</v>
      </c>
      <c r="L142" s="158">
        <f t="shared" si="47"/>
        <v>4.310205385</v>
      </c>
      <c r="M142" s="134">
        <v>399.0</v>
      </c>
      <c r="N142" s="87" t="s">
        <v>111</v>
      </c>
      <c r="O142" s="87"/>
      <c r="P142" s="93">
        <v>379.0</v>
      </c>
      <c r="Q142" s="243">
        <v>499.0</v>
      </c>
    </row>
    <row r="143" ht="25.5" hidden="1" customHeight="1" outlineLevel="1">
      <c r="A143" s="87"/>
      <c r="B143" s="87"/>
      <c r="C143" s="116"/>
      <c r="D143" s="696"/>
      <c r="E143" s="258"/>
      <c r="F143" s="116"/>
      <c r="G143" s="258">
        <v>0.0</v>
      </c>
      <c r="H143" s="93">
        <v>0.0</v>
      </c>
      <c r="I143" s="162">
        <v>0.0</v>
      </c>
      <c r="J143" s="158" t="str">
        <f t="shared" si="45"/>
        <v>#DIV/0!</v>
      </c>
      <c r="K143" s="93">
        <f t="shared" si="46"/>
        <v>0</v>
      </c>
      <c r="L143" s="158" t="str">
        <f t="shared" si="47"/>
        <v>#DIV/0!</v>
      </c>
      <c r="M143" s="134"/>
      <c r="N143" s="87" t="s">
        <v>111</v>
      </c>
      <c r="O143" s="87"/>
      <c r="P143" s="93">
        <v>0.0</v>
      </c>
      <c r="Q143" s="243">
        <v>369.0</v>
      </c>
    </row>
    <row r="144" ht="25.5" hidden="1" customHeight="1" outlineLevel="1">
      <c r="A144" s="87"/>
      <c r="B144" s="87"/>
      <c r="C144" s="116"/>
      <c r="D144" s="696"/>
      <c r="E144" s="258"/>
      <c r="F144" s="116"/>
      <c r="G144" s="258">
        <v>0.0</v>
      </c>
      <c r="H144" s="93">
        <v>0.0</v>
      </c>
      <c r="I144" s="162">
        <v>0.0</v>
      </c>
      <c r="J144" s="158" t="str">
        <f t="shared" si="45"/>
        <v>#DIV/0!</v>
      </c>
      <c r="K144" s="93">
        <f t="shared" si="46"/>
        <v>0</v>
      </c>
      <c r="L144" s="158" t="str">
        <f t="shared" si="47"/>
        <v>#DIV/0!</v>
      </c>
      <c r="M144" s="134"/>
      <c r="N144" s="87"/>
      <c r="O144" s="87"/>
      <c r="P144" s="93">
        <v>0.0</v>
      </c>
      <c r="Q144" s="243"/>
    </row>
    <row r="145" ht="25.5" hidden="1" customHeight="1" outlineLevel="1">
      <c r="A145" s="87"/>
      <c r="B145" s="87"/>
      <c r="C145" s="691"/>
      <c r="D145" s="696"/>
      <c r="E145" s="258"/>
      <c r="F145" s="691"/>
      <c r="G145" s="258">
        <v>0.0</v>
      </c>
      <c r="H145" s="93">
        <v>0.0</v>
      </c>
      <c r="I145" s="162">
        <v>0.0</v>
      </c>
      <c r="J145" s="158" t="str">
        <f t="shared" si="45"/>
        <v>#DIV/0!</v>
      </c>
      <c r="K145" s="93">
        <f t="shared" si="46"/>
        <v>0</v>
      </c>
      <c r="L145" s="158" t="str">
        <f t="shared" si="47"/>
        <v>#DIV/0!</v>
      </c>
      <c r="M145" s="134"/>
      <c r="N145" s="87"/>
      <c r="O145" s="87"/>
      <c r="P145" s="93">
        <v>0.0</v>
      </c>
      <c r="Q145" s="243"/>
    </row>
    <row r="146" ht="38.25" hidden="1" customHeight="1" outlineLevel="1">
      <c r="A146" s="87"/>
      <c r="B146" s="87"/>
      <c r="C146" s="691"/>
      <c r="D146" s="696"/>
      <c r="E146" s="258"/>
      <c r="F146" s="691"/>
      <c r="G146" s="258">
        <v>0.0</v>
      </c>
      <c r="H146" s="93">
        <v>0.0</v>
      </c>
      <c r="I146" s="162">
        <v>0.0</v>
      </c>
      <c r="J146" s="158" t="str">
        <f t="shared" si="45"/>
        <v>#DIV/0!</v>
      </c>
      <c r="K146" s="93">
        <f t="shared" si="46"/>
        <v>0</v>
      </c>
      <c r="L146" s="158" t="str">
        <f t="shared" si="47"/>
        <v>#DIV/0!</v>
      </c>
      <c r="M146" s="134"/>
      <c r="N146" s="87"/>
      <c r="O146" s="87"/>
      <c r="P146" s="93">
        <v>0.0</v>
      </c>
      <c r="Q146" s="243"/>
    </row>
    <row r="147" ht="43.5" hidden="1" customHeight="1" outlineLevel="1">
      <c r="A147" s="87"/>
      <c r="B147" s="87"/>
      <c r="C147" s="691"/>
      <c r="D147" s="696"/>
      <c r="E147" s="258"/>
      <c r="F147" s="691"/>
      <c r="G147" s="258">
        <v>0.0</v>
      </c>
      <c r="H147" s="93">
        <v>0.0</v>
      </c>
      <c r="I147" s="162">
        <v>0.0</v>
      </c>
      <c r="J147" s="158" t="str">
        <f t="shared" si="45"/>
        <v>#DIV/0!</v>
      </c>
      <c r="K147" s="93">
        <f t="shared" si="46"/>
        <v>0</v>
      </c>
      <c r="L147" s="158" t="str">
        <f t="shared" si="47"/>
        <v>#DIV/0!</v>
      </c>
      <c r="M147" s="134"/>
      <c r="N147" s="87"/>
      <c r="O147" s="87"/>
      <c r="P147" s="93">
        <v>0.0</v>
      </c>
      <c r="Q147" s="243"/>
    </row>
    <row r="148" ht="25.5" hidden="1" customHeight="1" outlineLevel="1">
      <c r="A148" s="87"/>
      <c r="B148" s="87"/>
      <c r="C148" s="691"/>
      <c r="D148" s="696"/>
      <c r="E148" s="258"/>
      <c r="F148" s="691"/>
      <c r="G148" s="258">
        <v>0.0</v>
      </c>
      <c r="H148" s="93">
        <v>0.0</v>
      </c>
      <c r="I148" s="162">
        <v>0.0</v>
      </c>
      <c r="J148" s="158" t="str">
        <f t="shared" si="45"/>
        <v>#DIV/0!</v>
      </c>
      <c r="K148" s="93">
        <f t="shared" si="46"/>
        <v>0</v>
      </c>
      <c r="L148" s="158" t="str">
        <f t="shared" si="47"/>
        <v>#DIV/0!</v>
      </c>
      <c r="M148" s="134"/>
      <c r="N148" s="87"/>
      <c r="O148" s="87"/>
      <c r="P148" s="93">
        <v>0.0</v>
      </c>
      <c r="Q148" s="243">
        <v>289.0</v>
      </c>
    </row>
    <row r="149" ht="25.5" customHeight="1" collapsed="1">
      <c r="A149" s="86"/>
      <c r="B149" s="615" t="str">
        <f>"Меню праздника "&amp;COUNTA(D150:D164)&amp;" шт"</f>
        <v>Меню праздника 14 шт</v>
      </c>
      <c r="C149" s="686"/>
      <c r="D149" s="615"/>
      <c r="E149" s="682"/>
      <c r="F149" s="686"/>
      <c r="G149" s="682"/>
      <c r="H149" s="687"/>
      <c r="I149" s="683"/>
      <c r="J149" s="648"/>
      <c r="K149" s="86"/>
      <c r="L149" s="648"/>
      <c r="M149" s="670"/>
      <c r="N149" s="86"/>
      <c r="O149" s="86"/>
      <c r="P149" s="687"/>
      <c r="Q149" s="687"/>
    </row>
    <row r="150" ht="25.5" hidden="1" customHeight="1" outlineLevel="1">
      <c r="A150" s="87">
        <v>1.0</v>
      </c>
      <c r="B150" s="68"/>
      <c r="C150" s="691"/>
      <c r="D150" s="697" t="s">
        <v>450</v>
      </c>
      <c r="E150" s="258"/>
      <c r="F150" s="691"/>
      <c r="G150" s="258">
        <v>30.0</v>
      </c>
      <c r="H150" s="93">
        <v>79.0</v>
      </c>
      <c r="I150" s="162">
        <v>20.38</v>
      </c>
      <c r="J150" s="158">
        <f t="shared" ref="J150:J163" si="48">I150/H150</f>
        <v>0.2579746835</v>
      </c>
      <c r="K150" s="93">
        <f t="shared" ref="K150:K163" si="49">H150-I150</f>
        <v>58.62</v>
      </c>
      <c r="L150" s="158">
        <f t="shared" ref="L150:L163" si="50">Q150/I150-1</f>
        <v>2.876349362</v>
      </c>
      <c r="M150" s="134"/>
      <c r="N150" s="87"/>
      <c r="O150" s="87"/>
      <c r="P150" s="93">
        <v>79.0</v>
      </c>
      <c r="Q150" s="93">
        <v>79.0</v>
      </c>
    </row>
    <row r="151" ht="25.5" hidden="1" customHeight="1" outlineLevel="1">
      <c r="A151" s="87">
        <v>2.0</v>
      </c>
      <c r="B151" s="89"/>
      <c r="C151" s="691"/>
      <c r="D151" s="696" t="s">
        <v>1170</v>
      </c>
      <c r="E151" s="258"/>
      <c r="F151" s="691"/>
      <c r="G151" s="258">
        <v>40.0</v>
      </c>
      <c r="H151" s="93">
        <v>79.0</v>
      </c>
      <c r="I151" s="692">
        <v>20.2</v>
      </c>
      <c r="J151" s="158">
        <f t="shared" si="48"/>
        <v>0.2556962025</v>
      </c>
      <c r="K151" s="93">
        <f t="shared" si="49"/>
        <v>58.8</v>
      </c>
      <c r="L151" s="158">
        <f t="shared" si="50"/>
        <v>2.910891089</v>
      </c>
      <c r="M151" s="134"/>
      <c r="N151" s="87"/>
      <c r="O151" s="87"/>
      <c r="P151" s="93">
        <v>79.0</v>
      </c>
      <c r="Q151" s="93">
        <v>79.0</v>
      </c>
    </row>
    <row r="152" ht="25.5" hidden="1" customHeight="1" outlineLevel="1">
      <c r="A152" s="87">
        <v>3.0</v>
      </c>
      <c r="B152" s="89"/>
      <c r="C152" s="691"/>
      <c r="D152" s="696" t="s">
        <v>451</v>
      </c>
      <c r="E152" s="258"/>
      <c r="F152" s="691"/>
      <c r="G152" s="258">
        <v>40.0</v>
      </c>
      <c r="H152" s="93">
        <v>59.0</v>
      </c>
      <c r="I152" s="692">
        <v>11.3</v>
      </c>
      <c r="J152" s="158">
        <f t="shared" si="48"/>
        <v>0.1915254237</v>
      </c>
      <c r="K152" s="93">
        <f t="shared" si="49"/>
        <v>47.7</v>
      </c>
      <c r="L152" s="158">
        <f t="shared" si="50"/>
        <v>4.221238938</v>
      </c>
      <c r="M152" s="134"/>
      <c r="N152" s="87"/>
      <c r="O152" s="87"/>
      <c r="P152" s="93">
        <v>59.0</v>
      </c>
      <c r="Q152" s="93">
        <v>59.0</v>
      </c>
    </row>
    <row r="153" ht="25.5" hidden="1" customHeight="1" outlineLevel="1">
      <c r="A153" s="87">
        <v>5.0</v>
      </c>
      <c r="B153" s="89"/>
      <c r="C153" s="691"/>
      <c r="D153" s="696" t="s">
        <v>452</v>
      </c>
      <c r="E153" s="258"/>
      <c r="F153" s="691"/>
      <c r="G153" s="258">
        <v>50.0</v>
      </c>
      <c r="H153" s="93">
        <v>129.0</v>
      </c>
      <c r="I153" s="692">
        <v>40.72</v>
      </c>
      <c r="J153" s="158">
        <f t="shared" si="48"/>
        <v>0.3156589147</v>
      </c>
      <c r="K153" s="93">
        <f t="shared" si="49"/>
        <v>88.28</v>
      </c>
      <c r="L153" s="158">
        <f t="shared" si="50"/>
        <v>2.167976424</v>
      </c>
      <c r="M153" s="134"/>
      <c r="N153" s="87"/>
      <c r="O153" s="87"/>
      <c r="P153" s="93">
        <v>129.0</v>
      </c>
      <c r="Q153" s="93">
        <v>129.0</v>
      </c>
    </row>
    <row r="154" ht="32.25" hidden="1" customHeight="1" outlineLevel="1">
      <c r="A154" s="87">
        <v>6.0</v>
      </c>
      <c r="B154" s="89"/>
      <c r="C154" s="691"/>
      <c r="D154" s="696" t="s">
        <v>453</v>
      </c>
      <c r="E154" s="258"/>
      <c r="F154" s="691"/>
      <c r="G154" s="258">
        <v>40.0</v>
      </c>
      <c r="H154" s="93">
        <v>59.0</v>
      </c>
      <c r="I154" s="692">
        <v>13.09</v>
      </c>
      <c r="J154" s="158">
        <f t="shared" si="48"/>
        <v>0.2218644068</v>
      </c>
      <c r="K154" s="93">
        <f t="shared" si="49"/>
        <v>45.91</v>
      </c>
      <c r="L154" s="158">
        <f t="shared" si="50"/>
        <v>3.507257448</v>
      </c>
      <c r="M154" s="134"/>
      <c r="N154" s="87"/>
      <c r="O154" s="87"/>
      <c r="P154" s="93">
        <v>59.0</v>
      </c>
      <c r="Q154" s="93">
        <v>59.0</v>
      </c>
    </row>
    <row r="155" ht="32.25" hidden="1" customHeight="1" outlineLevel="1">
      <c r="A155" s="87">
        <v>7.0</v>
      </c>
      <c r="B155" s="89"/>
      <c r="C155" s="691"/>
      <c r="D155" s="696" t="s">
        <v>454</v>
      </c>
      <c r="E155" s="258"/>
      <c r="F155" s="691"/>
      <c r="G155" s="258">
        <v>30.0</v>
      </c>
      <c r="H155" s="93">
        <v>99.0</v>
      </c>
      <c r="I155" s="692">
        <v>30.0</v>
      </c>
      <c r="J155" s="158">
        <f t="shared" si="48"/>
        <v>0.303030303</v>
      </c>
      <c r="K155" s="93">
        <f t="shared" si="49"/>
        <v>69</v>
      </c>
      <c r="L155" s="158">
        <f t="shared" si="50"/>
        <v>2.3</v>
      </c>
      <c r="M155" s="134"/>
      <c r="N155" s="87"/>
      <c r="O155" s="87"/>
      <c r="P155" s="93">
        <v>99.0</v>
      </c>
      <c r="Q155" s="93">
        <v>99.0</v>
      </c>
    </row>
    <row r="156" ht="31.5" hidden="1" customHeight="1" outlineLevel="1">
      <c r="A156" s="87">
        <v>8.0</v>
      </c>
      <c r="B156" s="89"/>
      <c r="C156" s="691"/>
      <c r="D156" s="696" t="s">
        <v>455</v>
      </c>
      <c r="E156" s="258"/>
      <c r="F156" s="691"/>
      <c r="G156" s="258">
        <v>30.0</v>
      </c>
      <c r="H156" s="93">
        <v>89.0</v>
      </c>
      <c r="I156" s="692">
        <v>20.65</v>
      </c>
      <c r="J156" s="158">
        <f t="shared" si="48"/>
        <v>0.2320224719</v>
      </c>
      <c r="K156" s="93">
        <f t="shared" si="49"/>
        <v>68.35</v>
      </c>
      <c r="L156" s="158">
        <f t="shared" si="50"/>
        <v>3.309927361</v>
      </c>
      <c r="M156" s="134"/>
      <c r="N156" s="87"/>
      <c r="O156" s="87"/>
      <c r="P156" s="93">
        <v>89.0</v>
      </c>
      <c r="Q156" s="93">
        <v>89.0</v>
      </c>
    </row>
    <row r="157" ht="20.25" hidden="1" customHeight="1" outlineLevel="1">
      <c r="A157" s="87">
        <v>9.0</v>
      </c>
      <c r="B157" s="89"/>
      <c r="C157" s="691"/>
      <c r="D157" s="696" t="s">
        <v>456</v>
      </c>
      <c r="E157" s="258"/>
      <c r="F157" s="691"/>
      <c r="G157" s="258">
        <v>40.0</v>
      </c>
      <c r="H157" s="93">
        <v>49.0</v>
      </c>
      <c r="I157" s="692">
        <v>12.66</v>
      </c>
      <c r="J157" s="158">
        <f t="shared" si="48"/>
        <v>0.2583673469</v>
      </c>
      <c r="K157" s="93">
        <f t="shared" si="49"/>
        <v>36.34</v>
      </c>
      <c r="L157" s="158">
        <f t="shared" si="50"/>
        <v>2.870458136</v>
      </c>
      <c r="M157" s="134"/>
      <c r="N157" s="87"/>
      <c r="O157" s="87"/>
      <c r="P157" s="93">
        <v>49.0</v>
      </c>
      <c r="Q157" s="93">
        <v>49.0</v>
      </c>
    </row>
    <row r="158" ht="27.75" hidden="1" customHeight="1" outlineLevel="1">
      <c r="A158" s="87">
        <v>10.0</v>
      </c>
      <c r="B158" s="89"/>
      <c r="C158" s="691"/>
      <c r="D158" s="696" t="s">
        <v>457</v>
      </c>
      <c r="E158" s="258"/>
      <c r="F158" s="691"/>
      <c r="G158" s="258">
        <v>50.0</v>
      </c>
      <c r="H158" s="93">
        <v>89.0</v>
      </c>
      <c r="I158" s="692">
        <v>24.75</v>
      </c>
      <c r="J158" s="158">
        <f t="shared" si="48"/>
        <v>0.2780898876</v>
      </c>
      <c r="K158" s="93">
        <f t="shared" si="49"/>
        <v>64.25</v>
      </c>
      <c r="L158" s="158">
        <f t="shared" si="50"/>
        <v>2.595959596</v>
      </c>
      <c r="M158" s="134"/>
      <c r="N158" s="87"/>
      <c r="O158" s="87"/>
      <c r="P158" s="93">
        <v>89.0</v>
      </c>
      <c r="Q158" s="93">
        <v>89.0</v>
      </c>
    </row>
    <row r="159" ht="32.25" hidden="1" customHeight="1" outlineLevel="1">
      <c r="A159" s="87">
        <v>11.0</v>
      </c>
      <c r="B159" s="89"/>
      <c r="C159" s="691"/>
      <c r="D159" s="696" t="s">
        <v>458</v>
      </c>
      <c r="E159" s="258"/>
      <c r="F159" s="691"/>
      <c r="G159" s="258">
        <v>50.0</v>
      </c>
      <c r="H159" s="93">
        <v>179.0</v>
      </c>
      <c r="I159" s="692">
        <v>55.9</v>
      </c>
      <c r="J159" s="158">
        <f t="shared" si="48"/>
        <v>0.3122905028</v>
      </c>
      <c r="K159" s="93">
        <f t="shared" si="49"/>
        <v>123.1</v>
      </c>
      <c r="L159" s="158">
        <f t="shared" si="50"/>
        <v>2.202146691</v>
      </c>
      <c r="M159" s="134"/>
      <c r="N159" s="87"/>
      <c r="O159" s="87"/>
      <c r="P159" s="93">
        <v>179.0</v>
      </c>
      <c r="Q159" s="93">
        <v>179.0</v>
      </c>
    </row>
    <row r="160" ht="33.75" hidden="1" customHeight="1" outlineLevel="1">
      <c r="A160" s="87">
        <v>12.0</v>
      </c>
      <c r="B160" s="89"/>
      <c r="C160" s="691"/>
      <c r="D160" s="696" t="s">
        <v>459</v>
      </c>
      <c r="E160" s="258"/>
      <c r="F160" s="691"/>
      <c r="G160" s="258">
        <v>50.0</v>
      </c>
      <c r="H160" s="93">
        <v>159.0</v>
      </c>
      <c r="I160" s="692">
        <v>43.04</v>
      </c>
      <c r="J160" s="158">
        <f t="shared" si="48"/>
        <v>0.2706918239</v>
      </c>
      <c r="K160" s="93">
        <f t="shared" si="49"/>
        <v>115.96</v>
      </c>
      <c r="L160" s="158">
        <f t="shared" si="50"/>
        <v>2.694237918</v>
      </c>
      <c r="M160" s="134"/>
      <c r="N160" s="87"/>
      <c r="O160" s="87"/>
      <c r="P160" s="93">
        <v>159.0</v>
      </c>
      <c r="Q160" s="93">
        <v>159.0</v>
      </c>
    </row>
    <row r="161" ht="24.0" hidden="1" customHeight="1" outlineLevel="1">
      <c r="A161" s="87">
        <v>13.0</v>
      </c>
      <c r="B161" s="89"/>
      <c r="C161" s="691"/>
      <c r="D161" s="696" t="s">
        <v>460</v>
      </c>
      <c r="E161" s="258"/>
      <c r="F161" s="691"/>
      <c r="G161" s="258">
        <v>50.0</v>
      </c>
      <c r="H161" s="93">
        <v>169.0</v>
      </c>
      <c r="I161" s="692">
        <v>47.22</v>
      </c>
      <c r="J161" s="158">
        <f t="shared" si="48"/>
        <v>0.279408284</v>
      </c>
      <c r="K161" s="93">
        <f t="shared" si="49"/>
        <v>121.78</v>
      </c>
      <c r="L161" s="158">
        <f t="shared" si="50"/>
        <v>2.578991953</v>
      </c>
      <c r="M161" s="134"/>
      <c r="N161" s="87"/>
      <c r="O161" s="87"/>
      <c r="P161" s="93">
        <v>169.0</v>
      </c>
      <c r="Q161" s="93">
        <v>169.0</v>
      </c>
    </row>
    <row r="162" ht="25.5" hidden="1" customHeight="1" outlineLevel="1">
      <c r="A162" s="87">
        <v>14.0</v>
      </c>
      <c r="B162" s="89"/>
      <c r="C162" s="691"/>
      <c r="D162" s="697" t="s">
        <v>461</v>
      </c>
      <c r="E162" s="258"/>
      <c r="F162" s="691"/>
      <c r="G162" s="258">
        <v>50.0</v>
      </c>
      <c r="H162" s="93">
        <v>99.0</v>
      </c>
      <c r="I162" s="162">
        <v>22.77</v>
      </c>
      <c r="J162" s="158">
        <f t="shared" si="48"/>
        <v>0.23</v>
      </c>
      <c r="K162" s="93">
        <f t="shared" si="49"/>
        <v>76.23</v>
      </c>
      <c r="L162" s="158">
        <f t="shared" si="50"/>
        <v>3.347826087</v>
      </c>
      <c r="M162" s="158"/>
      <c r="N162" s="87"/>
      <c r="O162" s="87"/>
      <c r="P162" s="93">
        <v>99.0</v>
      </c>
      <c r="Q162" s="243">
        <v>99.0</v>
      </c>
    </row>
    <row r="163" ht="25.5" hidden="1" customHeight="1" outlineLevel="1">
      <c r="A163" s="87">
        <v>15.0</v>
      </c>
      <c r="B163" s="89"/>
      <c r="C163" s="691"/>
      <c r="D163" s="697" t="s">
        <v>462</v>
      </c>
      <c r="E163" s="258"/>
      <c r="F163" s="691"/>
      <c r="G163" s="258">
        <v>50.0</v>
      </c>
      <c r="H163" s="93">
        <v>99.0</v>
      </c>
      <c r="I163" s="162">
        <v>18.5</v>
      </c>
      <c r="J163" s="158">
        <f t="shared" si="48"/>
        <v>0.1868686869</v>
      </c>
      <c r="K163" s="93">
        <f t="shared" si="49"/>
        <v>80.5</v>
      </c>
      <c r="L163" s="158">
        <f t="shared" si="50"/>
        <v>4.351351351</v>
      </c>
      <c r="M163" s="158"/>
      <c r="N163" s="87"/>
      <c r="O163" s="87"/>
      <c r="P163" s="93">
        <v>99.0</v>
      </c>
      <c r="Q163" s="243">
        <v>99.0</v>
      </c>
    </row>
    <row r="164" ht="25.5" hidden="1" customHeight="1" outlineLevel="1">
      <c r="A164" s="87"/>
      <c r="B164" s="89"/>
      <c r="C164" s="691"/>
      <c r="D164" s="697"/>
      <c r="E164" s="258"/>
      <c r="F164" s="691"/>
      <c r="G164" s="258"/>
      <c r="H164" s="93"/>
      <c r="I164" s="162"/>
      <c r="J164" s="158"/>
      <c r="K164" s="87"/>
      <c r="L164" s="158"/>
      <c r="M164" s="158"/>
      <c r="N164" s="87"/>
      <c r="O164" s="87"/>
      <c r="P164" s="93"/>
      <c r="Q164" s="243"/>
    </row>
    <row r="165" ht="25.5" hidden="1" customHeight="1" outlineLevel="1">
      <c r="A165" s="87">
        <v>1.0</v>
      </c>
      <c r="B165" s="68"/>
      <c r="C165" s="691"/>
      <c r="D165" s="697" t="s">
        <v>450</v>
      </c>
      <c r="E165" s="258"/>
      <c r="F165" s="691"/>
      <c r="G165" s="258">
        <v>30.0</v>
      </c>
      <c r="H165" s="93">
        <v>79.0</v>
      </c>
      <c r="I165" s="162">
        <v>20.38</v>
      </c>
      <c r="J165" s="158">
        <f t="shared" ref="J165:J178" si="51">I165/H165</f>
        <v>0.2579746835</v>
      </c>
      <c r="K165" s="93">
        <f t="shared" ref="K165:K178" si="52">H165-I165</f>
        <v>58.62</v>
      </c>
      <c r="L165" s="158">
        <f t="shared" ref="L165:L178" si="53">Q165/I165-1</f>
        <v>2.876349362</v>
      </c>
      <c r="M165" s="134"/>
      <c r="N165" s="87"/>
      <c r="O165" s="87"/>
      <c r="P165" s="93">
        <v>79.0</v>
      </c>
      <c r="Q165" s="93">
        <v>79.0</v>
      </c>
    </row>
    <row r="166" ht="25.5" hidden="1" customHeight="1" outlineLevel="1">
      <c r="A166" s="87">
        <v>2.0</v>
      </c>
      <c r="B166" s="89"/>
      <c r="C166" s="691"/>
      <c r="D166" s="696" t="s">
        <v>1170</v>
      </c>
      <c r="E166" s="258"/>
      <c r="F166" s="691"/>
      <c r="G166" s="258">
        <v>40.0</v>
      </c>
      <c r="H166" s="93">
        <v>79.0</v>
      </c>
      <c r="I166" s="692">
        <v>20.2</v>
      </c>
      <c r="J166" s="158">
        <f t="shared" si="51"/>
        <v>0.2556962025</v>
      </c>
      <c r="K166" s="93">
        <f t="shared" si="52"/>
        <v>58.8</v>
      </c>
      <c r="L166" s="158">
        <f t="shared" si="53"/>
        <v>2.910891089</v>
      </c>
      <c r="M166" s="134"/>
      <c r="N166" s="87"/>
      <c r="O166" s="87"/>
      <c r="P166" s="93">
        <v>79.0</v>
      </c>
      <c r="Q166" s="93">
        <v>79.0</v>
      </c>
    </row>
    <row r="167" ht="25.5" hidden="1" customHeight="1" outlineLevel="1">
      <c r="A167" s="87">
        <v>3.0</v>
      </c>
      <c r="B167" s="89"/>
      <c r="C167" s="691"/>
      <c r="D167" s="696" t="s">
        <v>451</v>
      </c>
      <c r="E167" s="258"/>
      <c r="F167" s="691"/>
      <c r="G167" s="258">
        <v>40.0</v>
      </c>
      <c r="H167" s="93">
        <v>59.0</v>
      </c>
      <c r="I167" s="692">
        <v>11.3</v>
      </c>
      <c r="J167" s="158">
        <f t="shared" si="51"/>
        <v>0.1915254237</v>
      </c>
      <c r="K167" s="93">
        <f t="shared" si="52"/>
        <v>47.7</v>
      </c>
      <c r="L167" s="158">
        <f t="shared" si="53"/>
        <v>4.221238938</v>
      </c>
      <c r="M167" s="134"/>
      <c r="N167" s="87"/>
      <c r="O167" s="87"/>
      <c r="P167" s="93">
        <v>59.0</v>
      </c>
      <c r="Q167" s="93">
        <v>59.0</v>
      </c>
    </row>
    <row r="168" ht="25.5" hidden="1" customHeight="1" outlineLevel="1">
      <c r="A168" s="87">
        <v>5.0</v>
      </c>
      <c r="B168" s="89"/>
      <c r="C168" s="691"/>
      <c r="D168" s="696" t="s">
        <v>452</v>
      </c>
      <c r="E168" s="258"/>
      <c r="F168" s="691"/>
      <c r="G168" s="258">
        <v>50.0</v>
      </c>
      <c r="H168" s="93">
        <v>129.0</v>
      </c>
      <c r="I168" s="692">
        <v>40.72</v>
      </c>
      <c r="J168" s="158">
        <f t="shared" si="51"/>
        <v>0.3156589147</v>
      </c>
      <c r="K168" s="93">
        <f t="shared" si="52"/>
        <v>88.28</v>
      </c>
      <c r="L168" s="158">
        <f t="shared" si="53"/>
        <v>2.167976424</v>
      </c>
      <c r="M168" s="134"/>
      <c r="N168" s="87"/>
      <c r="O168" s="87"/>
      <c r="P168" s="93">
        <v>129.0</v>
      </c>
      <c r="Q168" s="93">
        <v>129.0</v>
      </c>
    </row>
    <row r="169" ht="32.25" hidden="1" customHeight="1" outlineLevel="1">
      <c r="A169" s="87">
        <v>6.0</v>
      </c>
      <c r="B169" s="89"/>
      <c r="C169" s="691"/>
      <c r="D169" s="696" t="s">
        <v>453</v>
      </c>
      <c r="E169" s="258"/>
      <c r="F169" s="691"/>
      <c r="G169" s="258">
        <v>40.0</v>
      </c>
      <c r="H169" s="93">
        <v>59.0</v>
      </c>
      <c r="I169" s="692">
        <v>13.09</v>
      </c>
      <c r="J169" s="158">
        <f t="shared" si="51"/>
        <v>0.2218644068</v>
      </c>
      <c r="K169" s="93">
        <f t="shared" si="52"/>
        <v>45.91</v>
      </c>
      <c r="L169" s="158">
        <f t="shared" si="53"/>
        <v>3.507257448</v>
      </c>
      <c r="M169" s="134"/>
      <c r="N169" s="87"/>
      <c r="O169" s="87"/>
      <c r="P169" s="93">
        <v>59.0</v>
      </c>
      <c r="Q169" s="93">
        <v>59.0</v>
      </c>
    </row>
    <row r="170" ht="32.25" hidden="1" customHeight="1" outlineLevel="1">
      <c r="A170" s="87">
        <v>7.0</v>
      </c>
      <c r="B170" s="89"/>
      <c r="C170" s="691"/>
      <c r="D170" s="696" t="s">
        <v>454</v>
      </c>
      <c r="E170" s="258"/>
      <c r="F170" s="691"/>
      <c r="G170" s="258">
        <v>30.0</v>
      </c>
      <c r="H170" s="93">
        <v>99.0</v>
      </c>
      <c r="I170" s="692">
        <v>30.0</v>
      </c>
      <c r="J170" s="158">
        <f t="shared" si="51"/>
        <v>0.303030303</v>
      </c>
      <c r="K170" s="93">
        <f t="shared" si="52"/>
        <v>69</v>
      </c>
      <c r="L170" s="158">
        <f t="shared" si="53"/>
        <v>2.3</v>
      </c>
      <c r="M170" s="134"/>
      <c r="N170" s="87"/>
      <c r="O170" s="87"/>
      <c r="P170" s="93">
        <v>99.0</v>
      </c>
      <c r="Q170" s="93">
        <v>99.0</v>
      </c>
    </row>
    <row r="171" ht="31.5" hidden="1" customHeight="1" outlineLevel="1">
      <c r="A171" s="87">
        <v>8.0</v>
      </c>
      <c r="B171" s="89"/>
      <c r="C171" s="691"/>
      <c r="D171" s="696" t="s">
        <v>455</v>
      </c>
      <c r="E171" s="258"/>
      <c r="F171" s="691"/>
      <c r="G171" s="258">
        <v>30.0</v>
      </c>
      <c r="H171" s="93">
        <v>89.0</v>
      </c>
      <c r="I171" s="692">
        <v>20.65</v>
      </c>
      <c r="J171" s="158">
        <f t="shared" si="51"/>
        <v>0.2320224719</v>
      </c>
      <c r="K171" s="93">
        <f t="shared" si="52"/>
        <v>68.35</v>
      </c>
      <c r="L171" s="158">
        <f t="shared" si="53"/>
        <v>3.309927361</v>
      </c>
      <c r="M171" s="134"/>
      <c r="N171" s="87"/>
      <c r="O171" s="87"/>
      <c r="P171" s="93">
        <v>89.0</v>
      </c>
      <c r="Q171" s="93">
        <v>89.0</v>
      </c>
    </row>
    <row r="172" ht="20.25" hidden="1" customHeight="1" outlineLevel="1">
      <c r="A172" s="87">
        <v>9.0</v>
      </c>
      <c r="B172" s="89"/>
      <c r="C172" s="691"/>
      <c r="D172" s="696" t="s">
        <v>456</v>
      </c>
      <c r="E172" s="258"/>
      <c r="F172" s="691"/>
      <c r="G172" s="258">
        <v>40.0</v>
      </c>
      <c r="H172" s="93">
        <v>49.0</v>
      </c>
      <c r="I172" s="692">
        <v>12.66</v>
      </c>
      <c r="J172" s="158">
        <f t="shared" si="51"/>
        <v>0.2583673469</v>
      </c>
      <c r="K172" s="93">
        <f t="shared" si="52"/>
        <v>36.34</v>
      </c>
      <c r="L172" s="158">
        <f t="shared" si="53"/>
        <v>2.870458136</v>
      </c>
      <c r="M172" s="134"/>
      <c r="N172" s="87"/>
      <c r="O172" s="87"/>
      <c r="P172" s="93">
        <v>49.0</v>
      </c>
      <c r="Q172" s="93">
        <v>49.0</v>
      </c>
    </row>
    <row r="173" ht="27.75" hidden="1" customHeight="1" outlineLevel="1">
      <c r="A173" s="87">
        <v>10.0</v>
      </c>
      <c r="B173" s="89"/>
      <c r="C173" s="691"/>
      <c r="D173" s="696" t="s">
        <v>457</v>
      </c>
      <c r="E173" s="258"/>
      <c r="F173" s="691"/>
      <c r="G173" s="258">
        <v>50.0</v>
      </c>
      <c r="H173" s="93">
        <v>89.0</v>
      </c>
      <c r="I173" s="692">
        <v>24.75</v>
      </c>
      <c r="J173" s="158">
        <f t="shared" si="51"/>
        <v>0.2780898876</v>
      </c>
      <c r="K173" s="93">
        <f t="shared" si="52"/>
        <v>64.25</v>
      </c>
      <c r="L173" s="158">
        <f t="shared" si="53"/>
        <v>2.595959596</v>
      </c>
      <c r="M173" s="134"/>
      <c r="N173" s="87"/>
      <c r="O173" s="87"/>
      <c r="P173" s="93">
        <v>89.0</v>
      </c>
      <c r="Q173" s="93">
        <v>89.0</v>
      </c>
    </row>
    <row r="174" ht="32.25" hidden="1" customHeight="1" outlineLevel="1">
      <c r="A174" s="87">
        <v>11.0</v>
      </c>
      <c r="B174" s="89"/>
      <c r="C174" s="691"/>
      <c r="D174" s="696" t="s">
        <v>458</v>
      </c>
      <c r="E174" s="258"/>
      <c r="F174" s="691"/>
      <c r="G174" s="258">
        <v>50.0</v>
      </c>
      <c r="H174" s="93">
        <v>179.0</v>
      </c>
      <c r="I174" s="692">
        <v>55.9</v>
      </c>
      <c r="J174" s="158">
        <f t="shared" si="51"/>
        <v>0.3122905028</v>
      </c>
      <c r="K174" s="93">
        <f t="shared" si="52"/>
        <v>123.1</v>
      </c>
      <c r="L174" s="158">
        <f t="shared" si="53"/>
        <v>2.202146691</v>
      </c>
      <c r="M174" s="134"/>
      <c r="N174" s="87"/>
      <c r="O174" s="87"/>
      <c r="P174" s="93">
        <v>179.0</v>
      </c>
      <c r="Q174" s="93">
        <v>179.0</v>
      </c>
    </row>
    <row r="175" ht="33.75" hidden="1" customHeight="1" outlineLevel="1">
      <c r="A175" s="87">
        <v>12.0</v>
      </c>
      <c r="B175" s="89"/>
      <c r="C175" s="691"/>
      <c r="D175" s="696" t="s">
        <v>459</v>
      </c>
      <c r="E175" s="258"/>
      <c r="F175" s="691"/>
      <c r="G175" s="258">
        <v>50.0</v>
      </c>
      <c r="H175" s="93">
        <v>159.0</v>
      </c>
      <c r="I175" s="692">
        <v>43.04</v>
      </c>
      <c r="J175" s="158">
        <f t="shared" si="51"/>
        <v>0.2706918239</v>
      </c>
      <c r="K175" s="93">
        <f t="shared" si="52"/>
        <v>115.96</v>
      </c>
      <c r="L175" s="158">
        <f t="shared" si="53"/>
        <v>2.694237918</v>
      </c>
      <c r="M175" s="134"/>
      <c r="N175" s="87"/>
      <c r="O175" s="87"/>
      <c r="P175" s="93">
        <v>159.0</v>
      </c>
      <c r="Q175" s="93">
        <v>159.0</v>
      </c>
    </row>
    <row r="176" ht="24.0" hidden="1" customHeight="1" outlineLevel="1">
      <c r="A176" s="87">
        <v>13.0</v>
      </c>
      <c r="B176" s="89"/>
      <c r="C176" s="691"/>
      <c r="D176" s="696" t="s">
        <v>460</v>
      </c>
      <c r="E176" s="258"/>
      <c r="F176" s="691"/>
      <c r="G176" s="258">
        <v>50.0</v>
      </c>
      <c r="H176" s="93">
        <v>169.0</v>
      </c>
      <c r="I176" s="692">
        <v>47.22</v>
      </c>
      <c r="J176" s="158">
        <f t="shared" si="51"/>
        <v>0.279408284</v>
      </c>
      <c r="K176" s="93">
        <f t="shared" si="52"/>
        <v>121.78</v>
      </c>
      <c r="L176" s="158">
        <f t="shared" si="53"/>
        <v>2.578991953</v>
      </c>
      <c r="M176" s="134"/>
      <c r="N176" s="87"/>
      <c r="O176" s="87"/>
      <c r="P176" s="93">
        <v>169.0</v>
      </c>
      <c r="Q176" s="93">
        <v>169.0</v>
      </c>
    </row>
    <row r="177" ht="25.5" hidden="1" customHeight="1" outlineLevel="1">
      <c r="A177" s="87">
        <v>14.0</v>
      </c>
      <c r="B177" s="89"/>
      <c r="C177" s="691"/>
      <c r="D177" s="697" t="s">
        <v>461</v>
      </c>
      <c r="E177" s="258"/>
      <c r="F177" s="691"/>
      <c r="G177" s="258">
        <v>50.0</v>
      </c>
      <c r="H177" s="93">
        <v>99.0</v>
      </c>
      <c r="I177" s="162">
        <v>22.77</v>
      </c>
      <c r="J177" s="158">
        <f t="shared" si="51"/>
        <v>0.23</v>
      </c>
      <c r="K177" s="93">
        <f t="shared" si="52"/>
        <v>76.23</v>
      </c>
      <c r="L177" s="158">
        <f t="shared" si="53"/>
        <v>3.347826087</v>
      </c>
      <c r="M177" s="158"/>
      <c r="N177" s="87"/>
      <c r="O177" s="87"/>
      <c r="P177" s="93">
        <v>99.0</v>
      </c>
      <c r="Q177" s="243">
        <v>99.0</v>
      </c>
    </row>
    <row r="178" ht="25.5" hidden="1" customHeight="1" outlineLevel="1">
      <c r="A178" s="87">
        <v>15.0</v>
      </c>
      <c r="B178" s="89"/>
      <c r="C178" s="691"/>
      <c r="D178" s="697" t="s">
        <v>462</v>
      </c>
      <c r="E178" s="258"/>
      <c r="F178" s="691"/>
      <c r="G178" s="258">
        <v>50.0</v>
      </c>
      <c r="H178" s="93">
        <v>99.0</v>
      </c>
      <c r="I178" s="162">
        <v>18.5</v>
      </c>
      <c r="J178" s="158">
        <f t="shared" si="51"/>
        <v>0.1868686869</v>
      </c>
      <c r="K178" s="93">
        <f t="shared" si="52"/>
        <v>80.5</v>
      </c>
      <c r="L178" s="158">
        <f t="shared" si="53"/>
        <v>4.351351351</v>
      </c>
      <c r="M178" s="158"/>
      <c r="N178" s="87"/>
      <c r="O178" s="87"/>
      <c r="P178" s="93">
        <v>99.0</v>
      </c>
      <c r="Q178" s="243">
        <v>99.0</v>
      </c>
    </row>
    <row r="179" ht="25.5" hidden="1" customHeight="1" outlineLevel="1">
      <c r="A179" s="87"/>
      <c r="B179" s="89"/>
      <c r="C179" s="691"/>
      <c r="D179" s="697"/>
      <c r="E179" s="258"/>
      <c r="F179" s="691"/>
      <c r="G179" s="258"/>
      <c r="H179" s="93"/>
      <c r="I179" s="162"/>
      <c r="J179" s="158"/>
      <c r="K179" s="87"/>
      <c r="L179" s="158"/>
      <c r="M179" s="158"/>
      <c r="N179" s="87"/>
      <c r="O179" s="87"/>
      <c r="P179" s="93"/>
      <c r="Q179" s="243"/>
    </row>
    <row r="180" ht="25.5" hidden="1" customHeight="1" outlineLevel="1">
      <c r="A180" s="87">
        <v>1.0</v>
      </c>
      <c r="B180" s="68"/>
      <c r="C180" s="691"/>
      <c r="D180" s="697" t="s">
        <v>450</v>
      </c>
      <c r="E180" s="258"/>
      <c r="F180" s="691"/>
      <c r="G180" s="258">
        <v>30.0</v>
      </c>
      <c r="H180" s="93">
        <v>79.0</v>
      </c>
      <c r="I180" s="162">
        <v>20.38</v>
      </c>
      <c r="J180" s="158">
        <f t="shared" ref="J180:J193" si="54">I180/H180</f>
        <v>0.2579746835</v>
      </c>
      <c r="K180" s="93">
        <f t="shared" ref="K180:K193" si="55">H180-I180</f>
        <v>58.62</v>
      </c>
      <c r="L180" s="158">
        <f t="shared" ref="L180:L193" si="56">Q180/I180-1</f>
        <v>2.876349362</v>
      </c>
      <c r="M180" s="134"/>
      <c r="N180" s="87"/>
      <c r="O180" s="87"/>
      <c r="P180" s="93">
        <v>79.0</v>
      </c>
      <c r="Q180" s="93">
        <v>79.0</v>
      </c>
    </row>
    <row r="181" ht="25.5" hidden="1" customHeight="1" outlineLevel="1">
      <c r="A181" s="87">
        <v>2.0</v>
      </c>
      <c r="B181" s="89"/>
      <c r="C181" s="691"/>
      <c r="D181" s="696" t="s">
        <v>1170</v>
      </c>
      <c r="E181" s="258"/>
      <c r="F181" s="691"/>
      <c r="G181" s="258">
        <v>40.0</v>
      </c>
      <c r="H181" s="93">
        <v>79.0</v>
      </c>
      <c r="I181" s="692">
        <v>20.2</v>
      </c>
      <c r="J181" s="158">
        <f t="shared" si="54"/>
        <v>0.2556962025</v>
      </c>
      <c r="K181" s="93">
        <f t="shared" si="55"/>
        <v>58.8</v>
      </c>
      <c r="L181" s="158">
        <f t="shared" si="56"/>
        <v>2.910891089</v>
      </c>
      <c r="M181" s="134"/>
      <c r="N181" s="87"/>
      <c r="O181" s="87"/>
      <c r="P181" s="93">
        <v>79.0</v>
      </c>
      <c r="Q181" s="93">
        <v>79.0</v>
      </c>
    </row>
    <row r="182" ht="25.5" hidden="1" customHeight="1" outlineLevel="1">
      <c r="A182" s="87">
        <v>3.0</v>
      </c>
      <c r="B182" s="89"/>
      <c r="C182" s="691"/>
      <c r="D182" s="696" t="s">
        <v>451</v>
      </c>
      <c r="E182" s="258"/>
      <c r="F182" s="691"/>
      <c r="G182" s="258">
        <v>40.0</v>
      </c>
      <c r="H182" s="93">
        <v>59.0</v>
      </c>
      <c r="I182" s="692">
        <v>11.3</v>
      </c>
      <c r="J182" s="158">
        <f t="shared" si="54"/>
        <v>0.1915254237</v>
      </c>
      <c r="K182" s="93">
        <f t="shared" si="55"/>
        <v>47.7</v>
      </c>
      <c r="L182" s="158">
        <f t="shared" si="56"/>
        <v>4.221238938</v>
      </c>
      <c r="M182" s="134"/>
      <c r="N182" s="87"/>
      <c r="O182" s="87"/>
      <c r="P182" s="93">
        <v>59.0</v>
      </c>
      <c r="Q182" s="93">
        <v>59.0</v>
      </c>
    </row>
    <row r="183" ht="25.5" hidden="1" customHeight="1" outlineLevel="1">
      <c r="A183" s="87">
        <v>5.0</v>
      </c>
      <c r="B183" s="89"/>
      <c r="C183" s="691"/>
      <c r="D183" s="696" t="s">
        <v>452</v>
      </c>
      <c r="E183" s="258"/>
      <c r="F183" s="691"/>
      <c r="G183" s="258">
        <v>50.0</v>
      </c>
      <c r="H183" s="93">
        <v>129.0</v>
      </c>
      <c r="I183" s="692">
        <v>40.72</v>
      </c>
      <c r="J183" s="158">
        <f t="shared" si="54"/>
        <v>0.3156589147</v>
      </c>
      <c r="K183" s="93">
        <f t="shared" si="55"/>
        <v>88.28</v>
      </c>
      <c r="L183" s="158">
        <f t="shared" si="56"/>
        <v>2.167976424</v>
      </c>
      <c r="M183" s="134"/>
      <c r="N183" s="87"/>
      <c r="O183" s="87"/>
      <c r="P183" s="93">
        <v>129.0</v>
      </c>
      <c r="Q183" s="93">
        <v>129.0</v>
      </c>
    </row>
    <row r="184" ht="32.25" hidden="1" customHeight="1" outlineLevel="1">
      <c r="A184" s="87">
        <v>6.0</v>
      </c>
      <c r="B184" s="89"/>
      <c r="C184" s="691"/>
      <c r="D184" s="696" t="s">
        <v>453</v>
      </c>
      <c r="E184" s="258"/>
      <c r="F184" s="691"/>
      <c r="G184" s="258">
        <v>40.0</v>
      </c>
      <c r="H184" s="93">
        <v>59.0</v>
      </c>
      <c r="I184" s="692">
        <v>13.09</v>
      </c>
      <c r="J184" s="158">
        <f t="shared" si="54"/>
        <v>0.2218644068</v>
      </c>
      <c r="K184" s="93">
        <f t="shared" si="55"/>
        <v>45.91</v>
      </c>
      <c r="L184" s="158">
        <f t="shared" si="56"/>
        <v>3.507257448</v>
      </c>
      <c r="M184" s="134"/>
      <c r="N184" s="87"/>
      <c r="O184" s="87"/>
      <c r="P184" s="93">
        <v>59.0</v>
      </c>
      <c r="Q184" s="93">
        <v>59.0</v>
      </c>
    </row>
    <row r="185" ht="32.25" hidden="1" customHeight="1" outlineLevel="1">
      <c r="A185" s="87">
        <v>7.0</v>
      </c>
      <c r="B185" s="89"/>
      <c r="C185" s="691"/>
      <c r="D185" s="696" t="s">
        <v>454</v>
      </c>
      <c r="E185" s="258"/>
      <c r="F185" s="691"/>
      <c r="G185" s="258">
        <v>30.0</v>
      </c>
      <c r="H185" s="93">
        <v>99.0</v>
      </c>
      <c r="I185" s="692">
        <v>30.0</v>
      </c>
      <c r="J185" s="158">
        <f t="shared" si="54"/>
        <v>0.303030303</v>
      </c>
      <c r="K185" s="93">
        <f t="shared" si="55"/>
        <v>69</v>
      </c>
      <c r="L185" s="158">
        <f t="shared" si="56"/>
        <v>2.3</v>
      </c>
      <c r="M185" s="134"/>
      <c r="N185" s="87"/>
      <c r="O185" s="87"/>
      <c r="P185" s="93">
        <v>99.0</v>
      </c>
      <c r="Q185" s="93">
        <v>99.0</v>
      </c>
    </row>
    <row r="186" ht="31.5" hidden="1" customHeight="1" outlineLevel="1">
      <c r="A186" s="87">
        <v>8.0</v>
      </c>
      <c r="B186" s="89"/>
      <c r="C186" s="691"/>
      <c r="D186" s="696" t="s">
        <v>455</v>
      </c>
      <c r="E186" s="258"/>
      <c r="F186" s="691"/>
      <c r="G186" s="258">
        <v>30.0</v>
      </c>
      <c r="H186" s="93">
        <v>89.0</v>
      </c>
      <c r="I186" s="692">
        <v>20.65</v>
      </c>
      <c r="J186" s="158">
        <f t="shared" si="54"/>
        <v>0.2320224719</v>
      </c>
      <c r="K186" s="93">
        <f t="shared" si="55"/>
        <v>68.35</v>
      </c>
      <c r="L186" s="158">
        <f t="shared" si="56"/>
        <v>3.309927361</v>
      </c>
      <c r="M186" s="134"/>
      <c r="N186" s="87"/>
      <c r="O186" s="87"/>
      <c r="P186" s="93">
        <v>89.0</v>
      </c>
      <c r="Q186" s="93">
        <v>89.0</v>
      </c>
    </row>
    <row r="187" ht="20.25" hidden="1" customHeight="1" outlineLevel="1">
      <c r="A187" s="87">
        <v>9.0</v>
      </c>
      <c r="B187" s="89"/>
      <c r="C187" s="691"/>
      <c r="D187" s="696" t="s">
        <v>456</v>
      </c>
      <c r="E187" s="258"/>
      <c r="F187" s="691"/>
      <c r="G187" s="258">
        <v>40.0</v>
      </c>
      <c r="H187" s="93">
        <v>49.0</v>
      </c>
      <c r="I187" s="692">
        <v>12.66</v>
      </c>
      <c r="J187" s="158">
        <f t="shared" si="54"/>
        <v>0.2583673469</v>
      </c>
      <c r="K187" s="93">
        <f t="shared" si="55"/>
        <v>36.34</v>
      </c>
      <c r="L187" s="158">
        <f t="shared" si="56"/>
        <v>2.870458136</v>
      </c>
      <c r="M187" s="134"/>
      <c r="N187" s="87"/>
      <c r="O187" s="87"/>
      <c r="P187" s="93">
        <v>49.0</v>
      </c>
      <c r="Q187" s="93">
        <v>49.0</v>
      </c>
    </row>
    <row r="188" ht="27.75" hidden="1" customHeight="1" outlineLevel="1">
      <c r="A188" s="87">
        <v>10.0</v>
      </c>
      <c r="B188" s="89"/>
      <c r="C188" s="691"/>
      <c r="D188" s="696" t="s">
        <v>457</v>
      </c>
      <c r="E188" s="258"/>
      <c r="F188" s="691"/>
      <c r="G188" s="258">
        <v>50.0</v>
      </c>
      <c r="H188" s="93">
        <v>89.0</v>
      </c>
      <c r="I188" s="692">
        <v>24.75</v>
      </c>
      <c r="J188" s="158">
        <f t="shared" si="54"/>
        <v>0.2780898876</v>
      </c>
      <c r="K188" s="93">
        <f t="shared" si="55"/>
        <v>64.25</v>
      </c>
      <c r="L188" s="158">
        <f t="shared" si="56"/>
        <v>2.595959596</v>
      </c>
      <c r="M188" s="134"/>
      <c r="N188" s="87"/>
      <c r="O188" s="87"/>
      <c r="P188" s="93">
        <v>89.0</v>
      </c>
      <c r="Q188" s="93">
        <v>89.0</v>
      </c>
    </row>
    <row r="189" ht="32.25" hidden="1" customHeight="1" outlineLevel="1">
      <c r="A189" s="87">
        <v>11.0</v>
      </c>
      <c r="B189" s="89"/>
      <c r="C189" s="691"/>
      <c r="D189" s="696" t="s">
        <v>458</v>
      </c>
      <c r="E189" s="258"/>
      <c r="F189" s="691"/>
      <c r="G189" s="258">
        <v>50.0</v>
      </c>
      <c r="H189" s="93">
        <v>179.0</v>
      </c>
      <c r="I189" s="692">
        <v>55.9</v>
      </c>
      <c r="J189" s="158">
        <f t="shared" si="54"/>
        <v>0.3122905028</v>
      </c>
      <c r="K189" s="93">
        <f t="shared" si="55"/>
        <v>123.1</v>
      </c>
      <c r="L189" s="158">
        <f t="shared" si="56"/>
        <v>2.202146691</v>
      </c>
      <c r="M189" s="134"/>
      <c r="N189" s="87"/>
      <c r="O189" s="87"/>
      <c r="P189" s="93">
        <v>179.0</v>
      </c>
      <c r="Q189" s="93">
        <v>179.0</v>
      </c>
    </row>
    <row r="190" ht="33.75" hidden="1" customHeight="1" outlineLevel="1">
      <c r="A190" s="87">
        <v>12.0</v>
      </c>
      <c r="B190" s="89"/>
      <c r="C190" s="691"/>
      <c r="D190" s="696" t="s">
        <v>459</v>
      </c>
      <c r="E190" s="258"/>
      <c r="F190" s="691"/>
      <c r="G190" s="258">
        <v>50.0</v>
      </c>
      <c r="H190" s="93">
        <v>159.0</v>
      </c>
      <c r="I190" s="692">
        <v>43.04</v>
      </c>
      <c r="J190" s="158">
        <f t="shared" si="54"/>
        <v>0.2706918239</v>
      </c>
      <c r="K190" s="93">
        <f t="shared" si="55"/>
        <v>115.96</v>
      </c>
      <c r="L190" s="158">
        <f t="shared" si="56"/>
        <v>2.694237918</v>
      </c>
      <c r="M190" s="134"/>
      <c r="N190" s="87"/>
      <c r="O190" s="87"/>
      <c r="P190" s="93">
        <v>159.0</v>
      </c>
      <c r="Q190" s="93">
        <v>159.0</v>
      </c>
    </row>
    <row r="191" ht="24.0" hidden="1" customHeight="1" outlineLevel="1">
      <c r="A191" s="87">
        <v>13.0</v>
      </c>
      <c r="B191" s="89"/>
      <c r="C191" s="691"/>
      <c r="D191" s="696" t="s">
        <v>460</v>
      </c>
      <c r="E191" s="258"/>
      <c r="F191" s="691"/>
      <c r="G191" s="258">
        <v>50.0</v>
      </c>
      <c r="H191" s="93">
        <v>169.0</v>
      </c>
      <c r="I191" s="692">
        <v>47.22</v>
      </c>
      <c r="J191" s="158">
        <f t="shared" si="54"/>
        <v>0.279408284</v>
      </c>
      <c r="K191" s="93">
        <f t="shared" si="55"/>
        <v>121.78</v>
      </c>
      <c r="L191" s="158">
        <f t="shared" si="56"/>
        <v>2.578991953</v>
      </c>
      <c r="M191" s="134"/>
      <c r="N191" s="87"/>
      <c r="O191" s="87"/>
      <c r="P191" s="93">
        <v>169.0</v>
      </c>
      <c r="Q191" s="93">
        <v>169.0</v>
      </c>
    </row>
    <row r="192" ht="25.5" hidden="1" customHeight="1" outlineLevel="1">
      <c r="A192" s="87">
        <v>14.0</v>
      </c>
      <c r="B192" s="89"/>
      <c r="C192" s="691"/>
      <c r="D192" s="697" t="s">
        <v>461</v>
      </c>
      <c r="E192" s="258"/>
      <c r="F192" s="691"/>
      <c r="G192" s="258">
        <v>50.0</v>
      </c>
      <c r="H192" s="93">
        <v>99.0</v>
      </c>
      <c r="I192" s="162">
        <v>22.77</v>
      </c>
      <c r="J192" s="158">
        <f t="shared" si="54"/>
        <v>0.23</v>
      </c>
      <c r="K192" s="93">
        <f t="shared" si="55"/>
        <v>76.23</v>
      </c>
      <c r="L192" s="158">
        <f t="shared" si="56"/>
        <v>3.347826087</v>
      </c>
      <c r="M192" s="158"/>
      <c r="N192" s="87"/>
      <c r="O192" s="87"/>
      <c r="P192" s="93">
        <v>99.0</v>
      </c>
      <c r="Q192" s="243">
        <v>99.0</v>
      </c>
    </row>
    <row r="193" ht="25.5" hidden="1" customHeight="1" outlineLevel="1">
      <c r="A193" s="87">
        <v>15.0</v>
      </c>
      <c r="B193" s="89"/>
      <c r="C193" s="691"/>
      <c r="D193" s="697" t="s">
        <v>462</v>
      </c>
      <c r="E193" s="258"/>
      <c r="F193" s="691"/>
      <c r="G193" s="258">
        <v>50.0</v>
      </c>
      <c r="H193" s="93">
        <v>99.0</v>
      </c>
      <c r="I193" s="162">
        <v>18.5</v>
      </c>
      <c r="J193" s="158">
        <f t="shared" si="54"/>
        <v>0.1868686869</v>
      </c>
      <c r="K193" s="93">
        <f t="shared" si="55"/>
        <v>80.5</v>
      </c>
      <c r="L193" s="158">
        <f t="shared" si="56"/>
        <v>4.351351351</v>
      </c>
      <c r="M193" s="158"/>
      <c r="N193" s="87"/>
      <c r="O193" s="87"/>
      <c r="P193" s="93">
        <v>99.0</v>
      </c>
      <c r="Q193" s="243">
        <v>99.0</v>
      </c>
    </row>
    <row r="194" ht="25.5" hidden="1" customHeight="1" outlineLevel="1">
      <c r="A194" s="87"/>
      <c r="B194" s="89"/>
      <c r="C194" s="691"/>
      <c r="D194" s="697"/>
      <c r="E194" s="258"/>
      <c r="F194" s="691"/>
      <c r="G194" s="258"/>
      <c r="H194" s="93"/>
      <c r="I194" s="162"/>
      <c r="J194" s="158"/>
      <c r="K194" s="87"/>
      <c r="L194" s="158"/>
      <c r="M194" s="158"/>
      <c r="N194" s="87"/>
      <c r="O194" s="87"/>
      <c r="P194" s="93"/>
      <c r="Q194" s="243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27:D28"/>
  </mergeCells>
  <conditionalFormatting sqref="I39 J1:J194 K3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M39 N1:O194 P39">
    <cfRule type="containsText" dxfId="0" priority="2" operator="containsText" text="нет">
      <formula>NOT(ISERROR(SEARCH(("нет"),(M39))))</formula>
    </cfRule>
  </conditionalFormatting>
  <conditionalFormatting sqref="F39:G39 H1 H3:H85 I39 M4:M14 M16:M30 M32:M39 M41:M44 M46:M86 M106:M161 M165:M176 M180:M191 N39 P1:Q1 P3:Q85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N3:O38 N39:P39 N40:O194">
      <formula1>"да,нет"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4.71"/>
    <col customWidth="1" min="2" max="2" width="22.43"/>
    <col customWidth="1" min="3" max="3" width="30.0"/>
    <col customWidth="1" min="4" max="4" width="34.57"/>
    <col customWidth="1" min="5" max="5" width="8.43"/>
    <col customWidth="1" min="6" max="7" width="8.14"/>
    <col customWidth="1" min="8" max="8" width="8.43"/>
    <col customWidth="1" min="9" max="10" width="7.29"/>
    <col customWidth="1" min="11" max="11" width="7.14"/>
    <col customWidth="1" min="12" max="12" width="8.29"/>
    <col customWidth="1" min="13" max="14" width="9.71"/>
    <col customWidth="1" hidden="1" min="15" max="15" width="8.14"/>
    <col customWidth="1" min="16" max="16" width="8.14"/>
  </cols>
  <sheetData>
    <row r="1" ht="25.5" customHeight="1">
      <c r="A1" s="87"/>
      <c r="C1" s="89" t="s">
        <v>1027</v>
      </c>
      <c r="D1" s="98" t="s">
        <v>1011</v>
      </c>
      <c r="E1" s="258"/>
      <c r="F1" s="93"/>
      <c r="G1" s="93"/>
      <c r="H1" s="704"/>
      <c r="I1" s="158"/>
      <c r="J1" s="87"/>
      <c r="K1" s="87"/>
      <c r="L1" s="87"/>
      <c r="M1" s="87"/>
      <c r="N1" s="239"/>
      <c r="O1" s="243"/>
      <c r="P1" s="243"/>
    </row>
    <row r="2" ht="66.0" customHeight="1">
      <c r="A2" s="68" t="s">
        <v>1012</v>
      </c>
      <c r="B2" s="69" t="s">
        <v>1013</v>
      </c>
      <c r="C2" s="90" t="s">
        <v>1014</v>
      </c>
      <c r="D2" s="68" t="s">
        <v>1015</v>
      </c>
      <c r="E2" s="70" t="s">
        <v>96</v>
      </c>
      <c r="F2" s="432" t="s">
        <v>1173</v>
      </c>
      <c r="G2" s="432" t="s">
        <v>502</v>
      </c>
      <c r="H2" s="693" t="s">
        <v>99</v>
      </c>
      <c r="I2" s="694" t="s">
        <v>100</v>
      </c>
      <c r="J2" s="68" t="s">
        <v>466</v>
      </c>
      <c r="K2" s="68" t="s">
        <v>102</v>
      </c>
      <c r="L2" s="68" t="s">
        <v>1030</v>
      </c>
      <c r="M2" s="68" t="s">
        <v>506</v>
      </c>
      <c r="N2" s="75"/>
      <c r="O2" s="432" t="s">
        <v>1174</v>
      </c>
      <c r="P2" s="432"/>
    </row>
    <row r="3" ht="27.0" customHeight="1">
      <c r="A3" s="614"/>
      <c r="B3" s="615" t="str">
        <f>"Блюда на компанию "&amp;COUNTA(C4:C14)&amp;" шт"</f>
        <v>Блюда на компанию 8 шт</v>
      </c>
      <c r="C3" s="614"/>
      <c r="D3" s="614"/>
      <c r="E3" s="616"/>
      <c r="F3" s="695"/>
      <c r="G3" s="695"/>
      <c r="H3" s="618"/>
      <c r="I3" s="648">
        <f>AVERAGE(I4:I14)</f>
        <v>0.269255131</v>
      </c>
      <c r="J3" s="614"/>
      <c r="K3" s="614"/>
      <c r="L3" s="614"/>
      <c r="M3" s="86"/>
      <c r="N3" s="86"/>
      <c r="O3" s="695"/>
      <c r="P3" s="695"/>
    </row>
    <row r="4" ht="25.5" customHeight="1" outlineLevel="1">
      <c r="A4" s="705"/>
      <c r="B4" s="706" t="s">
        <v>1180</v>
      </c>
      <c r="C4" s="706" t="s">
        <v>1032</v>
      </c>
      <c r="D4" s="706" t="s">
        <v>1033</v>
      </c>
      <c r="E4" s="707" t="s">
        <v>1034</v>
      </c>
      <c r="F4" s="708">
        <v>769.0</v>
      </c>
      <c r="G4" s="708">
        <v>749.0</v>
      </c>
      <c r="H4" s="704">
        <v>177.0</v>
      </c>
      <c r="I4" s="709">
        <f t="shared" ref="I4:I14" si="1">H4/G4</f>
        <v>0.2363150868</v>
      </c>
      <c r="J4" s="708">
        <f t="shared" ref="J4:J14" si="2">G4-H4</f>
        <v>572</v>
      </c>
      <c r="K4" s="709">
        <f t="shared" ref="K4:K14" si="3">O4/H4-1</f>
        <v>3.514124294</v>
      </c>
      <c r="L4" s="710"/>
      <c r="M4" s="705" t="s">
        <v>112</v>
      </c>
      <c r="N4" s="705"/>
      <c r="O4" s="93">
        <v>799.0</v>
      </c>
      <c r="P4" s="93"/>
    </row>
    <row r="5" ht="84.75" customHeight="1" outlineLevel="1">
      <c r="A5" s="705"/>
      <c r="B5" s="711" t="s">
        <v>1176</v>
      </c>
      <c r="C5" s="712"/>
      <c r="D5" s="711" t="s">
        <v>1036</v>
      </c>
      <c r="E5" s="707">
        <v>150.0</v>
      </c>
      <c r="F5" s="708">
        <v>0.0</v>
      </c>
      <c r="G5" s="708">
        <v>749.0</v>
      </c>
      <c r="H5" s="704">
        <v>180.0</v>
      </c>
      <c r="I5" s="709">
        <f t="shared" si="1"/>
        <v>0.2403204272</v>
      </c>
      <c r="J5" s="708">
        <f t="shared" si="2"/>
        <v>569</v>
      </c>
      <c r="K5" s="709">
        <f t="shared" si="3"/>
        <v>-1</v>
      </c>
      <c r="L5" s="710"/>
      <c r="M5" s="705" t="s">
        <v>112</v>
      </c>
      <c r="N5" s="705"/>
      <c r="O5" s="93"/>
      <c r="P5" s="93"/>
    </row>
    <row r="6" ht="84.75" customHeight="1" outlineLevel="1">
      <c r="A6" s="705"/>
      <c r="B6" s="711" t="s">
        <v>1182</v>
      </c>
      <c r="C6" s="706" t="s">
        <v>1184</v>
      </c>
      <c r="D6" s="711" t="s">
        <v>1038</v>
      </c>
      <c r="E6" s="707">
        <v>400.0</v>
      </c>
      <c r="F6" s="708">
        <v>899.0</v>
      </c>
      <c r="G6" s="708">
        <v>899.0</v>
      </c>
      <c r="H6" s="704">
        <v>270.0</v>
      </c>
      <c r="I6" s="709">
        <f t="shared" si="1"/>
        <v>0.3003337041</v>
      </c>
      <c r="J6" s="708">
        <f t="shared" si="2"/>
        <v>629</v>
      </c>
      <c r="K6" s="709">
        <f t="shared" si="3"/>
        <v>-1</v>
      </c>
      <c r="L6" s="710">
        <v>999.0</v>
      </c>
      <c r="M6" s="705" t="s">
        <v>111</v>
      </c>
      <c r="N6" s="705"/>
      <c r="O6" s="93"/>
      <c r="P6" s="93"/>
    </row>
    <row r="7" ht="127.5" customHeight="1" outlineLevel="1">
      <c r="A7" s="87"/>
      <c r="B7" s="706" t="s">
        <v>1186</v>
      </c>
      <c r="C7" s="706"/>
      <c r="D7" s="711" t="s">
        <v>1040</v>
      </c>
      <c r="E7" s="707">
        <v>1000.0</v>
      </c>
      <c r="F7" s="708">
        <v>0.0</v>
      </c>
      <c r="G7" s="708">
        <v>1699.0</v>
      </c>
      <c r="H7" s="704">
        <v>499.0</v>
      </c>
      <c r="I7" s="709">
        <f t="shared" si="1"/>
        <v>0.2937021778</v>
      </c>
      <c r="J7" s="708">
        <f t="shared" si="2"/>
        <v>1200</v>
      </c>
      <c r="K7" s="709">
        <f t="shared" si="3"/>
        <v>0.6012024048</v>
      </c>
      <c r="L7" s="710">
        <v>1799.0</v>
      </c>
      <c r="M7" s="705" t="s">
        <v>111</v>
      </c>
      <c r="N7" s="705"/>
      <c r="O7" s="93">
        <v>799.0</v>
      </c>
      <c r="P7" s="93"/>
    </row>
    <row r="8" ht="91.5" customHeight="1" outlineLevel="1">
      <c r="A8" s="87"/>
      <c r="B8" s="711"/>
      <c r="C8" s="706" t="s">
        <v>1041</v>
      </c>
      <c r="D8" s="711" t="s">
        <v>1042</v>
      </c>
      <c r="E8" s="707">
        <v>550.0</v>
      </c>
      <c r="F8" s="708">
        <v>699.0</v>
      </c>
      <c r="G8" s="708">
        <v>799.0</v>
      </c>
      <c r="H8" s="704">
        <v>210.17</v>
      </c>
      <c r="I8" s="709">
        <f t="shared" si="1"/>
        <v>0.2630413016</v>
      </c>
      <c r="J8" s="708">
        <f t="shared" si="2"/>
        <v>588.83</v>
      </c>
      <c r="K8" s="709">
        <f t="shared" si="3"/>
        <v>2.563781701</v>
      </c>
      <c r="L8" s="710">
        <v>899.0</v>
      </c>
      <c r="M8" s="705" t="s">
        <v>111</v>
      </c>
      <c r="N8" s="705"/>
      <c r="O8" s="93">
        <v>749.0</v>
      </c>
      <c r="P8" s="93"/>
    </row>
    <row r="9" ht="106.5" customHeight="1" outlineLevel="1">
      <c r="A9" s="87"/>
      <c r="B9" s="711" t="s">
        <v>1196</v>
      </c>
      <c r="C9" s="706" t="s">
        <v>149</v>
      </c>
      <c r="D9" s="711" t="s">
        <v>1043</v>
      </c>
      <c r="E9" s="707">
        <v>1400.0</v>
      </c>
      <c r="F9" s="708">
        <v>2199.0</v>
      </c>
      <c r="G9" s="708">
        <v>2299.0</v>
      </c>
      <c r="H9" s="704">
        <v>630.0</v>
      </c>
      <c r="I9" s="709">
        <f t="shared" si="1"/>
        <v>0.2740321879</v>
      </c>
      <c r="J9" s="708">
        <f t="shared" si="2"/>
        <v>1669</v>
      </c>
      <c r="K9" s="709">
        <f t="shared" si="3"/>
        <v>2.173015873</v>
      </c>
      <c r="L9" s="710">
        <v>2499.0</v>
      </c>
      <c r="M9" s="705" t="s">
        <v>111</v>
      </c>
      <c r="N9" s="705"/>
      <c r="O9" s="93">
        <v>1999.0</v>
      </c>
      <c r="P9" s="93"/>
    </row>
    <row r="10" ht="84.75" customHeight="1" outlineLevel="1">
      <c r="A10" s="705"/>
      <c r="B10" s="713" t="s">
        <v>1193</v>
      </c>
      <c r="C10" s="713" t="s">
        <v>152</v>
      </c>
      <c r="D10" s="713" t="s">
        <v>1044</v>
      </c>
      <c r="E10" s="707">
        <v>500.0</v>
      </c>
      <c r="F10" s="708">
        <v>999.0</v>
      </c>
      <c r="G10" s="708">
        <v>1249.0</v>
      </c>
      <c r="H10" s="704">
        <v>374.6</v>
      </c>
      <c r="I10" s="709">
        <f t="shared" si="1"/>
        <v>0.2999199359</v>
      </c>
      <c r="J10" s="708">
        <f t="shared" si="2"/>
        <v>874.4</v>
      </c>
      <c r="K10" s="709">
        <f t="shared" si="3"/>
        <v>-0.3085958356</v>
      </c>
      <c r="L10" s="710">
        <v>1399.0</v>
      </c>
      <c r="M10" s="705" t="s">
        <v>111</v>
      </c>
      <c r="N10" s="705"/>
      <c r="O10" s="93">
        <v>259.0</v>
      </c>
      <c r="P10" s="93"/>
    </row>
    <row r="11" ht="83.25" customHeight="1" outlineLevel="1">
      <c r="A11" s="87"/>
      <c r="B11" s="711"/>
      <c r="C11" s="706" t="s">
        <v>155</v>
      </c>
      <c r="D11" s="705" t="s">
        <v>1045</v>
      </c>
      <c r="E11" s="707">
        <v>1200.0</v>
      </c>
      <c r="F11" s="708">
        <v>1299.0</v>
      </c>
      <c r="G11" s="708">
        <v>1399.0</v>
      </c>
      <c r="H11" s="704">
        <v>314.14</v>
      </c>
      <c r="I11" s="709">
        <f t="shared" si="1"/>
        <v>0.2245461044</v>
      </c>
      <c r="J11" s="708">
        <f t="shared" si="2"/>
        <v>1084.86</v>
      </c>
      <c r="K11" s="714">
        <f t="shared" si="3"/>
        <v>2.816769593</v>
      </c>
      <c r="L11" s="710"/>
      <c r="M11" s="705" t="s">
        <v>112</v>
      </c>
      <c r="N11" s="705"/>
      <c r="O11" s="93">
        <v>1199.0</v>
      </c>
      <c r="P11" s="93"/>
    </row>
    <row r="12" ht="25.5" customHeight="1" outlineLevel="1">
      <c r="A12" s="87"/>
      <c r="B12" s="715" t="s">
        <v>1198</v>
      </c>
      <c r="C12" s="713"/>
      <c r="D12" s="705" t="s">
        <v>1047</v>
      </c>
      <c r="E12" s="707">
        <v>1200.0</v>
      </c>
      <c r="F12" s="708">
        <v>1799.0</v>
      </c>
      <c r="G12" s="708">
        <v>1399.0</v>
      </c>
      <c r="H12" s="704">
        <v>360.0</v>
      </c>
      <c r="I12" s="709">
        <f t="shared" si="1"/>
        <v>0.2573266619</v>
      </c>
      <c r="J12" s="708">
        <f t="shared" si="2"/>
        <v>1039</v>
      </c>
      <c r="K12" s="714">
        <f t="shared" si="3"/>
        <v>-1</v>
      </c>
      <c r="L12" s="710"/>
      <c r="M12" s="705" t="s">
        <v>112</v>
      </c>
      <c r="N12" s="705"/>
      <c r="O12" s="134"/>
      <c r="P12" s="134"/>
    </row>
    <row r="13" ht="75.75" customHeight="1" outlineLevel="1">
      <c r="A13" s="87"/>
      <c r="B13" s="715" t="s">
        <v>1188</v>
      </c>
      <c r="C13" s="706" t="s">
        <v>161</v>
      </c>
      <c r="D13" s="705" t="s">
        <v>1049</v>
      </c>
      <c r="E13" s="716">
        <v>700.0</v>
      </c>
      <c r="F13" s="710">
        <v>0.0</v>
      </c>
      <c r="G13" s="710">
        <v>1249.0</v>
      </c>
      <c r="H13" s="704">
        <v>370.0</v>
      </c>
      <c r="I13" s="709">
        <f t="shared" si="1"/>
        <v>0.2962369896</v>
      </c>
      <c r="J13" s="708">
        <f t="shared" si="2"/>
        <v>879</v>
      </c>
      <c r="K13" s="709">
        <f t="shared" si="3"/>
        <v>2.240540541</v>
      </c>
      <c r="L13" s="710">
        <v>1399.0</v>
      </c>
      <c r="M13" s="705" t="s">
        <v>111</v>
      </c>
      <c r="N13" s="705"/>
      <c r="O13" s="134">
        <v>1199.0</v>
      </c>
      <c r="P13" s="134"/>
    </row>
    <row r="14" ht="207.75" customHeight="1" outlineLevel="1">
      <c r="A14" s="87"/>
      <c r="B14" s="715"/>
      <c r="C14" s="706" t="s">
        <v>157</v>
      </c>
      <c r="D14" s="705" t="s">
        <v>1048</v>
      </c>
      <c r="E14" s="716">
        <v>1250.0</v>
      </c>
      <c r="F14" s="708">
        <v>2799.0</v>
      </c>
      <c r="G14" s="708">
        <v>2699.0</v>
      </c>
      <c r="H14" s="704">
        <v>745.01</v>
      </c>
      <c r="I14" s="709">
        <f t="shared" si="1"/>
        <v>0.2760318637</v>
      </c>
      <c r="J14" s="708">
        <f t="shared" si="2"/>
        <v>1953.99</v>
      </c>
      <c r="K14" s="709">
        <f t="shared" si="3"/>
        <v>2.488543778</v>
      </c>
      <c r="L14" s="710">
        <v>2999.0</v>
      </c>
      <c r="M14" s="705" t="s">
        <v>111</v>
      </c>
      <c r="N14" s="705"/>
      <c r="O14" s="134">
        <v>2599.0</v>
      </c>
      <c r="P14" s="134"/>
    </row>
    <row r="15" ht="27.0" customHeight="1">
      <c r="A15" s="614"/>
      <c r="B15" s="615" t="str">
        <f>"Япония "&amp;COUNTA(C16:C24)&amp;" шт"</f>
        <v>Япония 6 шт</v>
      </c>
      <c r="C15" s="614"/>
      <c r="D15" s="614"/>
      <c r="E15" s="616"/>
      <c r="F15" s="695"/>
      <c r="G15" s="695"/>
      <c r="H15" s="618"/>
      <c r="I15" s="648">
        <f>AVERAGE(I16:I23)</f>
        <v>0.2496320322</v>
      </c>
      <c r="J15" s="614"/>
      <c r="K15" s="614"/>
      <c r="L15" s="614"/>
      <c r="M15" s="86"/>
      <c r="N15" s="86"/>
      <c r="O15" s="695"/>
      <c r="P15" s="695"/>
    </row>
    <row r="16" ht="25.5" customHeight="1" outlineLevel="1">
      <c r="A16" s="717"/>
      <c r="B16" s="717"/>
      <c r="C16" s="718" t="s">
        <v>1050</v>
      </c>
      <c r="D16" s="717" t="s">
        <v>1051</v>
      </c>
      <c r="E16" s="719">
        <v>200.0</v>
      </c>
      <c r="F16" s="720">
        <v>399.0</v>
      </c>
      <c r="G16" s="720">
        <v>399.0</v>
      </c>
      <c r="H16" s="721">
        <v>65.9</v>
      </c>
      <c r="I16" s="722">
        <f t="shared" ref="I16:I24" si="4">H16/G16</f>
        <v>0.1651629073</v>
      </c>
      <c r="J16" s="720">
        <f t="shared" ref="J16:J24" si="5">G16-H16</f>
        <v>333.1</v>
      </c>
      <c r="K16" s="722">
        <f t="shared" ref="K16:K24" si="6">O16/H16-1</f>
        <v>5.054628225</v>
      </c>
      <c r="L16" s="723">
        <v>499.0</v>
      </c>
      <c r="M16" s="717" t="s">
        <v>111</v>
      </c>
      <c r="N16" s="717"/>
      <c r="O16" s="93">
        <v>399.0</v>
      </c>
      <c r="P16" s="93"/>
    </row>
    <row r="17" ht="25.5" customHeight="1" outlineLevel="1">
      <c r="A17" s="717"/>
      <c r="B17" s="717"/>
      <c r="C17" s="718" t="s">
        <v>169</v>
      </c>
      <c r="D17" s="717" t="s">
        <v>1052</v>
      </c>
      <c r="E17" s="719">
        <v>200.0</v>
      </c>
      <c r="F17" s="720">
        <v>499.0</v>
      </c>
      <c r="G17" s="720">
        <v>529.0</v>
      </c>
      <c r="H17" s="721">
        <v>145.9</v>
      </c>
      <c r="I17" s="722">
        <f t="shared" si="4"/>
        <v>0.2758034026</v>
      </c>
      <c r="J17" s="720">
        <f t="shared" si="5"/>
        <v>383.1</v>
      </c>
      <c r="K17" s="722">
        <f t="shared" si="6"/>
        <v>2.420150788</v>
      </c>
      <c r="L17" s="723">
        <v>599.0</v>
      </c>
      <c r="M17" s="717" t="s">
        <v>111</v>
      </c>
      <c r="N17" s="717"/>
      <c r="O17" s="93">
        <v>499.0</v>
      </c>
      <c r="P17" s="93"/>
    </row>
    <row r="18" ht="25.5" customHeight="1" outlineLevel="1">
      <c r="A18" s="717"/>
      <c r="B18" s="717"/>
      <c r="C18" s="718" t="s">
        <v>1205</v>
      </c>
      <c r="D18" s="717" t="s">
        <v>171</v>
      </c>
      <c r="E18" s="719">
        <v>160.0</v>
      </c>
      <c r="F18" s="720">
        <v>359.0</v>
      </c>
      <c r="G18" s="720">
        <v>359.0</v>
      </c>
      <c r="H18" s="721">
        <v>58.9</v>
      </c>
      <c r="I18" s="722">
        <f t="shared" si="4"/>
        <v>0.1640668524</v>
      </c>
      <c r="J18" s="720">
        <f t="shared" si="5"/>
        <v>300.1</v>
      </c>
      <c r="K18" s="722">
        <f t="shared" si="6"/>
        <v>4.925297114</v>
      </c>
      <c r="L18" s="723">
        <v>399.0</v>
      </c>
      <c r="M18" s="717" t="s">
        <v>111</v>
      </c>
      <c r="N18" s="717"/>
      <c r="O18" s="93">
        <v>349.0</v>
      </c>
      <c r="P18" s="93"/>
    </row>
    <row r="19" ht="25.5" customHeight="1" outlineLevel="1">
      <c r="A19" s="717"/>
      <c r="B19" s="717"/>
      <c r="C19" s="718" t="s">
        <v>173</v>
      </c>
      <c r="D19" s="717" t="s">
        <v>1053</v>
      </c>
      <c r="E19" s="719">
        <v>230.0</v>
      </c>
      <c r="F19" s="720">
        <v>429.0</v>
      </c>
      <c r="G19" s="720">
        <v>449.0</v>
      </c>
      <c r="H19" s="721">
        <v>111.0</v>
      </c>
      <c r="I19" s="722">
        <f t="shared" si="4"/>
        <v>0.2472160356</v>
      </c>
      <c r="J19" s="720">
        <f t="shared" si="5"/>
        <v>338</v>
      </c>
      <c r="K19" s="722">
        <f t="shared" si="6"/>
        <v>2.594594595</v>
      </c>
      <c r="L19" s="723">
        <v>499.0</v>
      </c>
      <c r="M19" s="717" t="s">
        <v>111</v>
      </c>
      <c r="N19" s="717"/>
      <c r="O19" s="93">
        <v>399.0</v>
      </c>
      <c r="P19" s="93"/>
    </row>
    <row r="20" ht="111.0" customHeight="1" outlineLevel="1">
      <c r="A20" s="717"/>
      <c r="B20" s="717" t="s">
        <v>1206</v>
      </c>
      <c r="C20" s="718" t="s">
        <v>175</v>
      </c>
      <c r="D20" s="717" t="s">
        <v>1054</v>
      </c>
      <c r="E20" s="719">
        <v>240.0</v>
      </c>
      <c r="F20" s="720">
        <v>499.0</v>
      </c>
      <c r="G20" s="720">
        <v>529.0</v>
      </c>
      <c r="H20" s="721">
        <v>145.9</v>
      </c>
      <c r="I20" s="722">
        <f t="shared" si="4"/>
        <v>0.2758034026</v>
      </c>
      <c r="J20" s="720">
        <f t="shared" si="5"/>
        <v>383.1</v>
      </c>
      <c r="K20" s="722">
        <f t="shared" si="6"/>
        <v>2.420150788</v>
      </c>
      <c r="L20" s="723">
        <v>589.0</v>
      </c>
      <c r="M20" s="717" t="s">
        <v>111</v>
      </c>
      <c r="N20" s="717"/>
      <c r="O20" s="93">
        <v>499.0</v>
      </c>
      <c r="P20" s="93"/>
    </row>
    <row r="21" ht="67.5" customHeight="1" outlineLevel="1">
      <c r="A21" s="705"/>
      <c r="B21" s="705"/>
      <c r="C21" s="706" t="s">
        <v>1055</v>
      </c>
      <c r="D21" s="705" t="s">
        <v>1056</v>
      </c>
      <c r="E21" s="707">
        <v>200.0</v>
      </c>
      <c r="F21" s="708">
        <v>399.0</v>
      </c>
      <c r="G21" s="708">
        <v>419.0</v>
      </c>
      <c r="H21" s="724">
        <v>123.9</v>
      </c>
      <c r="I21" s="709">
        <f t="shared" si="4"/>
        <v>0.2957040573</v>
      </c>
      <c r="J21" s="708">
        <f t="shared" si="5"/>
        <v>295.1</v>
      </c>
      <c r="K21" s="709">
        <f t="shared" si="6"/>
        <v>-1</v>
      </c>
      <c r="L21" s="710">
        <v>479.0</v>
      </c>
      <c r="M21" s="705" t="s">
        <v>111</v>
      </c>
      <c r="N21" s="705"/>
      <c r="O21" s="93"/>
      <c r="P21" s="93"/>
    </row>
    <row r="22" ht="67.5" customHeight="1" outlineLevel="1">
      <c r="A22" s="705"/>
      <c r="B22" s="705" t="s">
        <v>1277</v>
      </c>
      <c r="C22" s="706"/>
      <c r="D22" s="705" t="s">
        <v>1058</v>
      </c>
      <c r="E22" s="707">
        <v>120.0</v>
      </c>
      <c r="F22" s="708">
        <v>0.0</v>
      </c>
      <c r="G22" s="708">
        <v>579.0</v>
      </c>
      <c r="H22" s="724">
        <v>186.9</v>
      </c>
      <c r="I22" s="709">
        <f t="shared" si="4"/>
        <v>0.3227979275</v>
      </c>
      <c r="J22" s="708">
        <f t="shared" si="5"/>
        <v>392.1</v>
      </c>
      <c r="K22" s="709">
        <f t="shared" si="6"/>
        <v>-1</v>
      </c>
      <c r="L22" s="710">
        <v>659.0</v>
      </c>
      <c r="M22" s="705" t="s">
        <v>111</v>
      </c>
      <c r="N22" s="705"/>
      <c r="O22" s="93"/>
      <c r="P22" s="93"/>
    </row>
    <row r="23" ht="67.5" customHeight="1" outlineLevel="1">
      <c r="A23" s="705"/>
      <c r="B23" s="705" t="s">
        <v>1210</v>
      </c>
      <c r="C23" s="706"/>
      <c r="D23" s="705" t="s">
        <v>1060</v>
      </c>
      <c r="E23" s="707">
        <v>200.0</v>
      </c>
      <c r="F23" s="708">
        <v>299.0</v>
      </c>
      <c r="G23" s="708">
        <v>299.0</v>
      </c>
      <c r="H23" s="724">
        <v>74.9</v>
      </c>
      <c r="I23" s="709">
        <f t="shared" si="4"/>
        <v>0.2505016722</v>
      </c>
      <c r="J23" s="708">
        <f t="shared" si="5"/>
        <v>224.1</v>
      </c>
      <c r="K23" s="709">
        <f t="shared" si="6"/>
        <v>-1</v>
      </c>
      <c r="L23" s="710">
        <v>359.0</v>
      </c>
      <c r="M23" s="705" t="s">
        <v>111</v>
      </c>
      <c r="N23" s="705"/>
      <c r="O23" s="93"/>
      <c r="P23" s="93"/>
    </row>
    <row r="24" ht="67.5" customHeight="1" outlineLevel="1">
      <c r="A24" s="87"/>
      <c r="B24" s="87"/>
      <c r="C24" s="89"/>
      <c r="D24" s="87"/>
      <c r="E24" s="258">
        <v>0.0</v>
      </c>
      <c r="F24" s="93">
        <v>0.0</v>
      </c>
      <c r="G24" s="93">
        <v>0.0</v>
      </c>
      <c r="H24" s="664">
        <v>0.0</v>
      </c>
      <c r="I24" s="158" t="str">
        <f t="shared" si="4"/>
        <v>#DIV/0!</v>
      </c>
      <c r="J24" s="93">
        <f t="shared" si="5"/>
        <v>0</v>
      </c>
      <c r="K24" s="158" t="str">
        <f t="shared" si="6"/>
        <v>#DIV/0!</v>
      </c>
      <c r="L24" s="134">
        <v>0.0</v>
      </c>
      <c r="M24" s="87" t="s">
        <v>111</v>
      </c>
      <c r="N24" s="87"/>
      <c r="O24" s="93"/>
      <c r="P24" s="93"/>
    </row>
    <row r="25" ht="25.5" customHeight="1">
      <c r="A25" s="615"/>
      <c r="B25" s="615" t="str">
        <f>"Салаты "&amp;COUNTA(C26:C31)&amp;" шт"</f>
        <v>Салаты 6 шт</v>
      </c>
      <c r="C25" s="615"/>
      <c r="D25" s="615"/>
      <c r="E25" s="669"/>
      <c r="F25" s="698"/>
      <c r="G25" s="698"/>
      <c r="H25" s="618"/>
      <c r="I25" s="648">
        <f>AVERAGE(I26:I31)</f>
        <v>0.2562176299</v>
      </c>
      <c r="J25" s="615"/>
      <c r="K25" s="615"/>
      <c r="L25" s="670"/>
      <c r="M25" s="672"/>
      <c r="N25" s="672"/>
      <c r="O25" s="698"/>
      <c r="P25" s="698"/>
    </row>
    <row r="26" ht="47.25" customHeight="1" outlineLevel="1">
      <c r="A26" s="705"/>
      <c r="B26" s="706" t="s">
        <v>1278</v>
      </c>
      <c r="C26" s="706" t="s">
        <v>177</v>
      </c>
      <c r="D26" s="711" t="s">
        <v>178</v>
      </c>
      <c r="E26" s="707">
        <v>180.0</v>
      </c>
      <c r="F26" s="708">
        <v>599.0</v>
      </c>
      <c r="G26" s="708">
        <v>549.0</v>
      </c>
      <c r="H26" s="704">
        <v>129.0</v>
      </c>
      <c r="I26" s="709">
        <f t="shared" ref="I26:I31" si="7">H26/G26</f>
        <v>0.2349726776</v>
      </c>
      <c r="J26" s="708">
        <f t="shared" ref="J26:J31" si="8">G26-H26</f>
        <v>420</v>
      </c>
      <c r="K26" s="709">
        <f t="shared" ref="K26:K31" si="9">O26/H26-1</f>
        <v>3.643410853</v>
      </c>
      <c r="L26" s="710">
        <v>599.0</v>
      </c>
      <c r="M26" s="705" t="s">
        <v>111</v>
      </c>
      <c r="N26" s="705"/>
      <c r="O26" s="93">
        <v>599.0</v>
      </c>
      <c r="P26" s="93"/>
    </row>
    <row r="27" ht="45.0" customHeight="1" outlineLevel="1">
      <c r="A27" s="705"/>
      <c r="B27" s="713" t="s">
        <v>1213</v>
      </c>
      <c r="C27" s="713" t="s">
        <v>180</v>
      </c>
      <c r="D27" s="725" t="s">
        <v>1063</v>
      </c>
      <c r="E27" s="707">
        <v>180.0</v>
      </c>
      <c r="F27" s="708">
        <v>299.0</v>
      </c>
      <c r="G27" s="708">
        <v>429.0</v>
      </c>
      <c r="H27" s="704">
        <v>112.0</v>
      </c>
      <c r="I27" s="709">
        <f t="shared" si="7"/>
        <v>0.2610722611</v>
      </c>
      <c r="J27" s="708">
        <f t="shared" si="8"/>
        <v>317</v>
      </c>
      <c r="K27" s="709">
        <f t="shared" si="9"/>
        <v>1.401785714</v>
      </c>
      <c r="L27" s="710"/>
      <c r="M27" s="705" t="s">
        <v>112</v>
      </c>
      <c r="N27" s="705"/>
      <c r="O27" s="93">
        <v>269.0</v>
      </c>
      <c r="P27" s="93"/>
    </row>
    <row r="28" ht="57.0" customHeight="1" outlineLevel="1">
      <c r="A28" s="705"/>
      <c r="B28" s="706"/>
      <c r="C28" s="706" t="s">
        <v>184</v>
      </c>
      <c r="D28" s="726" t="s">
        <v>182</v>
      </c>
      <c r="E28" s="707">
        <v>190.0</v>
      </c>
      <c r="F28" s="708">
        <v>399.0</v>
      </c>
      <c r="G28" s="708">
        <v>429.0</v>
      </c>
      <c r="H28" s="724">
        <v>113.98</v>
      </c>
      <c r="I28" s="709">
        <f t="shared" si="7"/>
        <v>0.2656876457</v>
      </c>
      <c r="J28" s="708">
        <f t="shared" si="8"/>
        <v>315.02</v>
      </c>
      <c r="K28" s="709">
        <f t="shared" si="9"/>
        <v>2.500614143</v>
      </c>
      <c r="L28" s="710">
        <v>479.0</v>
      </c>
      <c r="M28" s="705" t="s">
        <v>111</v>
      </c>
      <c r="N28" s="705"/>
      <c r="O28" s="93">
        <v>399.0</v>
      </c>
      <c r="P28" s="93"/>
    </row>
    <row r="29" ht="25.5" customHeight="1" outlineLevel="1">
      <c r="A29" s="705"/>
      <c r="B29" s="706"/>
      <c r="C29" s="706" t="s">
        <v>188</v>
      </c>
      <c r="D29" s="725" t="s">
        <v>1064</v>
      </c>
      <c r="E29" s="707">
        <v>210.0</v>
      </c>
      <c r="F29" s="708">
        <v>399.0</v>
      </c>
      <c r="G29" s="708">
        <v>429.0</v>
      </c>
      <c r="H29" s="724">
        <v>88.44</v>
      </c>
      <c r="I29" s="709">
        <f t="shared" si="7"/>
        <v>0.2061538462</v>
      </c>
      <c r="J29" s="708">
        <f t="shared" si="8"/>
        <v>340.56</v>
      </c>
      <c r="K29" s="709">
        <f t="shared" si="9"/>
        <v>3.511533243</v>
      </c>
      <c r="L29" s="710">
        <v>479.0</v>
      </c>
      <c r="M29" s="705" t="s">
        <v>111</v>
      </c>
      <c r="N29" s="705"/>
      <c r="O29" s="93">
        <v>399.0</v>
      </c>
      <c r="P29" s="93"/>
    </row>
    <row r="30" ht="30.0" customHeight="1" outlineLevel="1">
      <c r="A30" s="705"/>
      <c r="B30" s="706"/>
      <c r="C30" s="706" t="s">
        <v>190</v>
      </c>
      <c r="D30" s="711" t="s">
        <v>1066</v>
      </c>
      <c r="E30" s="707">
        <v>210.0</v>
      </c>
      <c r="F30" s="708">
        <v>569.0</v>
      </c>
      <c r="G30" s="708">
        <v>549.0</v>
      </c>
      <c r="H30" s="724">
        <v>146.69</v>
      </c>
      <c r="I30" s="709">
        <f t="shared" si="7"/>
        <v>0.2671948998</v>
      </c>
      <c r="J30" s="708">
        <f t="shared" si="8"/>
        <v>402.31</v>
      </c>
      <c r="K30" s="709">
        <f t="shared" si="9"/>
        <v>2.878928352</v>
      </c>
      <c r="L30" s="710">
        <v>639.0</v>
      </c>
      <c r="M30" s="705" t="s">
        <v>111</v>
      </c>
      <c r="N30" s="705"/>
      <c r="O30" s="93">
        <v>569.0</v>
      </c>
      <c r="P30" s="93"/>
    </row>
    <row r="31" ht="76.5" customHeight="1" outlineLevel="1">
      <c r="A31" s="705"/>
      <c r="B31" s="706" t="s">
        <v>1279</v>
      </c>
      <c r="C31" s="706" t="s">
        <v>1067</v>
      </c>
      <c r="D31" s="711" t="s">
        <v>1068</v>
      </c>
      <c r="E31" s="707">
        <v>150.0</v>
      </c>
      <c r="F31" s="708">
        <v>459.0</v>
      </c>
      <c r="G31" s="708">
        <v>499.0</v>
      </c>
      <c r="H31" s="724">
        <v>150.81</v>
      </c>
      <c r="I31" s="709">
        <f t="shared" si="7"/>
        <v>0.3022244489</v>
      </c>
      <c r="J31" s="708">
        <f t="shared" si="8"/>
        <v>348.19</v>
      </c>
      <c r="K31" s="709">
        <f t="shared" si="9"/>
        <v>2.308799151</v>
      </c>
      <c r="L31" s="710">
        <v>559.0</v>
      </c>
      <c r="M31" s="705" t="s">
        <v>111</v>
      </c>
      <c r="N31" s="705"/>
      <c r="O31" s="93">
        <v>499.0</v>
      </c>
      <c r="P31" s="93"/>
    </row>
    <row r="32" ht="25.5" customHeight="1">
      <c r="A32" s="614"/>
      <c r="B32" s="615" t="str">
        <f>"Закуски "&amp;COUNTA(C33:C39)&amp;" шт"</f>
        <v>Закуски 7 шт</v>
      </c>
      <c r="C32" s="614"/>
      <c r="D32" s="614"/>
      <c r="E32" s="616"/>
      <c r="F32" s="695"/>
      <c r="G32" s="695"/>
      <c r="H32" s="618"/>
      <c r="I32" s="648">
        <f>AVERAGE(I33:I39)</f>
        <v>0.2615159658</v>
      </c>
      <c r="J32" s="614"/>
      <c r="K32" s="614"/>
      <c r="L32" s="614"/>
      <c r="M32" s="86"/>
      <c r="N32" s="86"/>
      <c r="O32" s="695"/>
      <c r="P32" s="695"/>
    </row>
    <row r="33" ht="47.25" customHeight="1" outlineLevel="1">
      <c r="A33" s="705"/>
      <c r="B33" s="706" t="s">
        <v>1074</v>
      </c>
      <c r="C33" s="706" t="s">
        <v>1074</v>
      </c>
      <c r="D33" s="711"/>
      <c r="E33" s="707">
        <v>200.0</v>
      </c>
      <c r="F33" s="708">
        <v>0.0</v>
      </c>
      <c r="G33" s="708">
        <v>449.0</v>
      </c>
      <c r="H33" s="704">
        <v>137.9</v>
      </c>
      <c r="I33" s="709">
        <f t="shared" ref="I33:I39" si="10">H33/G33</f>
        <v>0.3071269488</v>
      </c>
      <c r="J33" s="708">
        <f t="shared" ref="J33:J39" si="11">G33-H33</f>
        <v>311.1</v>
      </c>
      <c r="K33" s="709">
        <f t="shared" ref="K33:K39" si="12">O33/H33-1</f>
        <v>1.893401015</v>
      </c>
      <c r="L33" s="710">
        <v>499.0</v>
      </c>
      <c r="M33" s="705" t="s">
        <v>111</v>
      </c>
      <c r="N33" s="705"/>
      <c r="O33" s="93">
        <v>399.0</v>
      </c>
      <c r="P33" s="93"/>
    </row>
    <row r="34" ht="25.5" customHeight="1" outlineLevel="1">
      <c r="A34" s="705"/>
      <c r="B34" s="706" t="s">
        <v>1280</v>
      </c>
      <c r="C34" s="706" t="s">
        <v>1281</v>
      </c>
      <c r="D34" s="711"/>
      <c r="E34" s="707" t="s">
        <v>202</v>
      </c>
      <c r="F34" s="708">
        <v>0.0</v>
      </c>
      <c r="G34" s="708">
        <v>199.0</v>
      </c>
      <c r="H34" s="704">
        <v>45.9</v>
      </c>
      <c r="I34" s="709">
        <f t="shared" si="10"/>
        <v>0.2306532663</v>
      </c>
      <c r="J34" s="708">
        <f t="shared" si="11"/>
        <v>153.1</v>
      </c>
      <c r="K34" s="709">
        <f t="shared" si="12"/>
        <v>-1</v>
      </c>
      <c r="L34" s="710">
        <v>249.0</v>
      </c>
      <c r="M34" s="705" t="s">
        <v>111</v>
      </c>
      <c r="N34" s="705"/>
      <c r="O34" s="93"/>
      <c r="P34" s="93"/>
    </row>
    <row r="35" ht="25.5" customHeight="1" outlineLevel="1">
      <c r="A35" s="705"/>
      <c r="B35" s="706" t="s">
        <v>1216</v>
      </c>
      <c r="C35" s="706" t="s">
        <v>203</v>
      </c>
      <c r="D35" s="711"/>
      <c r="E35" s="707" t="s">
        <v>202</v>
      </c>
      <c r="F35" s="708">
        <v>359.0</v>
      </c>
      <c r="G35" s="708">
        <v>359.0</v>
      </c>
      <c r="H35" s="704">
        <v>104.23</v>
      </c>
      <c r="I35" s="709">
        <f t="shared" si="10"/>
        <v>0.2903342618</v>
      </c>
      <c r="J35" s="708">
        <f t="shared" si="11"/>
        <v>254.77</v>
      </c>
      <c r="K35" s="709">
        <f t="shared" si="12"/>
        <v>2.444305862</v>
      </c>
      <c r="L35" s="710">
        <v>429.0</v>
      </c>
      <c r="M35" s="705" t="s">
        <v>111</v>
      </c>
      <c r="N35" s="705"/>
      <c r="O35" s="93">
        <v>359.0</v>
      </c>
      <c r="P35" s="93"/>
    </row>
    <row r="36" ht="25.5" customHeight="1" outlineLevel="1">
      <c r="A36" s="705"/>
      <c r="B36" s="706"/>
      <c r="C36" s="706" t="s">
        <v>472</v>
      </c>
      <c r="D36" s="711"/>
      <c r="E36" s="707" t="s">
        <v>1078</v>
      </c>
      <c r="F36" s="708">
        <v>199.0</v>
      </c>
      <c r="G36" s="708">
        <v>199.0</v>
      </c>
      <c r="H36" s="704">
        <v>47.35</v>
      </c>
      <c r="I36" s="709">
        <f t="shared" si="10"/>
        <v>0.2379396985</v>
      </c>
      <c r="J36" s="708">
        <f t="shared" si="11"/>
        <v>151.65</v>
      </c>
      <c r="K36" s="709">
        <f t="shared" si="12"/>
        <v>3.202745512</v>
      </c>
      <c r="L36" s="710">
        <v>249.0</v>
      </c>
      <c r="M36" s="705" t="s">
        <v>111</v>
      </c>
      <c r="N36" s="705"/>
      <c r="O36" s="93">
        <v>199.0</v>
      </c>
      <c r="P36" s="93"/>
    </row>
    <row r="37" ht="25.5" customHeight="1" outlineLevel="1">
      <c r="A37" s="705"/>
      <c r="B37" s="706" t="s">
        <v>1222</v>
      </c>
      <c r="C37" s="706" t="s">
        <v>205</v>
      </c>
      <c r="D37" s="711"/>
      <c r="E37" s="707">
        <v>200.0</v>
      </c>
      <c r="F37" s="708">
        <v>269.0</v>
      </c>
      <c r="G37" s="708">
        <v>249.0</v>
      </c>
      <c r="H37" s="704">
        <v>63.69</v>
      </c>
      <c r="I37" s="709">
        <f t="shared" si="10"/>
        <v>0.2557831325</v>
      </c>
      <c r="J37" s="708">
        <f t="shared" si="11"/>
        <v>185.31</v>
      </c>
      <c r="K37" s="709">
        <f t="shared" si="12"/>
        <v>3.694614539</v>
      </c>
      <c r="L37" s="710">
        <v>299.0</v>
      </c>
      <c r="M37" s="705" t="s">
        <v>111</v>
      </c>
      <c r="N37" s="705"/>
      <c r="O37" s="93">
        <v>299.0</v>
      </c>
      <c r="P37" s="93"/>
    </row>
    <row r="38" ht="25.5" customHeight="1" outlineLevel="1">
      <c r="A38" s="705"/>
      <c r="B38" s="706" t="s">
        <v>1222</v>
      </c>
      <c r="C38" s="706" t="s">
        <v>206</v>
      </c>
      <c r="D38" s="711"/>
      <c r="E38" s="707">
        <v>200.0</v>
      </c>
      <c r="F38" s="708">
        <v>269.0</v>
      </c>
      <c r="G38" s="708">
        <v>249.0</v>
      </c>
      <c r="H38" s="704">
        <v>64.89</v>
      </c>
      <c r="I38" s="709">
        <f t="shared" si="10"/>
        <v>0.2606024096</v>
      </c>
      <c r="J38" s="708">
        <f t="shared" si="11"/>
        <v>184.11</v>
      </c>
      <c r="K38" s="709">
        <f t="shared" si="12"/>
        <v>3.607797812</v>
      </c>
      <c r="L38" s="710">
        <v>299.0</v>
      </c>
      <c r="M38" s="705" t="s">
        <v>111</v>
      </c>
      <c r="N38" s="705"/>
      <c r="O38" s="93">
        <v>299.0</v>
      </c>
      <c r="P38" s="93"/>
    </row>
    <row r="39" ht="24.75" customHeight="1" outlineLevel="1">
      <c r="A39" s="705"/>
      <c r="B39" s="706" t="s">
        <v>1222</v>
      </c>
      <c r="C39" s="706" t="s">
        <v>207</v>
      </c>
      <c r="D39" s="711"/>
      <c r="E39" s="707" t="s">
        <v>202</v>
      </c>
      <c r="F39" s="708">
        <v>299.0</v>
      </c>
      <c r="G39" s="708">
        <v>279.0</v>
      </c>
      <c r="H39" s="704">
        <v>69.24</v>
      </c>
      <c r="I39" s="709">
        <f t="shared" si="10"/>
        <v>0.248172043</v>
      </c>
      <c r="J39" s="708">
        <f t="shared" si="11"/>
        <v>209.76</v>
      </c>
      <c r="K39" s="709">
        <f t="shared" si="12"/>
        <v>4.18486424</v>
      </c>
      <c r="L39" s="710">
        <v>349.0</v>
      </c>
      <c r="M39" s="705" t="s">
        <v>111</v>
      </c>
      <c r="N39" s="705"/>
      <c r="O39" s="93">
        <v>359.0</v>
      </c>
      <c r="P39" s="93"/>
    </row>
    <row r="40" ht="25.5" customHeight="1">
      <c r="A40" s="614"/>
      <c r="B40" s="615" t="str">
        <f>"Супы "&amp;COUNTA(C41:C44)&amp;" шт"</f>
        <v>Супы 4 шт</v>
      </c>
      <c r="C40" s="614"/>
      <c r="D40" s="614"/>
      <c r="E40" s="616"/>
      <c r="F40" s="695"/>
      <c r="G40" s="695"/>
      <c r="H40" s="618"/>
      <c r="I40" s="671">
        <f>AVERAGE(I41:I44)</f>
        <v>0.2510754315</v>
      </c>
      <c r="J40" s="614"/>
      <c r="K40" s="614"/>
      <c r="L40" s="614"/>
      <c r="M40" s="86"/>
      <c r="N40" s="86"/>
      <c r="O40" s="695"/>
      <c r="P40" s="695"/>
    </row>
    <row r="41" ht="25.5" customHeight="1" outlineLevel="1">
      <c r="A41" s="705"/>
      <c r="B41" s="713"/>
      <c r="C41" s="706" t="s">
        <v>214</v>
      </c>
      <c r="D41" s="713" t="s">
        <v>1079</v>
      </c>
      <c r="E41" s="707">
        <v>300.0</v>
      </c>
      <c r="F41" s="708">
        <v>329.0</v>
      </c>
      <c r="G41" s="708">
        <v>369.0</v>
      </c>
      <c r="H41" s="704">
        <v>74.57</v>
      </c>
      <c r="I41" s="709">
        <f t="shared" ref="I41:I44" si="13">H41/G41</f>
        <v>0.2020867209</v>
      </c>
      <c r="J41" s="708">
        <f t="shared" ref="J41:J44" si="14">G41-H41</f>
        <v>294.43</v>
      </c>
      <c r="K41" s="709">
        <f t="shared" ref="K41:K44" si="15">O41/H41-1</f>
        <v>2.875553172</v>
      </c>
      <c r="L41" s="710">
        <v>399.0</v>
      </c>
      <c r="M41" s="705" t="s">
        <v>111</v>
      </c>
      <c r="N41" s="705"/>
      <c r="O41" s="93">
        <v>289.0</v>
      </c>
      <c r="P41" s="93"/>
    </row>
    <row r="42" ht="25.5" customHeight="1" outlineLevel="1">
      <c r="A42" s="705"/>
      <c r="B42" s="706"/>
      <c r="C42" s="706" t="s">
        <v>1080</v>
      </c>
      <c r="D42" s="711" t="s">
        <v>1081</v>
      </c>
      <c r="E42" s="707">
        <v>300.0</v>
      </c>
      <c r="F42" s="708">
        <v>399.0</v>
      </c>
      <c r="G42" s="708">
        <v>429.0</v>
      </c>
      <c r="H42" s="704">
        <v>127.69</v>
      </c>
      <c r="I42" s="709">
        <f t="shared" si="13"/>
        <v>0.2976456876</v>
      </c>
      <c r="J42" s="708">
        <f t="shared" si="14"/>
        <v>301.31</v>
      </c>
      <c r="K42" s="709">
        <f t="shared" si="15"/>
        <v>2.124755267</v>
      </c>
      <c r="L42" s="710">
        <v>479.0</v>
      </c>
      <c r="M42" s="705" t="s">
        <v>111</v>
      </c>
      <c r="N42" s="705"/>
      <c r="O42" s="93">
        <v>399.0</v>
      </c>
      <c r="P42" s="93"/>
    </row>
    <row r="43" ht="25.5" customHeight="1" outlineLevel="1">
      <c r="A43" s="705"/>
      <c r="B43" s="706"/>
      <c r="C43" s="706" t="s">
        <v>219</v>
      </c>
      <c r="D43" s="711" t="s">
        <v>1082</v>
      </c>
      <c r="E43" s="707">
        <v>350.0</v>
      </c>
      <c r="F43" s="708">
        <v>589.0</v>
      </c>
      <c r="G43" s="708">
        <v>589.0</v>
      </c>
      <c r="H43" s="704">
        <v>168.17</v>
      </c>
      <c r="I43" s="709">
        <f t="shared" si="13"/>
        <v>0.2855178268</v>
      </c>
      <c r="J43" s="708">
        <f t="shared" si="14"/>
        <v>420.83</v>
      </c>
      <c r="K43" s="709">
        <f t="shared" si="15"/>
        <v>2.442944639</v>
      </c>
      <c r="L43" s="710">
        <v>659.0</v>
      </c>
      <c r="M43" s="705" t="s">
        <v>111</v>
      </c>
      <c r="N43" s="705"/>
      <c r="O43" s="93">
        <v>579.0</v>
      </c>
      <c r="P43" s="93"/>
    </row>
    <row r="44" ht="25.5" customHeight="1" outlineLevel="1">
      <c r="A44" s="705"/>
      <c r="B44" s="706"/>
      <c r="C44" s="706" t="s">
        <v>1083</v>
      </c>
      <c r="D44" s="711" t="s">
        <v>1084</v>
      </c>
      <c r="E44" s="707">
        <v>300.0</v>
      </c>
      <c r="F44" s="708">
        <v>359.0</v>
      </c>
      <c r="G44" s="708">
        <v>369.0</v>
      </c>
      <c r="H44" s="704">
        <v>80.83</v>
      </c>
      <c r="I44" s="709">
        <f t="shared" si="13"/>
        <v>0.2190514905</v>
      </c>
      <c r="J44" s="708">
        <f t="shared" si="14"/>
        <v>288.17</v>
      </c>
      <c r="K44" s="709">
        <f t="shared" si="15"/>
        <v>3.317703823</v>
      </c>
      <c r="L44" s="710">
        <v>399.0</v>
      </c>
      <c r="M44" s="705" t="s">
        <v>111</v>
      </c>
      <c r="N44" s="705"/>
      <c r="O44" s="93">
        <v>349.0</v>
      </c>
      <c r="P44" s="93"/>
    </row>
    <row r="45" ht="25.5" customHeight="1">
      <c r="A45" s="614"/>
      <c r="B45" s="615" t="str">
        <f>"Горячее, паста "&amp;COUNTA(C46:C63)&amp;" шт"</f>
        <v>Горячее, паста 18 шт</v>
      </c>
      <c r="C45" s="614"/>
      <c r="D45" s="614"/>
      <c r="E45" s="616" t="s">
        <v>220</v>
      </c>
      <c r="F45" s="695"/>
      <c r="G45" s="695"/>
      <c r="H45" s="618"/>
      <c r="I45" s="671">
        <f>AVERAGE(I46:I63)</f>
        <v>0.2883700389</v>
      </c>
      <c r="J45" s="614"/>
      <c r="K45" s="614"/>
      <c r="L45" s="614"/>
      <c r="M45" s="86"/>
      <c r="N45" s="86"/>
      <c r="O45" s="695"/>
      <c r="P45" s="695"/>
    </row>
    <row r="46" ht="25.5" customHeight="1" outlineLevel="1">
      <c r="A46" s="87"/>
      <c r="B46" s="711"/>
      <c r="C46" s="706" t="s">
        <v>1094</v>
      </c>
      <c r="D46" s="711" t="s">
        <v>1095</v>
      </c>
      <c r="E46" s="707">
        <v>300.0</v>
      </c>
      <c r="F46" s="708">
        <v>329.0</v>
      </c>
      <c r="G46" s="708">
        <v>339.0</v>
      </c>
      <c r="H46" s="704">
        <v>93.08</v>
      </c>
      <c r="I46" s="709">
        <f t="shared" ref="I46:I49" si="16">H46/G46</f>
        <v>0.2745722714</v>
      </c>
      <c r="J46" s="708">
        <f t="shared" ref="J46:J49" si="17">G46-H46</f>
        <v>245.92</v>
      </c>
      <c r="K46" s="709">
        <f t="shared" ref="K46:K49" si="18">O46/H46-1</f>
        <v>2.212290503</v>
      </c>
      <c r="L46" s="710">
        <v>389.0</v>
      </c>
      <c r="M46" s="705" t="s">
        <v>111</v>
      </c>
      <c r="N46" s="705"/>
      <c r="O46" s="93">
        <v>299.0</v>
      </c>
      <c r="P46" s="93"/>
    </row>
    <row r="47" ht="39.75" customHeight="1" outlineLevel="1">
      <c r="A47" s="87"/>
      <c r="B47" s="711" t="s">
        <v>1234</v>
      </c>
      <c r="C47" s="706" t="s">
        <v>1085</v>
      </c>
      <c r="D47" s="711" t="s">
        <v>1086</v>
      </c>
      <c r="E47" s="707">
        <v>280.0</v>
      </c>
      <c r="F47" s="708">
        <v>529.0</v>
      </c>
      <c r="G47" s="708">
        <v>539.0</v>
      </c>
      <c r="H47" s="704">
        <v>156.9</v>
      </c>
      <c r="I47" s="709">
        <f t="shared" si="16"/>
        <v>0.2910946197</v>
      </c>
      <c r="J47" s="708">
        <f t="shared" si="17"/>
        <v>382.1</v>
      </c>
      <c r="K47" s="709">
        <f t="shared" si="18"/>
        <v>2.180369662</v>
      </c>
      <c r="L47" s="710">
        <v>579.0</v>
      </c>
      <c r="M47" s="705" t="s">
        <v>111</v>
      </c>
      <c r="N47" s="705"/>
      <c r="O47" s="93">
        <v>499.0</v>
      </c>
      <c r="P47" s="93"/>
    </row>
    <row r="48" ht="39.75" customHeight="1" outlineLevel="1">
      <c r="A48" s="87"/>
      <c r="B48" s="711" t="s">
        <v>1216</v>
      </c>
      <c r="C48" s="706" t="s">
        <v>277</v>
      </c>
      <c r="D48" s="711" t="s">
        <v>1087</v>
      </c>
      <c r="E48" s="707">
        <v>230.0</v>
      </c>
      <c r="F48" s="708">
        <v>429.0</v>
      </c>
      <c r="G48" s="708">
        <v>439.0</v>
      </c>
      <c r="H48" s="704">
        <v>105.24</v>
      </c>
      <c r="I48" s="709">
        <f t="shared" si="16"/>
        <v>0.2397266515</v>
      </c>
      <c r="J48" s="708">
        <f t="shared" si="17"/>
        <v>333.76</v>
      </c>
      <c r="K48" s="709">
        <f t="shared" si="18"/>
        <v>3.076396807</v>
      </c>
      <c r="L48" s="710">
        <v>499.0</v>
      </c>
      <c r="M48" s="705" t="s">
        <v>111</v>
      </c>
      <c r="N48" s="705"/>
      <c r="O48" s="93">
        <v>429.0</v>
      </c>
      <c r="P48" s="93"/>
    </row>
    <row r="49" ht="25.5" customHeight="1" outlineLevel="1">
      <c r="A49" s="87"/>
      <c r="B49" s="711" t="s">
        <v>1237</v>
      </c>
      <c r="C49" s="706" t="s">
        <v>280</v>
      </c>
      <c r="D49" s="711" t="s">
        <v>1088</v>
      </c>
      <c r="E49" s="707">
        <v>250.0</v>
      </c>
      <c r="F49" s="708">
        <v>329.0</v>
      </c>
      <c r="G49" s="708">
        <v>399.0</v>
      </c>
      <c r="H49" s="704">
        <v>108.0</v>
      </c>
      <c r="I49" s="709">
        <f t="shared" si="16"/>
        <v>0.2706766917</v>
      </c>
      <c r="J49" s="708">
        <f t="shared" si="17"/>
        <v>291</v>
      </c>
      <c r="K49" s="709">
        <f t="shared" si="18"/>
        <v>2.694444444</v>
      </c>
      <c r="L49" s="710">
        <v>489.0</v>
      </c>
      <c r="M49" s="705" t="s">
        <v>111</v>
      </c>
      <c r="N49" s="705"/>
      <c r="O49" s="93">
        <v>399.0</v>
      </c>
      <c r="P49" s="93"/>
    </row>
    <row r="50" ht="25.5" customHeight="1" outlineLevel="1">
      <c r="A50" s="102"/>
      <c r="B50" s="650"/>
      <c r="C50" s="650" t="s">
        <v>1090</v>
      </c>
      <c r="D50" s="650" t="s">
        <v>1091</v>
      </c>
      <c r="E50" s="652">
        <v>250.0</v>
      </c>
      <c r="F50" s="184">
        <v>469.0</v>
      </c>
      <c r="G50" s="640">
        <v>469.0</v>
      </c>
      <c r="H50" s="653">
        <v>132.0</v>
      </c>
      <c r="I50" s="238">
        <f>H50/E50</f>
        <v>0.528</v>
      </c>
      <c r="J50" s="269">
        <f>E50-H50</f>
        <v>118</v>
      </c>
      <c r="K50" s="238">
        <f>F50/H50-1</f>
        <v>2.553030303</v>
      </c>
      <c r="L50" s="710">
        <v>529.0</v>
      </c>
      <c r="M50" s="705" t="s">
        <v>111</v>
      </c>
      <c r="N50" s="102" t="s">
        <v>111</v>
      </c>
      <c r="O50" s="102"/>
      <c r="P50" s="102"/>
    </row>
    <row r="51" ht="25.5" customHeight="1" outlineLevel="1">
      <c r="A51" s="87"/>
      <c r="B51" s="711" t="s">
        <v>1092</v>
      </c>
      <c r="C51" s="711" t="s">
        <v>1092</v>
      </c>
      <c r="D51" s="711" t="s">
        <v>1093</v>
      </c>
      <c r="E51" s="707">
        <v>230.0</v>
      </c>
      <c r="F51" s="708"/>
      <c r="G51" s="708">
        <v>559.0</v>
      </c>
      <c r="H51" s="704">
        <v>175.0</v>
      </c>
      <c r="I51" s="709">
        <f t="shared" ref="I51:I63" si="19">H51/G51</f>
        <v>0.313059034</v>
      </c>
      <c r="J51" s="708">
        <f t="shared" ref="J51:J63" si="20">G51-H51</f>
        <v>384</v>
      </c>
      <c r="K51" s="709">
        <f t="shared" ref="K51:K63" si="21">O51/H51-1</f>
        <v>-1</v>
      </c>
      <c r="L51" s="710">
        <v>639.0</v>
      </c>
      <c r="M51" s="705" t="s">
        <v>111</v>
      </c>
      <c r="N51" s="705"/>
      <c r="O51" s="93"/>
      <c r="P51" s="93"/>
    </row>
    <row r="52" ht="25.5" customHeight="1" outlineLevel="1">
      <c r="A52" s="87"/>
      <c r="B52" s="711" t="s">
        <v>1216</v>
      </c>
      <c r="C52" s="706" t="s">
        <v>283</v>
      </c>
      <c r="D52" s="711" t="s">
        <v>1089</v>
      </c>
      <c r="E52" s="707">
        <v>250.0</v>
      </c>
      <c r="F52" s="708">
        <v>529.0</v>
      </c>
      <c r="G52" s="708">
        <v>559.0</v>
      </c>
      <c r="H52" s="704">
        <v>167.42</v>
      </c>
      <c r="I52" s="709">
        <f t="shared" si="19"/>
        <v>0.2994991055</v>
      </c>
      <c r="J52" s="708">
        <f t="shared" si="20"/>
        <v>391.58</v>
      </c>
      <c r="K52" s="709">
        <f t="shared" si="21"/>
        <v>2.338908135</v>
      </c>
      <c r="L52" s="710">
        <v>649.0</v>
      </c>
      <c r="M52" s="705" t="s">
        <v>111</v>
      </c>
      <c r="N52" s="705"/>
      <c r="O52" s="93">
        <v>559.0</v>
      </c>
      <c r="P52" s="93"/>
    </row>
    <row r="53" ht="40.5" customHeight="1" outlineLevel="1">
      <c r="A53" s="87"/>
      <c r="B53" s="711"/>
      <c r="C53" s="706" t="s">
        <v>300</v>
      </c>
      <c r="D53" s="711" t="s">
        <v>1109</v>
      </c>
      <c r="E53" s="707">
        <v>300.0</v>
      </c>
      <c r="F53" s="708">
        <v>799.0</v>
      </c>
      <c r="G53" s="708">
        <v>799.0</v>
      </c>
      <c r="H53" s="704">
        <v>186.8</v>
      </c>
      <c r="I53" s="709">
        <f t="shared" si="19"/>
        <v>0.2337922403</v>
      </c>
      <c r="J53" s="708">
        <f t="shared" si="20"/>
        <v>612.2</v>
      </c>
      <c r="K53" s="709">
        <f t="shared" si="21"/>
        <v>3.812633833</v>
      </c>
      <c r="L53" s="710">
        <v>999.0</v>
      </c>
      <c r="M53" s="705" t="s">
        <v>111</v>
      </c>
      <c r="N53" s="705"/>
      <c r="O53" s="93">
        <v>899.0</v>
      </c>
      <c r="P53" s="93"/>
    </row>
    <row r="54" ht="25.5" customHeight="1" outlineLevel="1">
      <c r="A54" s="87"/>
      <c r="B54" s="706" t="s">
        <v>1282</v>
      </c>
      <c r="C54" s="706" t="s">
        <v>1072</v>
      </c>
      <c r="D54" s="711" t="s">
        <v>1073</v>
      </c>
      <c r="E54" s="707">
        <v>300.0</v>
      </c>
      <c r="F54" s="708">
        <v>0.0</v>
      </c>
      <c r="G54" s="708">
        <v>479.0</v>
      </c>
      <c r="H54" s="704">
        <v>152.3</v>
      </c>
      <c r="I54" s="709">
        <f t="shared" si="19"/>
        <v>0.317954071</v>
      </c>
      <c r="J54" s="708">
        <f t="shared" si="20"/>
        <v>326.7</v>
      </c>
      <c r="K54" s="709">
        <f t="shared" si="21"/>
        <v>1.619829284</v>
      </c>
      <c r="L54" s="710">
        <v>549.0</v>
      </c>
      <c r="M54" s="705" t="s">
        <v>111</v>
      </c>
      <c r="N54" s="705"/>
      <c r="O54" s="93">
        <v>399.0</v>
      </c>
      <c r="P54" s="93"/>
    </row>
    <row r="55" ht="25.5" customHeight="1" outlineLevel="1">
      <c r="A55" s="87"/>
      <c r="B55" s="711" t="s">
        <v>1096</v>
      </c>
      <c r="C55" s="711" t="s">
        <v>1096</v>
      </c>
      <c r="D55" s="711" t="s">
        <v>1097</v>
      </c>
      <c r="E55" s="707">
        <v>250.0</v>
      </c>
      <c r="F55" s="708">
        <v>0.0</v>
      </c>
      <c r="G55" s="708">
        <v>499.0</v>
      </c>
      <c r="H55" s="704">
        <v>130.9</v>
      </c>
      <c r="I55" s="709">
        <f t="shared" si="19"/>
        <v>0.2623246493</v>
      </c>
      <c r="J55" s="708">
        <f t="shared" si="20"/>
        <v>368.1</v>
      </c>
      <c r="K55" s="709">
        <f t="shared" si="21"/>
        <v>2.430099312</v>
      </c>
      <c r="L55" s="710">
        <v>599.0</v>
      </c>
      <c r="M55" s="705" t="s">
        <v>111</v>
      </c>
      <c r="N55" s="705"/>
      <c r="O55" s="93">
        <v>449.0</v>
      </c>
      <c r="P55" s="93"/>
    </row>
    <row r="56" ht="25.5" customHeight="1" outlineLevel="1">
      <c r="A56" s="87"/>
      <c r="B56" s="711" t="s">
        <v>1246</v>
      </c>
      <c r="C56" s="711" t="s">
        <v>1247</v>
      </c>
      <c r="D56" s="711" t="s">
        <v>1098</v>
      </c>
      <c r="E56" s="707">
        <v>250.0</v>
      </c>
      <c r="F56" s="708">
        <v>0.0</v>
      </c>
      <c r="G56" s="708">
        <v>469.0</v>
      </c>
      <c r="H56" s="704">
        <v>123.5</v>
      </c>
      <c r="I56" s="709">
        <f t="shared" si="19"/>
        <v>0.263326226</v>
      </c>
      <c r="J56" s="708">
        <f t="shared" si="20"/>
        <v>345.5</v>
      </c>
      <c r="K56" s="709">
        <f t="shared" si="21"/>
        <v>-1</v>
      </c>
      <c r="L56" s="710">
        <v>529.0</v>
      </c>
      <c r="M56" s="705" t="s">
        <v>111</v>
      </c>
      <c r="N56" s="705"/>
      <c r="O56" s="93"/>
      <c r="P56" s="93"/>
    </row>
    <row r="57" ht="25.5" customHeight="1" outlineLevel="1">
      <c r="A57" s="87"/>
      <c r="B57" s="711"/>
      <c r="C57" s="706" t="s">
        <v>293</v>
      </c>
      <c r="D57" s="711" t="s">
        <v>1104</v>
      </c>
      <c r="E57" s="707">
        <v>230.0</v>
      </c>
      <c r="F57" s="708">
        <v>459.0</v>
      </c>
      <c r="G57" s="708">
        <v>479.0</v>
      </c>
      <c r="H57" s="704">
        <v>151.0</v>
      </c>
      <c r="I57" s="709">
        <f t="shared" si="19"/>
        <v>0.3152400835</v>
      </c>
      <c r="J57" s="708">
        <f t="shared" si="20"/>
        <v>328</v>
      </c>
      <c r="K57" s="709">
        <f t="shared" si="21"/>
        <v>1.841059603</v>
      </c>
      <c r="L57" s="710">
        <v>539.0</v>
      </c>
      <c r="M57" s="705" t="s">
        <v>111</v>
      </c>
      <c r="N57" s="705"/>
      <c r="O57" s="93">
        <v>429.0</v>
      </c>
      <c r="P57" s="93"/>
    </row>
    <row r="58" ht="25.5" customHeight="1" outlineLevel="1">
      <c r="A58" s="87"/>
      <c r="B58" s="711"/>
      <c r="C58" s="706" t="s">
        <v>297</v>
      </c>
      <c r="D58" s="711" t="s">
        <v>1105</v>
      </c>
      <c r="E58" s="707">
        <v>230.0</v>
      </c>
      <c r="F58" s="708">
        <v>469.0</v>
      </c>
      <c r="G58" s="708">
        <v>489.0</v>
      </c>
      <c r="H58" s="704">
        <v>137.9</v>
      </c>
      <c r="I58" s="709">
        <f t="shared" si="19"/>
        <v>0.28200409</v>
      </c>
      <c r="J58" s="708">
        <f t="shared" si="20"/>
        <v>351.1</v>
      </c>
      <c r="K58" s="709">
        <f t="shared" si="21"/>
        <v>2.255982596</v>
      </c>
      <c r="L58" s="710">
        <v>559.0</v>
      </c>
      <c r="M58" s="705" t="s">
        <v>111</v>
      </c>
      <c r="N58" s="705"/>
      <c r="O58" s="93">
        <v>449.0</v>
      </c>
      <c r="P58" s="93"/>
    </row>
    <row r="59" ht="25.5" customHeight="1" outlineLevel="1">
      <c r="A59" s="87"/>
      <c r="B59" s="711"/>
      <c r="C59" s="706" t="s">
        <v>1106</v>
      </c>
      <c r="D59" s="711" t="s">
        <v>1107</v>
      </c>
      <c r="E59" s="707" t="s">
        <v>1108</v>
      </c>
      <c r="F59" s="708">
        <v>559.0</v>
      </c>
      <c r="G59" s="708">
        <v>559.0</v>
      </c>
      <c r="H59" s="704">
        <v>143.6</v>
      </c>
      <c r="I59" s="709">
        <f t="shared" si="19"/>
        <v>0.2568872987</v>
      </c>
      <c r="J59" s="708">
        <f t="shared" si="20"/>
        <v>415.4</v>
      </c>
      <c r="K59" s="709">
        <f t="shared" si="21"/>
        <v>-1</v>
      </c>
      <c r="L59" s="710">
        <v>649.0</v>
      </c>
      <c r="M59" s="705" t="s">
        <v>111</v>
      </c>
      <c r="N59" s="705"/>
      <c r="O59" s="93"/>
      <c r="P59" s="93"/>
    </row>
    <row r="60" ht="46.5" customHeight="1" outlineLevel="1">
      <c r="A60" s="705"/>
      <c r="B60" s="711" t="s">
        <v>1243</v>
      </c>
      <c r="C60" s="706" t="s">
        <v>1099</v>
      </c>
      <c r="D60" s="711" t="s">
        <v>1100</v>
      </c>
      <c r="E60" s="707">
        <v>250.0</v>
      </c>
      <c r="F60" s="708">
        <v>699.0</v>
      </c>
      <c r="G60" s="708">
        <v>559.0</v>
      </c>
      <c r="H60" s="704">
        <v>132.5</v>
      </c>
      <c r="I60" s="709">
        <f t="shared" si="19"/>
        <v>0.2370304114</v>
      </c>
      <c r="J60" s="708">
        <f t="shared" si="20"/>
        <v>426.5</v>
      </c>
      <c r="K60" s="709">
        <f t="shared" si="21"/>
        <v>-1</v>
      </c>
      <c r="L60" s="710">
        <v>649.0</v>
      </c>
      <c r="M60" s="705" t="s">
        <v>111</v>
      </c>
      <c r="N60" s="705"/>
      <c r="O60" s="93"/>
      <c r="P60" s="93"/>
    </row>
    <row r="61" ht="25.5" customHeight="1" outlineLevel="1">
      <c r="A61" s="87"/>
      <c r="B61" s="711"/>
      <c r="C61" s="706" t="s">
        <v>1101</v>
      </c>
      <c r="D61" s="711" t="s">
        <v>1102</v>
      </c>
      <c r="E61" s="707" t="s">
        <v>1103</v>
      </c>
      <c r="F61" s="708">
        <v>1399.0</v>
      </c>
      <c r="G61" s="708">
        <v>1499.0</v>
      </c>
      <c r="H61" s="704">
        <v>477.0</v>
      </c>
      <c r="I61" s="709">
        <f t="shared" si="19"/>
        <v>0.3182121414</v>
      </c>
      <c r="J61" s="708">
        <f t="shared" si="20"/>
        <v>1022</v>
      </c>
      <c r="K61" s="709">
        <f t="shared" si="21"/>
        <v>2.142557652</v>
      </c>
      <c r="L61" s="710"/>
      <c r="M61" s="705" t="s">
        <v>112</v>
      </c>
      <c r="N61" s="705"/>
      <c r="O61" s="93">
        <v>1499.0</v>
      </c>
      <c r="P61" s="93"/>
    </row>
    <row r="62" ht="25.5" customHeight="1" outlineLevel="1">
      <c r="A62" s="87"/>
      <c r="B62" s="711"/>
      <c r="C62" s="706" t="s">
        <v>290</v>
      </c>
      <c r="D62" s="711" t="s">
        <v>288</v>
      </c>
      <c r="E62" s="707">
        <v>120.0</v>
      </c>
      <c r="F62" s="708">
        <v>159.0</v>
      </c>
      <c r="G62" s="708">
        <v>159.0</v>
      </c>
      <c r="H62" s="704">
        <v>25.6</v>
      </c>
      <c r="I62" s="709">
        <f t="shared" si="19"/>
        <v>0.1610062893</v>
      </c>
      <c r="J62" s="708">
        <f t="shared" si="20"/>
        <v>133.4</v>
      </c>
      <c r="K62" s="709">
        <f t="shared" si="21"/>
        <v>5.2109375</v>
      </c>
      <c r="L62" s="710">
        <v>199.0</v>
      </c>
      <c r="M62" s="705" t="s">
        <v>111</v>
      </c>
      <c r="N62" s="705"/>
      <c r="O62" s="93">
        <v>159.0</v>
      </c>
      <c r="P62" s="93"/>
    </row>
    <row r="63" ht="25.5" customHeight="1" outlineLevel="1">
      <c r="A63" s="87"/>
      <c r="B63" s="727"/>
      <c r="C63" s="706" t="s">
        <v>303</v>
      </c>
      <c r="D63" s="711" t="s">
        <v>1110</v>
      </c>
      <c r="E63" s="707">
        <v>170.0</v>
      </c>
      <c r="F63" s="708">
        <v>239.0</v>
      </c>
      <c r="G63" s="708">
        <v>259.0</v>
      </c>
      <c r="H63" s="704">
        <v>84.5</v>
      </c>
      <c r="I63" s="709">
        <f t="shared" si="19"/>
        <v>0.3262548263</v>
      </c>
      <c r="J63" s="708">
        <f t="shared" si="20"/>
        <v>174.5</v>
      </c>
      <c r="K63" s="709">
        <f t="shared" si="21"/>
        <v>1.946745562</v>
      </c>
      <c r="L63" s="710">
        <v>299.0</v>
      </c>
      <c r="M63" s="705" t="s">
        <v>111</v>
      </c>
      <c r="N63" s="705"/>
      <c r="O63" s="93">
        <v>249.0</v>
      </c>
      <c r="P63" s="93"/>
    </row>
    <row r="64" ht="25.5" customHeight="1" collapsed="1">
      <c r="A64" s="614"/>
      <c r="B64" s="615" t="str">
        <f>"Бургеры "&amp;COUNTA(C65:C67)&amp;" шт"</f>
        <v>Бургеры 3 шт</v>
      </c>
      <c r="C64" s="614"/>
      <c r="D64" s="614"/>
      <c r="E64" s="616"/>
      <c r="F64" s="695"/>
      <c r="G64" s="695"/>
      <c r="H64" s="618"/>
      <c r="I64" s="648">
        <f>AVERAGE(I65:I68)</f>
        <v>0.2804859604</v>
      </c>
      <c r="J64" s="614"/>
      <c r="K64" s="614"/>
      <c r="L64" s="670"/>
      <c r="M64" s="86"/>
      <c r="N64" s="86"/>
      <c r="O64" s="695"/>
      <c r="P64" s="695"/>
    </row>
    <row r="65" ht="25.5" hidden="1" customHeight="1" outlineLevel="1">
      <c r="A65" s="705"/>
      <c r="B65" s="706" t="s">
        <v>1116</v>
      </c>
      <c r="C65" s="706" t="s">
        <v>1283</v>
      </c>
      <c r="D65" s="706" t="s">
        <v>313</v>
      </c>
      <c r="E65" s="707">
        <v>300.0</v>
      </c>
      <c r="F65" s="708">
        <v>469.0</v>
      </c>
      <c r="G65" s="708">
        <v>469.0</v>
      </c>
      <c r="H65" s="704">
        <v>130.26</v>
      </c>
      <c r="I65" s="709">
        <f t="shared" ref="I65:I68" si="22">H65/G65</f>
        <v>0.2777398721</v>
      </c>
      <c r="J65" s="708">
        <f t="shared" ref="J65:J68" si="23">G65-H65</f>
        <v>338.74</v>
      </c>
      <c r="K65" s="709"/>
      <c r="L65" s="710">
        <v>529.0</v>
      </c>
      <c r="M65" s="705" t="s">
        <v>111</v>
      </c>
      <c r="N65" s="705"/>
      <c r="O65" s="93">
        <v>429.0</v>
      </c>
      <c r="P65" s="93"/>
    </row>
    <row r="66" ht="25.5" hidden="1" customHeight="1" outlineLevel="1">
      <c r="A66" s="705"/>
      <c r="B66" s="706" t="s">
        <v>1117</v>
      </c>
      <c r="C66" s="706" t="s">
        <v>318</v>
      </c>
      <c r="D66" s="706" t="s">
        <v>1118</v>
      </c>
      <c r="E66" s="707">
        <v>300.0</v>
      </c>
      <c r="F66" s="708">
        <v>549.0</v>
      </c>
      <c r="G66" s="708">
        <v>529.0</v>
      </c>
      <c r="H66" s="704">
        <v>144.8</v>
      </c>
      <c r="I66" s="709">
        <f t="shared" si="22"/>
        <v>0.2737240076</v>
      </c>
      <c r="J66" s="708">
        <f t="shared" si="23"/>
        <v>384.2</v>
      </c>
      <c r="K66" s="709"/>
      <c r="L66" s="710">
        <v>599.0</v>
      </c>
      <c r="M66" s="705" t="s">
        <v>111</v>
      </c>
      <c r="N66" s="705"/>
      <c r="O66" s="93">
        <v>539.0</v>
      </c>
      <c r="P66" s="93"/>
    </row>
    <row r="67" ht="25.5" hidden="1" customHeight="1" outlineLevel="1">
      <c r="A67" s="705"/>
      <c r="B67" s="706" t="s">
        <v>1116</v>
      </c>
      <c r="C67" s="706" t="s">
        <v>322</v>
      </c>
      <c r="D67" s="706" t="s">
        <v>321</v>
      </c>
      <c r="E67" s="707">
        <v>300.0</v>
      </c>
      <c r="F67" s="708">
        <v>0.0</v>
      </c>
      <c r="G67" s="708">
        <v>529.0</v>
      </c>
      <c r="H67" s="704">
        <v>142.8</v>
      </c>
      <c r="I67" s="709">
        <f t="shared" si="22"/>
        <v>0.2699432892</v>
      </c>
      <c r="J67" s="708">
        <f t="shared" si="23"/>
        <v>386.2</v>
      </c>
      <c r="K67" s="709"/>
      <c r="L67" s="710">
        <v>599.0</v>
      </c>
      <c r="M67" s="705" t="s">
        <v>111</v>
      </c>
      <c r="N67" s="705"/>
      <c r="O67" s="93">
        <v>589.0</v>
      </c>
      <c r="P67" s="93"/>
    </row>
    <row r="68" ht="25.5" hidden="1" customHeight="1" outlineLevel="1">
      <c r="A68" s="705"/>
      <c r="B68" s="706"/>
      <c r="C68" s="706" t="s">
        <v>325</v>
      </c>
      <c r="D68" s="711" t="s">
        <v>324</v>
      </c>
      <c r="E68" s="707">
        <v>280.0</v>
      </c>
      <c r="F68" s="708">
        <v>0.0</v>
      </c>
      <c r="G68" s="708">
        <v>559.0</v>
      </c>
      <c r="H68" s="704">
        <v>168.0</v>
      </c>
      <c r="I68" s="709">
        <f t="shared" si="22"/>
        <v>0.3005366726</v>
      </c>
      <c r="J68" s="708">
        <f t="shared" si="23"/>
        <v>391</v>
      </c>
      <c r="K68" s="709"/>
      <c r="L68" s="710">
        <v>639.0</v>
      </c>
      <c r="M68" s="705" t="s">
        <v>111</v>
      </c>
      <c r="N68" s="705"/>
      <c r="O68" s="93"/>
      <c r="P68" s="93"/>
    </row>
    <row r="69" ht="25.5" customHeight="1">
      <c r="A69" s="614"/>
      <c r="B69" s="615" t="str">
        <f>"Пицца "&amp;COUNTA(C70:C77)&amp;" шт"</f>
        <v>Пицца 8 шт</v>
      </c>
      <c r="C69" s="614"/>
      <c r="D69" s="614"/>
      <c r="E69" s="616"/>
      <c r="F69" s="695"/>
      <c r="G69" s="695"/>
      <c r="H69" s="618"/>
      <c r="I69" s="648">
        <f>AVERAGE(I70:I77)</f>
        <v>0.254304322</v>
      </c>
      <c r="J69" s="614"/>
      <c r="K69" s="614"/>
      <c r="L69" s="670"/>
      <c r="M69" s="86"/>
      <c r="N69" s="86"/>
      <c r="O69" s="695"/>
      <c r="P69" s="695"/>
    </row>
    <row r="70" ht="25.5" customHeight="1" outlineLevel="1">
      <c r="A70" s="705"/>
      <c r="B70" s="711" t="s">
        <v>1255</v>
      </c>
      <c r="C70" s="711" t="s">
        <v>1121</v>
      </c>
      <c r="D70" s="711" t="s">
        <v>327</v>
      </c>
      <c r="E70" s="707">
        <v>460.0</v>
      </c>
      <c r="F70" s="708">
        <v>0.0</v>
      </c>
      <c r="G70" s="708">
        <v>569.0</v>
      </c>
      <c r="H70" s="704">
        <v>132.5</v>
      </c>
      <c r="I70" s="709">
        <f t="shared" ref="I70:I77" si="24">H70/G70</f>
        <v>0.2328646749</v>
      </c>
      <c r="J70" s="708">
        <f t="shared" ref="J70:J77" si="25">G70-H70</f>
        <v>436.5</v>
      </c>
      <c r="K70" s="709">
        <v>0.0</v>
      </c>
      <c r="L70" s="710">
        <v>649.0</v>
      </c>
      <c r="M70" s="705" t="s">
        <v>111</v>
      </c>
      <c r="N70" s="705"/>
      <c r="O70" s="93">
        <v>699.0</v>
      </c>
      <c r="P70" s="93"/>
    </row>
    <row r="71" ht="25.5" customHeight="1" outlineLevel="1">
      <c r="A71" s="705"/>
      <c r="B71" s="728"/>
      <c r="C71" s="706" t="s">
        <v>332</v>
      </c>
      <c r="D71" s="711" t="s">
        <v>331</v>
      </c>
      <c r="E71" s="707">
        <v>430.0</v>
      </c>
      <c r="F71" s="708">
        <v>439.0</v>
      </c>
      <c r="G71" s="708">
        <v>449.0</v>
      </c>
      <c r="H71" s="704">
        <v>98.68</v>
      </c>
      <c r="I71" s="709">
        <f t="shared" si="24"/>
        <v>0.2197772829</v>
      </c>
      <c r="J71" s="708">
        <f t="shared" si="25"/>
        <v>350.32</v>
      </c>
      <c r="K71" s="709">
        <f t="shared" ref="K71:K77" si="26">O71/H71-1</f>
        <v>3.550060803</v>
      </c>
      <c r="L71" s="710">
        <v>549.0</v>
      </c>
      <c r="M71" s="705" t="s">
        <v>111</v>
      </c>
      <c r="N71" s="705"/>
      <c r="O71" s="93">
        <v>449.0</v>
      </c>
      <c r="P71" s="93"/>
    </row>
    <row r="72" ht="25.5" customHeight="1" outlineLevel="1">
      <c r="A72" s="705"/>
      <c r="B72" s="706"/>
      <c r="C72" s="706" t="s">
        <v>335</v>
      </c>
      <c r="D72" s="711" t="s">
        <v>334</v>
      </c>
      <c r="E72" s="707">
        <v>520.0</v>
      </c>
      <c r="F72" s="708">
        <v>559.0</v>
      </c>
      <c r="G72" s="708">
        <v>569.0</v>
      </c>
      <c r="H72" s="704">
        <v>135.75</v>
      </c>
      <c r="I72" s="709">
        <f t="shared" si="24"/>
        <v>0.2385764499</v>
      </c>
      <c r="J72" s="708">
        <f t="shared" si="25"/>
        <v>433.25</v>
      </c>
      <c r="K72" s="709">
        <f t="shared" si="26"/>
        <v>3.044198895</v>
      </c>
      <c r="L72" s="710">
        <v>649.0</v>
      </c>
      <c r="M72" s="705" t="s">
        <v>111</v>
      </c>
      <c r="N72" s="705"/>
      <c r="O72" s="93">
        <v>549.0</v>
      </c>
      <c r="P72" s="93"/>
    </row>
    <row r="73" ht="25.5" customHeight="1" outlineLevel="1">
      <c r="A73" s="705"/>
      <c r="B73" s="706"/>
      <c r="C73" s="706" t="s">
        <v>339</v>
      </c>
      <c r="D73" s="711" t="s">
        <v>338</v>
      </c>
      <c r="E73" s="707">
        <v>490.0</v>
      </c>
      <c r="F73" s="708">
        <v>559.0</v>
      </c>
      <c r="G73" s="708">
        <v>569.0</v>
      </c>
      <c r="H73" s="704">
        <v>126.8</v>
      </c>
      <c r="I73" s="709">
        <f t="shared" si="24"/>
        <v>0.2228471002</v>
      </c>
      <c r="J73" s="708">
        <f t="shared" si="25"/>
        <v>442.2</v>
      </c>
      <c r="K73" s="709">
        <f t="shared" si="26"/>
        <v>3.329652997</v>
      </c>
      <c r="L73" s="710">
        <v>649.0</v>
      </c>
      <c r="M73" s="705" t="s">
        <v>111</v>
      </c>
      <c r="N73" s="705"/>
      <c r="O73" s="93">
        <v>549.0</v>
      </c>
      <c r="P73" s="93"/>
    </row>
    <row r="74" ht="25.5" customHeight="1" outlineLevel="1">
      <c r="A74" s="705"/>
      <c r="B74" s="711"/>
      <c r="C74" s="706" t="s">
        <v>342</v>
      </c>
      <c r="D74" s="711" t="s">
        <v>341</v>
      </c>
      <c r="E74" s="707">
        <v>560.0</v>
      </c>
      <c r="F74" s="708">
        <v>569.0</v>
      </c>
      <c r="G74" s="708">
        <v>569.0</v>
      </c>
      <c r="H74" s="704">
        <v>178.9</v>
      </c>
      <c r="I74" s="709">
        <f t="shared" si="24"/>
        <v>0.3144112478</v>
      </c>
      <c r="J74" s="708">
        <f t="shared" si="25"/>
        <v>390.1</v>
      </c>
      <c r="K74" s="709">
        <f t="shared" si="26"/>
        <v>2.068753494</v>
      </c>
      <c r="L74" s="710">
        <v>649.0</v>
      </c>
      <c r="M74" s="705" t="s">
        <v>111</v>
      </c>
      <c r="N74" s="705"/>
      <c r="O74" s="93">
        <v>549.0</v>
      </c>
      <c r="P74" s="93"/>
    </row>
    <row r="75" ht="37.5" customHeight="1" outlineLevel="1">
      <c r="A75" s="705"/>
      <c r="B75" s="729"/>
      <c r="C75" s="706" t="s">
        <v>1122</v>
      </c>
      <c r="D75" s="711" t="s">
        <v>1123</v>
      </c>
      <c r="E75" s="707">
        <v>510.0</v>
      </c>
      <c r="F75" s="708">
        <v>559.0</v>
      </c>
      <c r="G75" s="708">
        <v>569.0</v>
      </c>
      <c r="H75" s="704">
        <v>135.9</v>
      </c>
      <c r="I75" s="709">
        <f t="shared" si="24"/>
        <v>0.2388400703</v>
      </c>
      <c r="J75" s="708">
        <f t="shared" si="25"/>
        <v>433.1</v>
      </c>
      <c r="K75" s="709">
        <f t="shared" si="26"/>
        <v>3.039735099</v>
      </c>
      <c r="L75" s="710">
        <v>649.0</v>
      </c>
      <c r="M75" s="705" t="s">
        <v>111</v>
      </c>
      <c r="N75" s="705"/>
      <c r="O75" s="93">
        <v>549.0</v>
      </c>
      <c r="P75" s="93"/>
    </row>
    <row r="76" ht="25.5" customHeight="1" outlineLevel="1">
      <c r="A76" s="705"/>
      <c r="B76" s="706"/>
      <c r="C76" s="706" t="s">
        <v>344</v>
      </c>
      <c r="D76" s="711" t="s">
        <v>1124</v>
      </c>
      <c r="E76" s="707">
        <v>520.0</v>
      </c>
      <c r="F76" s="708">
        <v>559.0</v>
      </c>
      <c r="G76" s="708">
        <v>569.0</v>
      </c>
      <c r="H76" s="704">
        <v>167.79</v>
      </c>
      <c r="I76" s="709">
        <f t="shared" si="24"/>
        <v>0.2948857645</v>
      </c>
      <c r="J76" s="708">
        <f t="shared" si="25"/>
        <v>401.21</v>
      </c>
      <c r="K76" s="709">
        <f t="shared" si="26"/>
        <v>2.271947077</v>
      </c>
      <c r="L76" s="710"/>
      <c r="M76" s="705" t="s">
        <v>112</v>
      </c>
      <c r="N76" s="705"/>
      <c r="O76" s="93">
        <v>549.0</v>
      </c>
      <c r="P76" s="93"/>
    </row>
    <row r="77" ht="25.5" customHeight="1" outlineLevel="1">
      <c r="A77" s="705"/>
      <c r="B77" s="711" t="s">
        <v>1261</v>
      </c>
      <c r="C77" s="706" t="s">
        <v>348</v>
      </c>
      <c r="D77" s="711" t="s">
        <v>1126</v>
      </c>
      <c r="E77" s="707">
        <v>520.0</v>
      </c>
      <c r="F77" s="708">
        <v>0.0</v>
      </c>
      <c r="G77" s="708">
        <v>569.0</v>
      </c>
      <c r="H77" s="704">
        <v>154.9</v>
      </c>
      <c r="I77" s="709">
        <f t="shared" si="24"/>
        <v>0.2722319859</v>
      </c>
      <c r="J77" s="708">
        <f t="shared" si="25"/>
        <v>414.1</v>
      </c>
      <c r="K77" s="714">
        <f t="shared" si="26"/>
        <v>3.25435765</v>
      </c>
      <c r="L77" s="710">
        <v>649.0</v>
      </c>
      <c r="M77" s="705" t="s">
        <v>111</v>
      </c>
      <c r="N77" s="705"/>
      <c r="O77" s="93">
        <v>659.0</v>
      </c>
      <c r="P77" s="93"/>
    </row>
    <row r="78" ht="25.5" customHeight="1">
      <c r="A78" s="614"/>
      <c r="B78" s="615" t="str">
        <f>"Десерты "&amp;COUNTA(C79:C84)&amp;" шт"</f>
        <v>Десерты 6 шт</v>
      </c>
      <c r="C78" s="614"/>
      <c r="D78" s="614"/>
      <c r="E78" s="616"/>
      <c r="F78" s="695"/>
      <c r="G78" s="695"/>
      <c r="H78" s="618"/>
      <c r="I78" s="648">
        <f>AVERAGE(I79:I84)</f>
        <v>0.3261180122</v>
      </c>
      <c r="J78" s="614"/>
      <c r="K78" s="614"/>
      <c r="L78" s="670"/>
      <c r="M78" s="86"/>
      <c r="N78" s="86"/>
      <c r="O78" s="695"/>
      <c r="P78" s="695"/>
    </row>
    <row r="79" ht="48.0" customHeight="1" outlineLevel="1">
      <c r="A79" s="87"/>
      <c r="B79" s="705"/>
      <c r="C79" s="706" t="s">
        <v>373</v>
      </c>
      <c r="D79" s="705" t="s">
        <v>374</v>
      </c>
      <c r="E79" s="707">
        <v>300.0</v>
      </c>
      <c r="F79" s="708">
        <v>369.0</v>
      </c>
      <c r="G79" s="708">
        <v>369.0</v>
      </c>
      <c r="H79" s="704">
        <v>111.85</v>
      </c>
      <c r="I79" s="709">
        <f t="shared" ref="I79:I84" si="27">H79/G79</f>
        <v>0.3031165312</v>
      </c>
      <c r="J79" s="708">
        <f t="shared" ref="J79:J84" si="28">G79-H79</f>
        <v>257.15</v>
      </c>
      <c r="K79" s="709">
        <f t="shared" ref="K79:K84" si="29">O79/H79-1</f>
        <v>2.209655789</v>
      </c>
      <c r="L79" s="710"/>
      <c r="M79" s="705" t="s">
        <v>112</v>
      </c>
      <c r="N79" s="705"/>
      <c r="O79" s="93">
        <v>359.0</v>
      </c>
      <c r="P79" s="93"/>
    </row>
    <row r="80" ht="25.5" customHeight="1" outlineLevel="1">
      <c r="A80" s="87"/>
      <c r="B80" s="705" t="s">
        <v>1264</v>
      </c>
      <c r="C80" s="706" t="s">
        <v>375</v>
      </c>
      <c r="D80" s="705" t="s">
        <v>1130</v>
      </c>
      <c r="E80" s="707">
        <v>135.0</v>
      </c>
      <c r="F80" s="708">
        <v>299.0</v>
      </c>
      <c r="G80" s="708">
        <v>349.0</v>
      </c>
      <c r="H80" s="704">
        <v>130.0</v>
      </c>
      <c r="I80" s="709">
        <f t="shared" si="27"/>
        <v>0.3724928367</v>
      </c>
      <c r="J80" s="708">
        <f t="shared" si="28"/>
        <v>219</v>
      </c>
      <c r="K80" s="709">
        <f t="shared" si="29"/>
        <v>1.3</v>
      </c>
      <c r="L80" s="710">
        <v>399.0</v>
      </c>
      <c r="M80" s="705" t="s">
        <v>111</v>
      </c>
      <c r="N80" s="705"/>
      <c r="O80" s="93">
        <v>299.0</v>
      </c>
      <c r="P80" s="93"/>
    </row>
    <row r="81" ht="25.5" customHeight="1" outlineLevel="1">
      <c r="A81" s="87"/>
      <c r="B81" s="705" t="s">
        <v>1265</v>
      </c>
      <c r="C81" s="706" t="s">
        <v>377</v>
      </c>
      <c r="D81" s="705"/>
      <c r="E81" s="707">
        <v>150.0</v>
      </c>
      <c r="F81" s="708">
        <v>0.0</v>
      </c>
      <c r="G81" s="708">
        <v>299.0</v>
      </c>
      <c r="H81" s="704">
        <v>95.8</v>
      </c>
      <c r="I81" s="709">
        <f t="shared" si="27"/>
        <v>0.3204013378</v>
      </c>
      <c r="J81" s="708">
        <f t="shared" si="28"/>
        <v>203.2</v>
      </c>
      <c r="K81" s="709">
        <f t="shared" si="29"/>
        <v>6.296450939</v>
      </c>
      <c r="L81" s="710">
        <v>339.0</v>
      </c>
      <c r="M81" s="705" t="s">
        <v>111</v>
      </c>
      <c r="N81" s="705"/>
      <c r="O81" s="93">
        <v>699.0</v>
      </c>
      <c r="P81" s="93"/>
    </row>
    <row r="82" ht="25.5" customHeight="1" outlineLevel="1">
      <c r="A82" s="87"/>
      <c r="B82" s="705" t="s">
        <v>1264</v>
      </c>
      <c r="C82" s="730" t="s">
        <v>378</v>
      </c>
      <c r="D82" s="706" t="s">
        <v>1132</v>
      </c>
      <c r="E82" s="707">
        <v>135.0</v>
      </c>
      <c r="F82" s="708">
        <v>339.0</v>
      </c>
      <c r="G82" s="708">
        <v>349.0</v>
      </c>
      <c r="H82" s="704">
        <v>145.0</v>
      </c>
      <c r="I82" s="709">
        <f t="shared" si="27"/>
        <v>0.4154727794</v>
      </c>
      <c r="J82" s="708">
        <f t="shared" si="28"/>
        <v>204</v>
      </c>
      <c r="K82" s="709">
        <f t="shared" si="29"/>
        <v>1.406896552</v>
      </c>
      <c r="L82" s="710">
        <v>429.0</v>
      </c>
      <c r="M82" s="705" t="s">
        <v>111</v>
      </c>
      <c r="N82" s="705"/>
      <c r="O82" s="93">
        <v>349.0</v>
      </c>
      <c r="P82" s="93"/>
    </row>
    <row r="83" ht="25.5" customHeight="1" outlineLevel="1">
      <c r="A83" s="87"/>
      <c r="B83" s="705"/>
      <c r="C83" s="706" t="s">
        <v>1129</v>
      </c>
      <c r="D83" s="705"/>
      <c r="E83" s="707">
        <v>180.0</v>
      </c>
      <c r="F83" s="708">
        <v>299.0</v>
      </c>
      <c r="G83" s="708">
        <v>299.0</v>
      </c>
      <c r="H83" s="704">
        <v>76.35</v>
      </c>
      <c r="I83" s="709">
        <f t="shared" si="27"/>
        <v>0.2553511706</v>
      </c>
      <c r="J83" s="708">
        <f t="shared" si="28"/>
        <v>222.65</v>
      </c>
      <c r="K83" s="709">
        <f t="shared" si="29"/>
        <v>-1</v>
      </c>
      <c r="L83" s="710">
        <v>339.0</v>
      </c>
      <c r="M83" s="705" t="s">
        <v>111</v>
      </c>
      <c r="N83" s="705"/>
      <c r="O83" s="184"/>
      <c r="P83" s="184"/>
    </row>
    <row r="84" ht="25.5" customHeight="1" outlineLevel="1">
      <c r="A84" s="87"/>
      <c r="B84" s="711"/>
      <c r="C84" s="706" t="s">
        <v>380</v>
      </c>
      <c r="D84" s="711"/>
      <c r="E84" s="707">
        <v>60.0</v>
      </c>
      <c r="F84" s="708">
        <v>79.0</v>
      </c>
      <c r="G84" s="708">
        <v>79.0</v>
      </c>
      <c r="H84" s="704">
        <v>22.9</v>
      </c>
      <c r="I84" s="709">
        <f t="shared" si="27"/>
        <v>0.2898734177</v>
      </c>
      <c r="J84" s="708">
        <f t="shared" si="28"/>
        <v>56.1</v>
      </c>
      <c r="K84" s="709">
        <f t="shared" si="29"/>
        <v>2.449781659</v>
      </c>
      <c r="L84" s="710"/>
      <c r="M84" s="705" t="s">
        <v>112</v>
      </c>
      <c r="N84" s="705"/>
      <c r="O84" s="93">
        <v>79.0</v>
      </c>
      <c r="P84" s="93"/>
    </row>
    <row r="85" ht="25.5" customHeight="1">
      <c r="A85" s="86"/>
      <c r="B85" s="615" t="str">
        <f>"Соусы, допы и хлеб "&amp;COUNTA(C86:C107)&amp;" шт"</f>
        <v>Соусы, допы и хлеб 22 шт</v>
      </c>
      <c r="C85" s="614"/>
      <c r="D85" s="681"/>
      <c r="E85" s="682"/>
      <c r="F85" s="645"/>
      <c r="G85" s="645"/>
      <c r="H85" s="683"/>
      <c r="I85" s="648">
        <f>AVERAGE(I86:I107)</f>
        <v>0.1958520828</v>
      </c>
      <c r="J85" s="86"/>
      <c r="K85" s="648"/>
      <c r="L85" s="670"/>
      <c r="M85" s="86"/>
      <c r="N85" s="86"/>
      <c r="O85" s="645"/>
      <c r="P85" s="645"/>
    </row>
    <row r="86" ht="25.5" customHeight="1" outlineLevel="1">
      <c r="A86" s="705"/>
      <c r="B86" s="706"/>
      <c r="C86" s="706" t="s">
        <v>381</v>
      </c>
      <c r="D86" s="711"/>
      <c r="E86" s="707">
        <v>50.0</v>
      </c>
      <c r="F86" s="708">
        <v>59.0</v>
      </c>
      <c r="G86" s="708">
        <v>59.0</v>
      </c>
      <c r="H86" s="704">
        <v>10.1</v>
      </c>
      <c r="I86" s="709">
        <f t="shared" ref="I86:I107" si="30">H86/G86</f>
        <v>0.1711864407</v>
      </c>
      <c r="J86" s="708">
        <f t="shared" ref="J86:J107" si="31">G86-H86</f>
        <v>48.9</v>
      </c>
      <c r="K86" s="709">
        <f t="shared" ref="K86:K107" si="32">O86/H86-1</f>
        <v>4.841584158</v>
      </c>
      <c r="L86" s="708">
        <v>59.0</v>
      </c>
      <c r="M86" s="705" t="s">
        <v>111</v>
      </c>
      <c r="N86" s="705"/>
      <c r="O86" s="93">
        <v>59.0</v>
      </c>
      <c r="P86" s="93"/>
    </row>
    <row r="87" ht="25.5" customHeight="1" outlineLevel="1">
      <c r="A87" s="705"/>
      <c r="B87" s="706"/>
      <c r="C87" s="706" t="s">
        <v>1136</v>
      </c>
      <c r="D87" s="711"/>
      <c r="E87" s="707">
        <v>30.0</v>
      </c>
      <c r="F87" s="708">
        <v>69.0</v>
      </c>
      <c r="G87" s="708">
        <v>69.0</v>
      </c>
      <c r="H87" s="704">
        <v>17.9</v>
      </c>
      <c r="I87" s="709">
        <f t="shared" si="30"/>
        <v>0.2594202899</v>
      </c>
      <c r="J87" s="708">
        <f t="shared" si="31"/>
        <v>51.1</v>
      </c>
      <c r="K87" s="709">
        <f t="shared" si="32"/>
        <v>2.854748603</v>
      </c>
      <c r="L87" s="708">
        <v>69.0</v>
      </c>
      <c r="M87" s="705" t="s">
        <v>111</v>
      </c>
      <c r="N87" s="705"/>
      <c r="O87" s="93">
        <v>69.0</v>
      </c>
      <c r="P87" s="93"/>
    </row>
    <row r="88" ht="25.5" customHeight="1" outlineLevel="1">
      <c r="A88" s="705"/>
      <c r="B88" s="706"/>
      <c r="C88" s="706" t="s">
        <v>383</v>
      </c>
      <c r="D88" s="711"/>
      <c r="E88" s="707">
        <v>30.0</v>
      </c>
      <c r="F88" s="708">
        <v>69.0</v>
      </c>
      <c r="G88" s="708">
        <v>69.0</v>
      </c>
      <c r="H88" s="704">
        <v>20.21</v>
      </c>
      <c r="I88" s="709">
        <f t="shared" si="30"/>
        <v>0.2928985507</v>
      </c>
      <c r="J88" s="708">
        <f t="shared" si="31"/>
        <v>48.79</v>
      </c>
      <c r="K88" s="709">
        <f t="shared" si="32"/>
        <v>2.41415141</v>
      </c>
      <c r="L88" s="708">
        <v>69.0</v>
      </c>
      <c r="M88" s="705" t="s">
        <v>111</v>
      </c>
      <c r="N88" s="705"/>
      <c r="O88" s="93">
        <v>69.0</v>
      </c>
      <c r="P88" s="93"/>
    </row>
    <row r="89" ht="25.5" customHeight="1" outlineLevel="1">
      <c r="A89" s="705"/>
      <c r="B89" s="706"/>
      <c r="C89" s="706" t="s">
        <v>384</v>
      </c>
      <c r="D89" s="711"/>
      <c r="E89" s="707">
        <v>30.0</v>
      </c>
      <c r="F89" s="708">
        <v>59.0</v>
      </c>
      <c r="G89" s="708">
        <v>59.0</v>
      </c>
      <c r="H89" s="704">
        <v>12.66</v>
      </c>
      <c r="I89" s="709">
        <f t="shared" si="30"/>
        <v>0.2145762712</v>
      </c>
      <c r="J89" s="708">
        <f t="shared" si="31"/>
        <v>46.34</v>
      </c>
      <c r="K89" s="709">
        <f t="shared" si="32"/>
        <v>3.660347551</v>
      </c>
      <c r="L89" s="708">
        <v>59.0</v>
      </c>
      <c r="M89" s="705" t="s">
        <v>111</v>
      </c>
      <c r="N89" s="705"/>
      <c r="O89" s="93">
        <v>59.0</v>
      </c>
      <c r="P89" s="93"/>
    </row>
    <row r="90" ht="25.5" customHeight="1" outlineLevel="1">
      <c r="A90" s="705"/>
      <c r="B90" s="706"/>
      <c r="C90" s="706" t="s">
        <v>385</v>
      </c>
      <c r="D90" s="711"/>
      <c r="E90" s="707">
        <v>30.0</v>
      </c>
      <c r="F90" s="708">
        <v>69.0</v>
      </c>
      <c r="G90" s="708">
        <v>69.0</v>
      </c>
      <c r="H90" s="704">
        <v>12.95</v>
      </c>
      <c r="I90" s="709">
        <f t="shared" si="30"/>
        <v>0.1876811594</v>
      </c>
      <c r="J90" s="708">
        <f t="shared" si="31"/>
        <v>56.05</v>
      </c>
      <c r="K90" s="709">
        <f t="shared" si="32"/>
        <v>4.328185328</v>
      </c>
      <c r="L90" s="708">
        <v>69.0</v>
      </c>
      <c r="M90" s="705" t="s">
        <v>111</v>
      </c>
      <c r="N90" s="705"/>
      <c r="O90" s="93">
        <v>69.0</v>
      </c>
      <c r="P90" s="93"/>
    </row>
    <row r="91" ht="25.5" customHeight="1" outlineLevel="1">
      <c r="A91" s="705"/>
      <c r="B91" s="706"/>
      <c r="C91" s="706" t="s">
        <v>386</v>
      </c>
      <c r="D91" s="711"/>
      <c r="E91" s="707">
        <v>15.0</v>
      </c>
      <c r="F91" s="708">
        <v>59.0</v>
      </c>
      <c r="G91" s="708">
        <v>59.0</v>
      </c>
      <c r="H91" s="704">
        <v>8.11</v>
      </c>
      <c r="I91" s="709">
        <f t="shared" si="30"/>
        <v>0.1374576271</v>
      </c>
      <c r="J91" s="708">
        <f t="shared" si="31"/>
        <v>50.89</v>
      </c>
      <c r="K91" s="709">
        <f t="shared" si="32"/>
        <v>6.274969174</v>
      </c>
      <c r="L91" s="708">
        <v>59.0</v>
      </c>
      <c r="M91" s="705" t="s">
        <v>111</v>
      </c>
      <c r="N91" s="705"/>
      <c r="O91" s="93">
        <v>59.0</v>
      </c>
      <c r="P91" s="93"/>
    </row>
    <row r="92" ht="25.5" customHeight="1" outlineLevel="1">
      <c r="A92" s="705"/>
      <c r="B92" s="706"/>
      <c r="C92" s="706" t="s">
        <v>387</v>
      </c>
      <c r="D92" s="711"/>
      <c r="E92" s="707">
        <v>30.0</v>
      </c>
      <c r="F92" s="708">
        <v>59.0</v>
      </c>
      <c r="G92" s="708">
        <v>59.0</v>
      </c>
      <c r="H92" s="704">
        <v>12.36</v>
      </c>
      <c r="I92" s="709">
        <f t="shared" si="30"/>
        <v>0.2094915254</v>
      </c>
      <c r="J92" s="708">
        <f t="shared" si="31"/>
        <v>46.64</v>
      </c>
      <c r="K92" s="709">
        <f t="shared" si="32"/>
        <v>3.773462783</v>
      </c>
      <c r="L92" s="708">
        <v>59.0</v>
      </c>
      <c r="M92" s="705" t="s">
        <v>111</v>
      </c>
      <c r="N92" s="705"/>
      <c r="O92" s="93">
        <v>59.0</v>
      </c>
      <c r="P92" s="93"/>
    </row>
    <row r="93" ht="25.5" customHeight="1" outlineLevel="1">
      <c r="A93" s="87"/>
      <c r="B93" s="181"/>
      <c r="C93" s="89" t="s">
        <v>482</v>
      </c>
      <c r="D93" s="181"/>
      <c r="E93" s="258">
        <v>30.0</v>
      </c>
      <c r="F93" s="93">
        <v>59.0</v>
      </c>
      <c r="G93" s="93">
        <v>59.0</v>
      </c>
      <c r="H93" s="162">
        <v>7.34</v>
      </c>
      <c r="I93" s="158">
        <f t="shared" si="30"/>
        <v>0.1244067797</v>
      </c>
      <c r="J93" s="93">
        <f t="shared" si="31"/>
        <v>51.66</v>
      </c>
      <c r="K93" s="158">
        <f t="shared" si="32"/>
        <v>7.038147139</v>
      </c>
      <c r="L93" s="93">
        <v>59.0</v>
      </c>
      <c r="M93" s="87" t="s">
        <v>111</v>
      </c>
      <c r="N93" s="87"/>
      <c r="O93" s="93">
        <v>59.0</v>
      </c>
      <c r="P93" s="93"/>
    </row>
    <row r="94" ht="25.5" customHeight="1" outlineLevel="1">
      <c r="A94" s="87"/>
      <c r="B94" s="181"/>
      <c r="C94" s="89" t="s">
        <v>1137</v>
      </c>
      <c r="D94" s="181"/>
      <c r="E94" s="258">
        <v>30.0</v>
      </c>
      <c r="F94" s="93">
        <v>59.0</v>
      </c>
      <c r="G94" s="93">
        <v>59.0</v>
      </c>
      <c r="H94" s="162">
        <v>6.51</v>
      </c>
      <c r="I94" s="158">
        <f t="shared" si="30"/>
        <v>0.1103389831</v>
      </c>
      <c r="J94" s="93">
        <f t="shared" si="31"/>
        <v>52.49</v>
      </c>
      <c r="K94" s="158">
        <f t="shared" si="32"/>
        <v>8.062980031</v>
      </c>
      <c r="L94" s="93">
        <v>59.0</v>
      </c>
      <c r="M94" s="87" t="s">
        <v>111</v>
      </c>
      <c r="N94" s="87"/>
      <c r="O94" s="93">
        <v>59.0</v>
      </c>
      <c r="P94" s="93"/>
    </row>
    <row r="95" ht="25.5" customHeight="1" outlineLevel="1">
      <c r="A95" s="87"/>
      <c r="B95" s="181"/>
      <c r="C95" s="89" t="s">
        <v>484</v>
      </c>
      <c r="D95" s="181"/>
      <c r="E95" s="258">
        <v>30.0</v>
      </c>
      <c r="F95" s="93">
        <v>59.0</v>
      </c>
      <c r="G95" s="93">
        <v>59.0</v>
      </c>
      <c r="H95" s="162">
        <v>15.8</v>
      </c>
      <c r="I95" s="158">
        <f t="shared" si="30"/>
        <v>0.2677966102</v>
      </c>
      <c r="J95" s="93">
        <f t="shared" si="31"/>
        <v>43.2</v>
      </c>
      <c r="K95" s="158">
        <f t="shared" si="32"/>
        <v>2.734177215</v>
      </c>
      <c r="L95" s="93">
        <v>59.0</v>
      </c>
      <c r="M95" s="87" t="s">
        <v>111</v>
      </c>
      <c r="N95" s="87"/>
      <c r="O95" s="93">
        <v>59.0</v>
      </c>
      <c r="P95" s="93"/>
    </row>
    <row r="96" ht="25.5" customHeight="1" outlineLevel="1">
      <c r="A96" s="87"/>
      <c r="B96" s="181"/>
      <c r="C96" s="89" t="s">
        <v>1138</v>
      </c>
      <c r="D96" s="181"/>
      <c r="E96" s="258">
        <v>30.0</v>
      </c>
      <c r="F96" s="93">
        <v>59.0</v>
      </c>
      <c r="G96" s="93">
        <v>59.0</v>
      </c>
      <c r="H96" s="162">
        <v>9.07</v>
      </c>
      <c r="I96" s="158">
        <f t="shared" si="30"/>
        <v>0.1537288136</v>
      </c>
      <c r="J96" s="93">
        <f t="shared" si="31"/>
        <v>49.93</v>
      </c>
      <c r="K96" s="158">
        <f t="shared" si="32"/>
        <v>5.504961411</v>
      </c>
      <c r="L96" s="93">
        <v>59.0</v>
      </c>
      <c r="M96" s="87" t="s">
        <v>111</v>
      </c>
      <c r="N96" s="87"/>
      <c r="O96" s="93">
        <v>59.0</v>
      </c>
      <c r="P96" s="93"/>
    </row>
    <row r="97" ht="25.5" customHeight="1" outlineLevel="1">
      <c r="A97" s="87"/>
      <c r="B97" s="181"/>
      <c r="C97" s="89" t="s">
        <v>486</v>
      </c>
      <c r="D97" s="181"/>
      <c r="E97" s="258">
        <v>30.0</v>
      </c>
      <c r="F97" s="93">
        <v>59.0</v>
      </c>
      <c r="G97" s="93">
        <v>59.0</v>
      </c>
      <c r="H97" s="162">
        <v>13.22</v>
      </c>
      <c r="I97" s="158">
        <f t="shared" si="30"/>
        <v>0.2240677966</v>
      </c>
      <c r="J97" s="93">
        <f t="shared" si="31"/>
        <v>45.78</v>
      </c>
      <c r="K97" s="158">
        <f t="shared" si="32"/>
        <v>3.462934947</v>
      </c>
      <c r="L97" s="93">
        <v>59.0</v>
      </c>
      <c r="M97" s="87" t="s">
        <v>111</v>
      </c>
      <c r="N97" s="87"/>
      <c r="O97" s="93">
        <v>59.0</v>
      </c>
      <c r="P97" s="93"/>
    </row>
    <row r="98" ht="25.5" customHeight="1" outlineLevel="1">
      <c r="A98" s="87"/>
      <c r="B98" s="181"/>
      <c r="C98" s="89" t="s">
        <v>487</v>
      </c>
      <c r="D98" s="181"/>
      <c r="E98" s="258">
        <v>30.0</v>
      </c>
      <c r="F98" s="93">
        <v>59.0</v>
      </c>
      <c r="G98" s="93">
        <v>59.0</v>
      </c>
      <c r="H98" s="162">
        <v>5.38</v>
      </c>
      <c r="I98" s="158">
        <f t="shared" si="30"/>
        <v>0.09118644068</v>
      </c>
      <c r="J98" s="93">
        <f t="shared" si="31"/>
        <v>53.62</v>
      </c>
      <c r="K98" s="158">
        <f t="shared" si="32"/>
        <v>9.966542751</v>
      </c>
      <c r="L98" s="93">
        <v>59.0</v>
      </c>
      <c r="M98" s="87" t="s">
        <v>111</v>
      </c>
      <c r="N98" s="87"/>
      <c r="O98" s="93">
        <v>59.0</v>
      </c>
      <c r="P98" s="93"/>
    </row>
    <row r="99" ht="25.5" customHeight="1" outlineLevel="1">
      <c r="A99" s="87"/>
      <c r="B99" s="181"/>
      <c r="C99" s="89" t="s">
        <v>488</v>
      </c>
      <c r="D99" s="181"/>
      <c r="E99" s="258">
        <v>30.0</v>
      </c>
      <c r="F99" s="93">
        <v>59.0</v>
      </c>
      <c r="G99" s="93">
        <v>59.0</v>
      </c>
      <c r="H99" s="162">
        <v>15.89</v>
      </c>
      <c r="I99" s="158">
        <f t="shared" si="30"/>
        <v>0.2693220339</v>
      </c>
      <c r="J99" s="93">
        <f t="shared" si="31"/>
        <v>43.11</v>
      </c>
      <c r="K99" s="158">
        <f t="shared" si="32"/>
        <v>2.713027061</v>
      </c>
      <c r="L99" s="93">
        <v>59.0</v>
      </c>
      <c r="M99" s="87" t="s">
        <v>111</v>
      </c>
      <c r="N99" s="87"/>
      <c r="O99" s="93">
        <v>59.0</v>
      </c>
      <c r="P99" s="93"/>
    </row>
    <row r="100" ht="25.5" customHeight="1" outlineLevel="1">
      <c r="A100" s="87"/>
      <c r="B100" s="181"/>
      <c r="C100" s="89" t="s">
        <v>489</v>
      </c>
      <c r="D100" s="181"/>
      <c r="E100" s="258">
        <v>30.0</v>
      </c>
      <c r="F100" s="93">
        <v>59.0</v>
      </c>
      <c r="G100" s="93">
        <v>59.0</v>
      </c>
      <c r="H100" s="162">
        <v>9.39</v>
      </c>
      <c r="I100" s="158">
        <f t="shared" si="30"/>
        <v>0.1591525424</v>
      </c>
      <c r="J100" s="93">
        <f t="shared" si="31"/>
        <v>49.61</v>
      </c>
      <c r="K100" s="158">
        <f t="shared" si="32"/>
        <v>5.283280085</v>
      </c>
      <c r="L100" s="93">
        <v>59.0</v>
      </c>
      <c r="M100" s="87" t="s">
        <v>111</v>
      </c>
      <c r="N100" s="87"/>
      <c r="O100" s="93">
        <v>59.0</v>
      </c>
      <c r="P100" s="93"/>
    </row>
    <row r="101" ht="25.5" customHeight="1" outlineLevel="1">
      <c r="A101" s="87"/>
      <c r="B101" s="181"/>
      <c r="C101" s="89" t="s">
        <v>490</v>
      </c>
      <c r="D101" s="181"/>
      <c r="E101" s="258">
        <v>30.0</v>
      </c>
      <c r="F101" s="93">
        <v>59.0</v>
      </c>
      <c r="G101" s="93">
        <v>59.0</v>
      </c>
      <c r="H101" s="162">
        <v>9.57</v>
      </c>
      <c r="I101" s="158">
        <f t="shared" si="30"/>
        <v>0.1622033898</v>
      </c>
      <c r="J101" s="93">
        <f t="shared" si="31"/>
        <v>49.43</v>
      </c>
      <c r="K101" s="158">
        <f t="shared" si="32"/>
        <v>5.165099269</v>
      </c>
      <c r="L101" s="93">
        <v>59.0</v>
      </c>
      <c r="M101" s="87" t="s">
        <v>111</v>
      </c>
      <c r="N101" s="87"/>
      <c r="O101" s="93">
        <v>59.0</v>
      </c>
      <c r="P101" s="93"/>
    </row>
    <row r="102" ht="25.5" customHeight="1" outlineLevel="1">
      <c r="A102" s="87"/>
      <c r="B102" s="181"/>
      <c r="C102" s="89" t="s">
        <v>491</v>
      </c>
      <c r="D102" s="181"/>
      <c r="E102" s="258">
        <v>30.0</v>
      </c>
      <c r="F102" s="93">
        <v>59.0</v>
      </c>
      <c r="G102" s="93">
        <v>59.0</v>
      </c>
      <c r="H102" s="162">
        <v>7.99</v>
      </c>
      <c r="I102" s="158">
        <f t="shared" si="30"/>
        <v>0.1354237288</v>
      </c>
      <c r="J102" s="93">
        <f t="shared" si="31"/>
        <v>51.01</v>
      </c>
      <c r="K102" s="158">
        <f t="shared" si="32"/>
        <v>6.384230288</v>
      </c>
      <c r="L102" s="93">
        <v>59.0</v>
      </c>
      <c r="M102" s="87" t="s">
        <v>111</v>
      </c>
      <c r="N102" s="87"/>
      <c r="O102" s="93">
        <v>59.0</v>
      </c>
      <c r="P102" s="93"/>
    </row>
    <row r="103" ht="25.5" customHeight="1" outlineLevel="1">
      <c r="A103" s="87"/>
      <c r="B103" s="181"/>
      <c r="C103" s="89" t="s">
        <v>1139</v>
      </c>
      <c r="D103" s="181"/>
      <c r="E103" s="258">
        <v>30.0</v>
      </c>
      <c r="F103" s="93">
        <v>59.0</v>
      </c>
      <c r="G103" s="93">
        <v>59.0</v>
      </c>
      <c r="H103" s="162">
        <v>9.0</v>
      </c>
      <c r="I103" s="158">
        <f t="shared" si="30"/>
        <v>0.1525423729</v>
      </c>
      <c r="J103" s="93">
        <f t="shared" si="31"/>
        <v>50</v>
      </c>
      <c r="K103" s="158">
        <f t="shared" si="32"/>
        <v>5.555555556</v>
      </c>
      <c r="L103" s="93">
        <v>59.0</v>
      </c>
      <c r="M103" s="87" t="s">
        <v>111</v>
      </c>
      <c r="N103" s="87"/>
      <c r="O103" s="93">
        <v>59.0</v>
      </c>
      <c r="P103" s="93"/>
    </row>
    <row r="104" ht="25.5" customHeight="1" outlineLevel="1">
      <c r="A104" s="87"/>
      <c r="B104" s="181"/>
      <c r="C104" s="89" t="s">
        <v>492</v>
      </c>
      <c r="D104" s="181"/>
      <c r="E104" s="258">
        <v>30.0</v>
      </c>
      <c r="F104" s="93">
        <v>59.0</v>
      </c>
      <c r="G104" s="93">
        <v>59.0</v>
      </c>
      <c r="H104" s="162">
        <v>14.72</v>
      </c>
      <c r="I104" s="158">
        <f t="shared" si="30"/>
        <v>0.2494915254</v>
      </c>
      <c r="J104" s="93">
        <f t="shared" si="31"/>
        <v>44.28</v>
      </c>
      <c r="K104" s="158">
        <f t="shared" si="32"/>
        <v>3.008152174</v>
      </c>
      <c r="L104" s="93">
        <v>59.0</v>
      </c>
      <c r="M104" s="87" t="s">
        <v>111</v>
      </c>
      <c r="N104" s="87"/>
      <c r="O104" s="93">
        <v>59.0</v>
      </c>
      <c r="P104" s="93"/>
    </row>
    <row r="105" ht="25.5" customHeight="1" outlineLevel="1">
      <c r="A105" s="87"/>
      <c r="B105" s="181"/>
      <c r="C105" s="89" t="s">
        <v>1140</v>
      </c>
      <c r="D105" s="181" t="s">
        <v>401</v>
      </c>
      <c r="E105" s="258">
        <v>120.0</v>
      </c>
      <c r="F105" s="93">
        <v>99.0</v>
      </c>
      <c r="G105" s="93">
        <v>99.0</v>
      </c>
      <c r="H105" s="162">
        <v>29.0</v>
      </c>
      <c r="I105" s="158">
        <f t="shared" si="30"/>
        <v>0.2929292929</v>
      </c>
      <c r="J105" s="93">
        <f t="shared" si="31"/>
        <v>70</v>
      </c>
      <c r="K105" s="158">
        <f t="shared" si="32"/>
        <v>2.413793103</v>
      </c>
      <c r="L105" s="134"/>
      <c r="M105" s="87" t="s">
        <v>112</v>
      </c>
      <c r="N105" s="87"/>
      <c r="O105" s="93">
        <v>99.0</v>
      </c>
      <c r="P105" s="93"/>
    </row>
    <row r="106" ht="25.5" customHeight="1" outlineLevel="1">
      <c r="A106" s="87"/>
      <c r="B106" s="181"/>
      <c r="C106" s="89" t="s">
        <v>1141</v>
      </c>
      <c r="D106" s="181"/>
      <c r="E106" s="258">
        <v>80.0</v>
      </c>
      <c r="F106" s="93">
        <v>29.0</v>
      </c>
      <c r="G106" s="93">
        <v>29.0</v>
      </c>
      <c r="H106" s="162">
        <v>4.88</v>
      </c>
      <c r="I106" s="158">
        <f t="shared" si="30"/>
        <v>0.1682758621</v>
      </c>
      <c r="J106" s="93">
        <f t="shared" si="31"/>
        <v>24.12</v>
      </c>
      <c r="K106" s="158">
        <f t="shared" si="32"/>
        <v>4.942622951</v>
      </c>
      <c r="L106" s="134">
        <v>29.0</v>
      </c>
      <c r="M106" s="87" t="s">
        <v>111</v>
      </c>
      <c r="N106" s="87"/>
      <c r="O106" s="93">
        <v>29.0</v>
      </c>
      <c r="P106" s="93"/>
    </row>
    <row r="107" ht="25.5" customHeight="1" outlineLevel="1">
      <c r="A107" s="87"/>
      <c r="B107" s="181"/>
      <c r="C107" s="89" t="s">
        <v>1142</v>
      </c>
      <c r="D107" s="181" t="s">
        <v>1143</v>
      </c>
      <c r="E107" s="258">
        <v>140.0</v>
      </c>
      <c r="F107" s="93">
        <v>149.0</v>
      </c>
      <c r="G107" s="93">
        <v>149.0</v>
      </c>
      <c r="H107" s="162">
        <v>41.0</v>
      </c>
      <c r="I107" s="158">
        <f t="shared" si="30"/>
        <v>0.2751677852</v>
      </c>
      <c r="J107" s="93">
        <f t="shared" si="31"/>
        <v>108</v>
      </c>
      <c r="K107" s="158">
        <f t="shared" si="32"/>
        <v>2.634146341</v>
      </c>
      <c r="L107" s="134">
        <v>189.0</v>
      </c>
      <c r="M107" s="87" t="s">
        <v>111</v>
      </c>
      <c r="N107" s="87"/>
      <c r="O107" s="93">
        <v>149.0</v>
      </c>
      <c r="P107" s="93"/>
    </row>
    <row r="108" ht="25.5" customHeight="1">
      <c r="A108" s="86"/>
      <c r="B108" s="615" t="str">
        <f>"Детское меню "&amp;COUNTA(C109:C118)&amp;" шт"</f>
        <v>Детское меню 10 шт</v>
      </c>
      <c r="C108" s="614" t="s">
        <v>1144</v>
      </c>
      <c r="D108" s="681"/>
      <c r="E108" s="682"/>
      <c r="F108" s="645"/>
      <c r="G108" s="645"/>
      <c r="H108" s="683"/>
      <c r="I108" s="648">
        <f>AVERAGE(I109:I118)</f>
        <v>0.2204121441</v>
      </c>
      <c r="J108" s="86"/>
      <c r="K108" s="648"/>
      <c r="L108" s="670"/>
      <c r="M108" s="86"/>
      <c r="N108" s="86"/>
      <c r="O108" s="645"/>
      <c r="P108" s="645"/>
    </row>
    <row r="109" ht="25.5" customHeight="1" outlineLevel="1">
      <c r="A109" s="87"/>
      <c r="B109" s="181"/>
      <c r="C109" s="731" t="s">
        <v>426</v>
      </c>
      <c r="D109" s="732" t="s">
        <v>427</v>
      </c>
      <c r="E109" s="733">
        <v>250.0</v>
      </c>
      <c r="F109" s="93"/>
      <c r="G109" s="169">
        <v>329.0</v>
      </c>
      <c r="H109" s="734">
        <v>77.0</v>
      </c>
      <c r="I109" s="158">
        <f t="shared" ref="I109:I119" si="33">H109/G109</f>
        <v>0.2340425532</v>
      </c>
      <c r="J109" s="93">
        <f t="shared" ref="J109:J119" si="34">G109-H109</f>
        <v>252</v>
      </c>
      <c r="K109" s="158">
        <f t="shared" ref="K109:K111" si="35">O109/H109-1</f>
        <v>1.064935065</v>
      </c>
      <c r="L109" s="134">
        <v>399.0</v>
      </c>
      <c r="M109" s="87" t="s">
        <v>111</v>
      </c>
      <c r="N109" s="87"/>
      <c r="O109" s="93">
        <v>159.0</v>
      </c>
      <c r="P109" s="93"/>
    </row>
    <row r="110" ht="25.5" customHeight="1" outlineLevel="1">
      <c r="A110" s="87"/>
      <c r="B110" s="181"/>
      <c r="C110" s="731" t="s">
        <v>1269</v>
      </c>
      <c r="D110" s="735" t="s">
        <v>1146</v>
      </c>
      <c r="E110" s="733">
        <v>300.0</v>
      </c>
      <c r="F110" s="93"/>
      <c r="G110" s="169">
        <v>199.0</v>
      </c>
      <c r="H110" s="734">
        <v>48.0</v>
      </c>
      <c r="I110" s="158">
        <f t="shared" si="33"/>
        <v>0.2412060302</v>
      </c>
      <c r="J110" s="93">
        <f t="shared" si="34"/>
        <v>151</v>
      </c>
      <c r="K110" s="158">
        <f t="shared" si="35"/>
        <v>2.729166667</v>
      </c>
      <c r="L110" s="134">
        <v>249.0</v>
      </c>
      <c r="M110" s="87" t="s">
        <v>111</v>
      </c>
      <c r="N110" s="87"/>
      <c r="O110" s="93">
        <v>179.0</v>
      </c>
      <c r="P110" s="93"/>
    </row>
    <row r="111" ht="25.5" customHeight="1" outlineLevel="1">
      <c r="A111" s="87"/>
      <c r="B111" s="181"/>
      <c r="C111" s="736" t="s">
        <v>1155</v>
      </c>
      <c r="D111" s="737" t="s">
        <v>1270</v>
      </c>
      <c r="E111" s="733">
        <v>150.0</v>
      </c>
      <c r="F111" s="93"/>
      <c r="G111" s="169">
        <v>299.0</v>
      </c>
      <c r="H111" s="734">
        <v>84.0</v>
      </c>
      <c r="I111" s="158">
        <f t="shared" si="33"/>
        <v>0.2809364548</v>
      </c>
      <c r="J111" s="93">
        <f t="shared" si="34"/>
        <v>215</v>
      </c>
      <c r="K111" s="158">
        <f t="shared" si="35"/>
        <v>1.845238095</v>
      </c>
      <c r="L111" s="134">
        <v>349.0</v>
      </c>
      <c r="M111" s="87" t="s">
        <v>111</v>
      </c>
      <c r="N111" s="87"/>
      <c r="O111" s="93">
        <v>239.0</v>
      </c>
      <c r="P111" s="93"/>
    </row>
    <row r="112" ht="25.5" customHeight="1" outlineLevel="1">
      <c r="A112" s="87"/>
      <c r="B112" s="181"/>
      <c r="C112" s="731" t="s">
        <v>1272</v>
      </c>
      <c r="D112" s="735" t="s">
        <v>1273</v>
      </c>
      <c r="E112" s="733" t="s">
        <v>1148</v>
      </c>
      <c r="F112" s="93"/>
      <c r="G112" s="169">
        <v>199.0</v>
      </c>
      <c r="H112" s="738"/>
      <c r="I112" s="158">
        <f t="shared" si="33"/>
        <v>0</v>
      </c>
      <c r="J112" s="93">
        <f t="shared" si="34"/>
        <v>199</v>
      </c>
      <c r="K112" s="158"/>
      <c r="L112" s="134">
        <v>249.0</v>
      </c>
      <c r="M112" s="87" t="s">
        <v>111</v>
      </c>
      <c r="N112" s="87"/>
      <c r="O112" s="93"/>
      <c r="P112" s="93"/>
    </row>
    <row r="113" ht="25.5" customHeight="1" outlineLevel="1">
      <c r="A113" s="87"/>
      <c r="B113" s="181"/>
      <c r="C113" s="731" t="s">
        <v>405</v>
      </c>
      <c r="D113" s="735" t="s">
        <v>406</v>
      </c>
      <c r="E113" s="733">
        <v>150.0</v>
      </c>
      <c r="F113" s="93"/>
      <c r="G113" s="169">
        <v>199.0</v>
      </c>
      <c r="H113" s="734">
        <v>44.0</v>
      </c>
      <c r="I113" s="158">
        <f t="shared" si="33"/>
        <v>0.2211055276</v>
      </c>
      <c r="J113" s="93">
        <f t="shared" si="34"/>
        <v>155</v>
      </c>
      <c r="K113" s="158"/>
      <c r="L113" s="134">
        <v>229.0</v>
      </c>
      <c r="M113" s="87" t="s">
        <v>111</v>
      </c>
      <c r="N113" s="87"/>
      <c r="O113" s="93"/>
      <c r="P113" s="93"/>
    </row>
    <row r="114" ht="25.5" customHeight="1" outlineLevel="1">
      <c r="A114" s="87"/>
      <c r="B114" s="181"/>
      <c r="C114" s="731" t="s">
        <v>417</v>
      </c>
      <c r="D114" s="735" t="s">
        <v>1149</v>
      </c>
      <c r="E114" s="733">
        <v>180.0</v>
      </c>
      <c r="F114" s="93"/>
      <c r="G114" s="169">
        <v>339.0</v>
      </c>
      <c r="H114" s="734">
        <v>111.0</v>
      </c>
      <c r="I114" s="158">
        <f t="shared" si="33"/>
        <v>0.3274336283</v>
      </c>
      <c r="J114" s="93">
        <f t="shared" si="34"/>
        <v>228</v>
      </c>
      <c r="K114" s="158">
        <f t="shared" ref="K114:K118" si="36">O114/H114-1</f>
        <v>1.153153153</v>
      </c>
      <c r="L114" s="134">
        <v>399.0</v>
      </c>
      <c r="M114" s="87" t="s">
        <v>111</v>
      </c>
      <c r="N114" s="87"/>
      <c r="O114" s="93">
        <v>239.0</v>
      </c>
      <c r="P114" s="93"/>
    </row>
    <row r="115" ht="15.75" customHeight="1" outlineLevel="1">
      <c r="A115" s="87"/>
      <c r="B115" s="181" t="s">
        <v>1150</v>
      </c>
      <c r="C115" s="731" t="s">
        <v>414</v>
      </c>
      <c r="D115" s="164"/>
      <c r="E115" s="733">
        <v>320.0</v>
      </c>
      <c r="F115" s="93"/>
      <c r="G115" s="169">
        <v>279.0</v>
      </c>
      <c r="H115" s="734">
        <v>55.0</v>
      </c>
      <c r="I115" s="158">
        <f t="shared" si="33"/>
        <v>0.1971326165</v>
      </c>
      <c r="J115" s="93">
        <f t="shared" si="34"/>
        <v>224</v>
      </c>
      <c r="K115" s="158">
        <f t="shared" si="36"/>
        <v>1.890909091</v>
      </c>
      <c r="L115" s="134">
        <v>349.0</v>
      </c>
      <c r="M115" s="87" t="s">
        <v>111</v>
      </c>
      <c r="N115" s="102"/>
      <c r="O115" s="640">
        <v>159.0</v>
      </c>
      <c r="P115" s="640"/>
    </row>
    <row r="116" ht="42.0" customHeight="1" outlineLevel="1">
      <c r="A116" s="87"/>
      <c r="B116" s="181" t="s">
        <v>1152</v>
      </c>
      <c r="C116" s="731" t="s">
        <v>339</v>
      </c>
      <c r="D116" s="164"/>
      <c r="E116" s="733">
        <v>320.0</v>
      </c>
      <c r="F116" s="93"/>
      <c r="G116" s="169">
        <v>279.0</v>
      </c>
      <c r="H116" s="734">
        <v>69.0</v>
      </c>
      <c r="I116" s="158">
        <f t="shared" si="33"/>
        <v>0.247311828</v>
      </c>
      <c r="J116" s="93">
        <f t="shared" si="34"/>
        <v>210</v>
      </c>
      <c r="K116" s="158">
        <f t="shared" si="36"/>
        <v>1.304347826</v>
      </c>
      <c r="L116" s="134">
        <v>349.0</v>
      </c>
      <c r="M116" s="87" t="s">
        <v>111</v>
      </c>
      <c r="N116" s="102"/>
      <c r="O116" s="640">
        <v>159.0</v>
      </c>
      <c r="P116" s="640"/>
    </row>
    <row r="117" ht="30.75" customHeight="1" outlineLevel="1">
      <c r="A117" s="87"/>
      <c r="B117" s="181" t="s">
        <v>1154</v>
      </c>
      <c r="C117" s="731" t="s">
        <v>332</v>
      </c>
      <c r="D117" s="164"/>
      <c r="E117" s="733">
        <v>300.0</v>
      </c>
      <c r="F117" s="93"/>
      <c r="G117" s="169">
        <v>259.0</v>
      </c>
      <c r="H117" s="734">
        <v>52.0</v>
      </c>
      <c r="I117" s="158">
        <f t="shared" si="33"/>
        <v>0.2007722008</v>
      </c>
      <c r="J117" s="93">
        <f t="shared" si="34"/>
        <v>207</v>
      </c>
      <c r="K117" s="158">
        <f t="shared" si="36"/>
        <v>2.057692308</v>
      </c>
      <c r="L117" s="134">
        <v>349.0</v>
      </c>
      <c r="M117" s="87" t="s">
        <v>111</v>
      </c>
      <c r="N117" s="102"/>
      <c r="O117" s="640">
        <v>159.0</v>
      </c>
      <c r="P117" s="640"/>
    </row>
    <row r="118" ht="25.5" customHeight="1" outlineLevel="1">
      <c r="A118" s="87"/>
      <c r="B118" s="181"/>
      <c r="C118" s="736" t="s">
        <v>420</v>
      </c>
      <c r="D118" s="736" t="s">
        <v>1274</v>
      </c>
      <c r="E118" s="733">
        <v>180.0</v>
      </c>
      <c r="F118" s="93"/>
      <c r="G118" s="169">
        <v>299.0</v>
      </c>
      <c r="H118" s="734">
        <v>76.0</v>
      </c>
      <c r="I118" s="158">
        <f t="shared" si="33"/>
        <v>0.254180602</v>
      </c>
      <c r="J118" s="93">
        <f t="shared" si="34"/>
        <v>223</v>
      </c>
      <c r="K118" s="158">
        <f t="shared" si="36"/>
        <v>2.802631579</v>
      </c>
      <c r="L118" s="134">
        <v>349.0</v>
      </c>
      <c r="M118" s="87" t="s">
        <v>111</v>
      </c>
      <c r="N118" s="87"/>
      <c r="O118" s="93">
        <v>289.0</v>
      </c>
      <c r="P118" s="93"/>
    </row>
    <row r="119" ht="25.5" customHeight="1" outlineLevel="1">
      <c r="A119" s="87"/>
      <c r="B119" s="181"/>
      <c r="C119" s="736" t="s">
        <v>1275</v>
      </c>
      <c r="D119" s="736" t="s">
        <v>1276</v>
      </c>
      <c r="E119" s="733">
        <v>150.0</v>
      </c>
      <c r="F119" s="93"/>
      <c r="G119" s="169">
        <v>299.0</v>
      </c>
      <c r="H119" s="734">
        <v>79.0</v>
      </c>
      <c r="I119" s="739">
        <f t="shared" si="33"/>
        <v>0.2642140468</v>
      </c>
      <c r="J119" s="169">
        <f t="shared" si="34"/>
        <v>220</v>
      </c>
      <c r="K119" s="739">
        <f>G119/H119-1</f>
        <v>2.784810127</v>
      </c>
      <c r="L119" s="134">
        <v>349.0</v>
      </c>
      <c r="M119" s="87" t="s">
        <v>111</v>
      </c>
      <c r="N119" s="87"/>
      <c r="O119" s="93"/>
      <c r="P119" s="93"/>
    </row>
    <row r="120" ht="25.5" customHeight="1" collapsed="1">
      <c r="A120" s="86"/>
      <c r="B120" s="615" t="s">
        <v>1157</v>
      </c>
      <c r="C120" s="614"/>
      <c r="D120" s="681"/>
      <c r="E120" s="354"/>
      <c r="F120" s="645"/>
      <c r="G120" s="645"/>
      <c r="H120" s="683"/>
      <c r="I120" s="648">
        <f>AVERAGE(I121:I140)</f>
        <v>0.2580558522</v>
      </c>
      <c r="J120" s="86"/>
      <c r="K120" s="648"/>
      <c r="L120" s="670"/>
      <c r="M120" s="86"/>
      <c r="N120" s="86"/>
      <c r="O120" s="645"/>
      <c r="P120" s="645"/>
    </row>
    <row r="121" ht="37.5" hidden="1" customHeight="1" outlineLevel="1">
      <c r="A121" s="87"/>
      <c r="B121" s="181"/>
      <c r="C121" s="89" t="s">
        <v>1158</v>
      </c>
      <c r="D121" s="620"/>
      <c r="E121" s="258"/>
      <c r="F121" s="93">
        <v>2499.0</v>
      </c>
      <c r="G121" s="93">
        <v>2499.0</v>
      </c>
      <c r="H121" s="162">
        <v>564.64</v>
      </c>
      <c r="I121" s="158">
        <f t="shared" ref="I121:I127" si="37">H121/G121</f>
        <v>0.2259463786</v>
      </c>
      <c r="J121" s="93">
        <f t="shared" ref="J121:J127" si="38">G121-H121</f>
        <v>1934.36</v>
      </c>
      <c r="K121" s="158">
        <f t="shared" ref="K121:K127" si="39">O121/H121-1</f>
        <v>3.425828847</v>
      </c>
      <c r="L121" s="134"/>
      <c r="M121" s="87" t="s">
        <v>112</v>
      </c>
      <c r="N121" s="87"/>
      <c r="O121" s="93">
        <v>2499.0</v>
      </c>
      <c r="P121" s="93"/>
    </row>
    <row r="122" ht="37.5" hidden="1" customHeight="1" outlineLevel="1">
      <c r="A122" s="87"/>
      <c r="B122" s="181"/>
      <c r="C122" s="89" t="s">
        <v>1159</v>
      </c>
      <c r="D122" s="620"/>
      <c r="E122" s="258"/>
      <c r="F122" s="93">
        <v>599.0</v>
      </c>
      <c r="G122" s="93">
        <v>599.0</v>
      </c>
      <c r="H122" s="162">
        <v>167.71</v>
      </c>
      <c r="I122" s="158">
        <f t="shared" si="37"/>
        <v>0.2799833055</v>
      </c>
      <c r="J122" s="93">
        <f t="shared" si="38"/>
        <v>431.29</v>
      </c>
      <c r="K122" s="158">
        <f t="shared" si="39"/>
        <v>2.571641524</v>
      </c>
      <c r="L122" s="134"/>
      <c r="M122" s="87" t="s">
        <v>112</v>
      </c>
      <c r="N122" s="87"/>
      <c r="O122" s="93">
        <v>599.0</v>
      </c>
      <c r="P122" s="93"/>
    </row>
    <row r="123" ht="37.5" hidden="1" customHeight="1" outlineLevel="1">
      <c r="A123" s="87"/>
      <c r="B123" s="181"/>
      <c r="C123" s="89" t="s">
        <v>1160</v>
      </c>
      <c r="D123" s="620"/>
      <c r="E123" s="258"/>
      <c r="F123" s="93">
        <v>499.0</v>
      </c>
      <c r="G123" s="93">
        <v>499.0</v>
      </c>
      <c r="H123" s="162">
        <v>110.0</v>
      </c>
      <c r="I123" s="158">
        <f t="shared" si="37"/>
        <v>0.2204408818</v>
      </c>
      <c r="J123" s="93">
        <f t="shared" si="38"/>
        <v>389</v>
      </c>
      <c r="K123" s="158">
        <f t="shared" si="39"/>
        <v>3.536363636</v>
      </c>
      <c r="L123" s="134"/>
      <c r="M123" s="87" t="s">
        <v>112</v>
      </c>
      <c r="N123" s="87"/>
      <c r="O123" s="93">
        <v>499.0</v>
      </c>
      <c r="P123" s="93"/>
    </row>
    <row r="124" ht="37.5" hidden="1" customHeight="1" outlineLevel="1">
      <c r="A124" s="87"/>
      <c r="B124" s="181"/>
      <c r="C124" s="89" t="s">
        <v>1161</v>
      </c>
      <c r="D124" s="181" t="s">
        <v>1162</v>
      </c>
      <c r="E124" s="258"/>
      <c r="F124" s="93">
        <v>2699.0</v>
      </c>
      <c r="G124" s="93">
        <v>2699.0</v>
      </c>
      <c r="H124" s="162">
        <v>601.32</v>
      </c>
      <c r="I124" s="158">
        <f t="shared" si="37"/>
        <v>0.2227936273</v>
      </c>
      <c r="J124" s="93">
        <f t="shared" si="38"/>
        <v>2097.68</v>
      </c>
      <c r="K124" s="158">
        <f t="shared" si="39"/>
        <v>3.488458724</v>
      </c>
      <c r="L124" s="134"/>
      <c r="M124" s="87" t="s">
        <v>112</v>
      </c>
      <c r="N124" s="87"/>
      <c r="O124" s="93">
        <v>2699.0</v>
      </c>
      <c r="P124" s="93"/>
    </row>
    <row r="125" ht="43.5" hidden="1" customHeight="1" outlineLevel="1">
      <c r="A125" s="87"/>
      <c r="B125" s="181"/>
      <c r="C125" s="89" t="s">
        <v>1163</v>
      </c>
      <c r="D125" s="181" t="s">
        <v>1164</v>
      </c>
      <c r="E125" s="258"/>
      <c r="F125" s="93">
        <v>6599.0</v>
      </c>
      <c r="G125" s="93">
        <v>6599.0</v>
      </c>
      <c r="H125" s="162">
        <v>1632.4</v>
      </c>
      <c r="I125" s="158">
        <f t="shared" si="37"/>
        <v>0.2473708138</v>
      </c>
      <c r="J125" s="93">
        <f t="shared" si="38"/>
        <v>4966.6</v>
      </c>
      <c r="K125" s="158">
        <f t="shared" si="39"/>
        <v>3.04251409</v>
      </c>
      <c r="L125" s="134"/>
      <c r="M125" s="87" t="s">
        <v>112</v>
      </c>
      <c r="N125" s="87"/>
      <c r="O125" s="93">
        <v>6599.0</v>
      </c>
      <c r="P125" s="93"/>
    </row>
    <row r="126" ht="45.0" hidden="1" customHeight="1" outlineLevel="1">
      <c r="A126" s="87"/>
      <c r="B126" s="181"/>
      <c r="C126" s="89" t="s">
        <v>1165</v>
      </c>
      <c r="D126" s="181" t="s">
        <v>1166</v>
      </c>
      <c r="E126" s="258"/>
      <c r="F126" s="93">
        <v>9599.0</v>
      </c>
      <c r="G126" s="93">
        <v>9599.0</v>
      </c>
      <c r="H126" s="162">
        <v>2049.98</v>
      </c>
      <c r="I126" s="158">
        <f t="shared" si="37"/>
        <v>0.2135618294</v>
      </c>
      <c r="J126" s="93">
        <f t="shared" si="38"/>
        <v>7549.02</v>
      </c>
      <c r="K126" s="158">
        <f t="shared" si="39"/>
        <v>3.682484707</v>
      </c>
      <c r="L126" s="134"/>
      <c r="M126" s="87" t="s">
        <v>112</v>
      </c>
      <c r="N126" s="87"/>
      <c r="O126" s="93">
        <v>9599.0</v>
      </c>
      <c r="P126" s="93"/>
    </row>
    <row r="127" ht="38.25" hidden="1" customHeight="1" outlineLevel="1">
      <c r="A127" s="87"/>
      <c r="B127" s="181"/>
      <c r="C127" s="89" t="s">
        <v>1167</v>
      </c>
      <c r="D127" s="181" t="s">
        <v>1168</v>
      </c>
      <c r="E127" s="258"/>
      <c r="F127" s="93">
        <v>6899.0</v>
      </c>
      <c r="G127" s="93">
        <v>6899.0</v>
      </c>
      <c r="H127" s="162">
        <v>1689.62</v>
      </c>
      <c r="I127" s="158">
        <f t="shared" si="37"/>
        <v>0.2449079577</v>
      </c>
      <c r="J127" s="93">
        <f t="shared" si="38"/>
        <v>5209.38</v>
      </c>
      <c r="K127" s="158">
        <f t="shared" si="39"/>
        <v>3.077839988</v>
      </c>
      <c r="L127" s="134"/>
      <c r="M127" s="87" t="s">
        <v>112</v>
      </c>
      <c r="N127" s="87"/>
      <c r="O127" s="93">
        <v>6890.0</v>
      </c>
      <c r="P127" s="93"/>
    </row>
    <row r="128" ht="25.5" customHeight="1" collapsed="1">
      <c r="A128" s="86"/>
      <c r="B128" s="615" t="s">
        <v>1169</v>
      </c>
      <c r="C128" s="615"/>
      <c r="D128" s="686"/>
      <c r="E128" s="682"/>
      <c r="F128" s="687"/>
      <c r="G128" s="687"/>
      <c r="H128" s="686"/>
      <c r="I128" s="648">
        <f>AVERAGE(I129:I141)</f>
        <v>0.2681467288</v>
      </c>
      <c r="J128" s="86"/>
      <c r="K128" s="648"/>
      <c r="L128" s="670"/>
      <c r="M128" s="86"/>
      <c r="N128" s="86"/>
      <c r="O128" s="687"/>
      <c r="P128" s="687"/>
    </row>
    <row r="129" ht="15.75" hidden="1" customHeight="1" outlineLevel="1">
      <c r="A129" s="87"/>
      <c r="B129" s="116"/>
      <c r="C129" s="116"/>
      <c r="D129" s="691"/>
      <c r="E129" s="258">
        <v>180.0</v>
      </c>
      <c r="F129" s="93">
        <v>599.0</v>
      </c>
      <c r="G129" s="93">
        <v>599.0</v>
      </c>
      <c r="H129" s="162">
        <v>174.66</v>
      </c>
      <c r="I129" s="158">
        <f t="shared" ref="I129:I147" si="40">H129/G129</f>
        <v>0.2915859766</v>
      </c>
      <c r="J129" s="93">
        <f t="shared" ref="J129:J147" si="41">G129-H129</f>
        <v>424.34</v>
      </c>
      <c r="K129" s="158">
        <f t="shared" ref="K129:K147" si="42">O129/H129-1</f>
        <v>0.482881026</v>
      </c>
      <c r="L129" s="134"/>
      <c r="M129" s="87" t="s">
        <v>112</v>
      </c>
      <c r="N129" s="239"/>
      <c r="O129" s="243">
        <v>259.0</v>
      </c>
      <c r="P129" s="243"/>
    </row>
    <row r="130" ht="38.25" hidden="1" customHeight="1" outlineLevel="1">
      <c r="A130" s="87"/>
      <c r="B130" s="691"/>
      <c r="C130" s="691"/>
      <c r="D130" s="691"/>
      <c r="E130" s="258">
        <v>180.0</v>
      </c>
      <c r="F130" s="93">
        <v>329.0</v>
      </c>
      <c r="G130" s="93">
        <v>329.0</v>
      </c>
      <c r="H130" s="162">
        <v>68.02</v>
      </c>
      <c r="I130" s="158">
        <f t="shared" si="40"/>
        <v>0.2067477204</v>
      </c>
      <c r="J130" s="93">
        <f t="shared" si="41"/>
        <v>260.98</v>
      </c>
      <c r="K130" s="158">
        <f t="shared" si="42"/>
        <v>1.925610115</v>
      </c>
      <c r="L130" s="134">
        <v>369.0</v>
      </c>
      <c r="M130" s="87" t="s">
        <v>111</v>
      </c>
      <c r="N130" s="239"/>
      <c r="O130" s="243">
        <v>199.0</v>
      </c>
      <c r="P130" s="243"/>
    </row>
    <row r="131" ht="48.75" hidden="1" customHeight="1" outlineLevel="1">
      <c r="A131" s="87"/>
      <c r="B131" s="116"/>
      <c r="C131" s="116"/>
      <c r="D131" s="691"/>
      <c r="E131" s="258">
        <v>200.0</v>
      </c>
      <c r="F131" s="93">
        <v>299.0</v>
      </c>
      <c r="G131" s="93">
        <v>299.0</v>
      </c>
      <c r="H131" s="162">
        <v>71.22</v>
      </c>
      <c r="I131" s="158">
        <f t="shared" si="40"/>
        <v>0.2381939799</v>
      </c>
      <c r="J131" s="93">
        <f t="shared" si="41"/>
        <v>227.78</v>
      </c>
      <c r="K131" s="158">
        <f t="shared" si="42"/>
        <v>-1</v>
      </c>
      <c r="L131" s="134">
        <v>339.0</v>
      </c>
      <c r="M131" s="87" t="s">
        <v>111</v>
      </c>
      <c r="N131" s="239"/>
      <c r="O131" s="243"/>
      <c r="P131" s="243"/>
    </row>
    <row r="132" ht="25.5" hidden="1" customHeight="1" outlineLevel="1">
      <c r="A132" s="87"/>
      <c r="B132" s="89"/>
      <c r="C132" s="89"/>
      <c r="D132" s="691"/>
      <c r="E132" s="258">
        <v>150.0</v>
      </c>
      <c r="F132" s="93">
        <v>379.0</v>
      </c>
      <c r="G132" s="93">
        <v>379.0</v>
      </c>
      <c r="H132" s="162">
        <v>98.86</v>
      </c>
      <c r="I132" s="158">
        <f t="shared" si="40"/>
        <v>0.2608443272</v>
      </c>
      <c r="J132" s="93">
        <f t="shared" si="41"/>
        <v>280.14</v>
      </c>
      <c r="K132" s="158">
        <f t="shared" si="42"/>
        <v>-1</v>
      </c>
      <c r="L132" s="134">
        <v>429.0</v>
      </c>
      <c r="M132" s="87" t="s">
        <v>111</v>
      </c>
      <c r="N132" s="239"/>
      <c r="O132" s="243"/>
      <c r="P132" s="243"/>
    </row>
    <row r="133" ht="45.0" hidden="1" customHeight="1" outlineLevel="1">
      <c r="A133" s="87"/>
      <c r="B133" s="116"/>
      <c r="C133" s="116"/>
      <c r="D133" s="691"/>
      <c r="E133" s="258">
        <v>200.0</v>
      </c>
      <c r="F133" s="93">
        <v>299.0</v>
      </c>
      <c r="G133" s="93">
        <v>299.0</v>
      </c>
      <c r="H133" s="162">
        <v>77.9</v>
      </c>
      <c r="I133" s="158">
        <f t="shared" si="40"/>
        <v>0.2605351171</v>
      </c>
      <c r="J133" s="93">
        <f t="shared" si="41"/>
        <v>221.1</v>
      </c>
      <c r="K133" s="158">
        <f t="shared" si="42"/>
        <v>2.453145058</v>
      </c>
      <c r="L133" s="134"/>
      <c r="M133" s="87" t="s">
        <v>112</v>
      </c>
      <c r="N133" s="239"/>
      <c r="O133" s="243">
        <v>269.0</v>
      </c>
      <c r="P133" s="243"/>
    </row>
    <row r="134" ht="43.5" hidden="1" customHeight="1" outlineLevel="1">
      <c r="A134" s="87"/>
      <c r="B134" s="116"/>
      <c r="C134" s="116"/>
      <c r="D134" s="691"/>
      <c r="E134" s="258">
        <v>300.0</v>
      </c>
      <c r="F134" s="93">
        <v>439.0</v>
      </c>
      <c r="G134" s="93">
        <v>439.0</v>
      </c>
      <c r="H134" s="162">
        <v>130.47</v>
      </c>
      <c r="I134" s="158">
        <f t="shared" si="40"/>
        <v>0.2971981777</v>
      </c>
      <c r="J134" s="93">
        <f t="shared" si="41"/>
        <v>308.53</v>
      </c>
      <c r="K134" s="158">
        <f t="shared" si="42"/>
        <v>-1</v>
      </c>
      <c r="L134" s="134">
        <v>489.0</v>
      </c>
      <c r="M134" s="87" t="s">
        <v>111</v>
      </c>
      <c r="N134" s="239"/>
      <c r="O134" s="243"/>
      <c r="P134" s="243"/>
    </row>
    <row r="135" ht="37.5" hidden="1" customHeight="1" outlineLevel="1">
      <c r="A135" s="87"/>
      <c r="B135" s="116"/>
      <c r="C135" s="116"/>
      <c r="D135" s="116"/>
      <c r="E135" s="258">
        <v>300.0</v>
      </c>
      <c r="F135" s="93">
        <v>339.0</v>
      </c>
      <c r="G135" s="93">
        <v>339.0</v>
      </c>
      <c r="H135" s="162">
        <v>67.55</v>
      </c>
      <c r="I135" s="158">
        <f t="shared" si="40"/>
        <v>0.1992625369</v>
      </c>
      <c r="J135" s="93">
        <f t="shared" si="41"/>
        <v>271.45</v>
      </c>
      <c r="K135" s="158">
        <f t="shared" si="42"/>
        <v>-1</v>
      </c>
      <c r="L135" s="134">
        <v>369.0</v>
      </c>
      <c r="M135" s="87" t="s">
        <v>111</v>
      </c>
      <c r="N135" s="239"/>
      <c r="O135" s="243"/>
      <c r="P135" s="243"/>
    </row>
    <row r="136" ht="33.0" hidden="1" customHeight="1" outlineLevel="1">
      <c r="A136" s="87"/>
      <c r="B136" s="116"/>
      <c r="C136" s="116"/>
      <c r="D136" s="116"/>
      <c r="E136" s="258">
        <v>180.0</v>
      </c>
      <c r="F136" s="93">
        <v>399.0</v>
      </c>
      <c r="G136" s="93">
        <v>399.0</v>
      </c>
      <c r="H136" s="162">
        <v>93.03</v>
      </c>
      <c r="I136" s="158">
        <f t="shared" si="40"/>
        <v>0.2331578947</v>
      </c>
      <c r="J136" s="93">
        <f t="shared" si="41"/>
        <v>305.97</v>
      </c>
      <c r="K136" s="158">
        <f t="shared" si="42"/>
        <v>-1</v>
      </c>
      <c r="L136" s="134">
        <v>399.0</v>
      </c>
      <c r="M136" s="87" t="s">
        <v>111</v>
      </c>
      <c r="N136" s="239"/>
      <c r="O136" s="243"/>
      <c r="P136" s="243"/>
    </row>
    <row r="137" ht="42.75" hidden="1" customHeight="1" outlineLevel="1">
      <c r="A137" s="87"/>
      <c r="B137" s="116"/>
      <c r="C137" s="116"/>
      <c r="D137" s="116"/>
      <c r="E137" s="258">
        <v>300.0</v>
      </c>
      <c r="F137" s="93">
        <v>279.0</v>
      </c>
      <c r="G137" s="93">
        <v>279.0</v>
      </c>
      <c r="H137" s="162">
        <v>83.66</v>
      </c>
      <c r="I137" s="158">
        <f t="shared" si="40"/>
        <v>0.2998566308</v>
      </c>
      <c r="J137" s="93">
        <f t="shared" si="41"/>
        <v>195.34</v>
      </c>
      <c r="K137" s="158">
        <f t="shared" si="42"/>
        <v>-1</v>
      </c>
      <c r="L137" s="134">
        <v>329.0</v>
      </c>
      <c r="M137" s="87" t="s">
        <v>111</v>
      </c>
      <c r="N137" s="239"/>
      <c r="O137" s="243"/>
      <c r="P137" s="243"/>
    </row>
    <row r="138" ht="25.5" hidden="1" customHeight="1" outlineLevel="1">
      <c r="A138" s="87"/>
      <c r="B138" s="116"/>
      <c r="C138" s="116"/>
      <c r="D138" s="116"/>
      <c r="E138" s="258">
        <v>160.0</v>
      </c>
      <c r="F138" s="93">
        <v>269.0</v>
      </c>
      <c r="G138" s="93">
        <v>269.0</v>
      </c>
      <c r="H138" s="162">
        <v>77.45</v>
      </c>
      <c r="I138" s="158">
        <f t="shared" si="40"/>
        <v>0.2879182156</v>
      </c>
      <c r="J138" s="93">
        <f t="shared" si="41"/>
        <v>191.55</v>
      </c>
      <c r="K138" s="158">
        <f t="shared" si="42"/>
        <v>-1</v>
      </c>
      <c r="L138" s="134">
        <v>299.0</v>
      </c>
      <c r="M138" s="87" t="s">
        <v>111</v>
      </c>
      <c r="N138" s="239"/>
      <c r="O138" s="243"/>
      <c r="P138" s="243"/>
    </row>
    <row r="139" ht="35.25" hidden="1" customHeight="1" outlineLevel="1">
      <c r="A139" s="87"/>
      <c r="B139" s="116"/>
      <c r="C139" s="116"/>
      <c r="D139" s="116"/>
      <c r="E139" s="258">
        <v>160.0</v>
      </c>
      <c r="F139" s="93">
        <v>329.0</v>
      </c>
      <c r="G139" s="93">
        <v>329.0</v>
      </c>
      <c r="H139" s="162">
        <v>94.65</v>
      </c>
      <c r="I139" s="158">
        <f t="shared" si="40"/>
        <v>0.2876899696</v>
      </c>
      <c r="J139" s="93">
        <f t="shared" si="41"/>
        <v>234.35</v>
      </c>
      <c r="K139" s="158">
        <f t="shared" si="42"/>
        <v>-1</v>
      </c>
      <c r="L139" s="134">
        <v>349.0</v>
      </c>
      <c r="M139" s="87" t="s">
        <v>111</v>
      </c>
      <c r="N139" s="239"/>
      <c r="O139" s="243"/>
      <c r="P139" s="243"/>
    </row>
    <row r="140" ht="26.25" hidden="1" customHeight="1" outlineLevel="1">
      <c r="A140" s="87"/>
      <c r="B140" s="116"/>
      <c r="C140" s="116"/>
      <c r="D140" s="116"/>
      <c r="E140" s="258">
        <v>500.0</v>
      </c>
      <c r="F140" s="93">
        <v>999.0</v>
      </c>
      <c r="G140" s="93">
        <v>999.0</v>
      </c>
      <c r="H140" s="162">
        <v>374.6</v>
      </c>
      <c r="I140" s="158">
        <f t="shared" si="40"/>
        <v>0.374974975</v>
      </c>
      <c r="J140" s="93">
        <f t="shared" si="41"/>
        <v>624.4</v>
      </c>
      <c r="K140" s="158">
        <f t="shared" si="42"/>
        <v>-0.3085958356</v>
      </c>
      <c r="L140" s="134">
        <v>1199.0</v>
      </c>
      <c r="M140" s="87" t="s">
        <v>111</v>
      </c>
      <c r="N140" s="239"/>
      <c r="O140" s="243">
        <v>259.0</v>
      </c>
      <c r="P140" s="243"/>
    </row>
    <row r="141" ht="25.5" hidden="1" customHeight="1" outlineLevel="1">
      <c r="A141" s="87"/>
      <c r="B141" s="89"/>
      <c r="C141" s="89"/>
      <c r="D141" s="116"/>
      <c r="E141" s="258">
        <v>120.0</v>
      </c>
      <c r="F141" s="93">
        <v>379.0</v>
      </c>
      <c r="G141" s="93">
        <v>379.0</v>
      </c>
      <c r="H141" s="162">
        <v>93.97</v>
      </c>
      <c r="I141" s="158">
        <f t="shared" si="40"/>
        <v>0.2479419525</v>
      </c>
      <c r="J141" s="93">
        <f t="shared" si="41"/>
        <v>285.03</v>
      </c>
      <c r="K141" s="158">
        <f t="shared" si="42"/>
        <v>4.310205385</v>
      </c>
      <c r="L141" s="134">
        <v>399.0</v>
      </c>
      <c r="M141" s="87" t="s">
        <v>111</v>
      </c>
      <c r="N141" s="239"/>
      <c r="O141" s="243">
        <v>499.0</v>
      </c>
      <c r="P141" s="243"/>
    </row>
    <row r="142" ht="25.5" hidden="1" customHeight="1" outlineLevel="1">
      <c r="A142" s="87"/>
      <c r="B142" s="87"/>
      <c r="C142" s="89"/>
      <c r="D142" s="116"/>
      <c r="E142" s="258">
        <v>0.0</v>
      </c>
      <c r="F142" s="93">
        <v>0.0</v>
      </c>
      <c r="G142" s="93">
        <v>0.0</v>
      </c>
      <c r="H142" s="162">
        <v>0.0</v>
      </c>
      <c r="I142" s="158" t="str">
        <f t="shared" si="40"/>
        <v>#DIV/0!</v>
      </c>
      <c r="J142" s="93">
        <f t="shared" si="41"/>
        <v>0</v>
      </c>
      <c r="K142" s="158" t="str">
        <f t="shared" si="42"/>
        <v>#DIV/0!</v>
      </c>
      <c r="L142" s="134"/>
      <c r="M142" s="87" t="s">
        <v>111</v>
      </c>
      <c r="N142" s="239"/>
      <c r="O142" s="243">
        <v>369.0</v>
      </c>
      <c r="P142" s="243"/>
    </row>
    <row r="143" ht="25.5" hidden="1" customHeight="1" outlineLevel="1">
      <c r="A143" s="87"/>
      <c r="B143" s="87"/>
      <c r="C143" s="89"/>
      <c r="D143" s="116"/>
      <c r="E143" s="258">
        <v>0.0</v>
      </c>
      <c r="F143" s="93">
        <v>0.0</v>
      </c>
      <c r="G143" s="93">
        <v>0.0</v>
      </c>
      <c r="H143" s="162">
        <v>0.0</v>
      </c>
      <c r="I143" s="158" t="str">
        <f t="shared" si="40"/>
        <v>#DIV/0!</v>
      </c>
      <c r="J143" s="93">
        <f t="shared" si="41"/>
        <v>0</v>
      </c>
      <c r="K143" s="158" t="str">
        <f t="shared" si="42"/>
        <v>#DIV/0!</v>
      </c>
      <c r="L143" s="134"/>
      <c r="M143" s="87"/>
      <c r="N143" s="239"/>
      <c r="O143" s="243"/>
      <c r="P143" s="243"/>
    </row>
    <row r="144" ht="25.5" hidden="1" customHeight="1" outlineLevel="1">
      <c r="A144" s="87"/>
      <c r="B144" s="87"/>
      <c r="C144" s="89"/>
      <c r="D144" s="691"/>
      <c r="E144" s="258">
        <v>0.0</v>
      </c>
      <c r="F144" s="93">
        <v>0.0</v>
      </c>
      <c r="G144" s="93">
        <v>0.0</v>
      </c>
      <c r="H144" s="162">
        <v>0.0</v>
      </c>
      <c r="I144" s="158" t="str">
        <f t="shared" si="40"/>
        <v>#DIV/0!</v>
      </c>
      <c r="J144" s="93">
        <f t="shared" si="41"/>
        <v>0</v>
      </c>
      <c r="K144" s="158" t="str">
        <f t="shared" si="42"/>
        <v>#DIV/0!</v>
      </c>
      <c r="L144" s="134"/>
      <c r="M144" s="87"/>
      <c r="N144" s="239"/>
      <c r="O144" s="243"/>
      <c r="P144" s="243"/>
    </row>
    <row r="145" ht="38.25" hidden="1" customHeight="1" outlineLevel="1">
      <c r="A145" s="87"/>
      <c r="B145" s="87"/>
      <c r="C145" s="89"/>
      <c r="D145" s="691"/>
      <c r="E145" s="258">
        <v>0.0</v>
      </c>
      <c r="F145" s="93">
        <v>0.0</v>
      </c>
      <c r="G145" s="93">
        <v>0.0</v>
      </c>
      <c r="H145" s="162">
        <v>0.0</v>
      </c>
      <c r="I145" s="158" t="str">
        <f t="shared" si="40"/>
        <v>#DIV/0!</v>
      </c>
      <c r="J145" s="93">
        <f t="shared" si="41"/>
        <v>0</v>
      </c>
      <c r="K145" s="158" t="str">
        <f t="shared" si="42"/>
        <v>#DIV/0!</v>
      </c>
      <c r="L145" s="134"/>
      <c r="M145" s="87"/>
      <c r="N145" s="239"/>
      <c r="O145" s="243"/>
      <c r="P145" s="243"/>
    </row>
    <row r="146" ht="43.5" hidden="1" customHeight="1" outlineLevel="1">
      <c r="A146" s="87"/>
      <c r="B146" s="87"/>
      <c r="C146" s="89"/>
      <c r="D146" s="691"/>
      <c r="E146" s="258">
        <v>0.0</v>
      </c>
      <c r="F146" s="93">
        <v>0.0</v>
      </c>
      <c r="G146" s="93">
        <v>0.0</v>
      </c>
      <c r="H146" s="162">
        <v>0.0</v>
      </c>
      <c r="I146" s="158" t="str">
        <f t="shared" si="40"/>
        <v>#DIV/0!</v>
      </c>
      <c r="J146" s="93">
        <f t="shared" si="41"/>
        <v>0</v>
      </c>
      <c r="K146" s="158" t="str">
        <f t="shared" si="42"/>
        <v>#DIV/0!</v>
      </c>
      <c r="L146" s="134"/>
      <c r="M146" s="87"/>
      <c r="N146" s="239"/>
      <c r="O146" s="243"/>
      <c r="P146" s="243"/>
    </row>
    <row r="147" ht="25.5" hidden="1" customHeight="1" outlineLevel="1">
      <c r="A147" s="87"/>
      <c r="B147" s="87"/>
      <c r="C147" s="89"/>
      <c r="D147" s="691"/>
      <c r="E147" s="258">
        <v>0.0</v>
      </c>
      <c r="F147" s="93">
        <v>0.0</v>
      </c>
      <c r="G147" s="93">
        <v>0.0</v>
      </c>
      <c r="H147" s="162">
        <v>0.0</v>
      </c>
      <c r="I147" s="158" t="str">
        <f t="shared" si="40"/>
        <v>#DIV/0!</v>
      </c>
      <c r="J147" s="93">
        <f t="shared" si="41"/>
        <v>0</v>
      </c>
      <c r="K147" s="158" t="str">
        <f t="shared" si="42"/>
        <v>#DIV/0!</v>
      </c>
      <c r="L147" s="134"/>
      <c r="M147" s="87"/>
      <c r="N147" s="239"/>
      <c r="O147" s="243">
        <v>289.0</v>
      </c>
      <c r="P147" s="243"/>
    </row>
    <row r="148" ht="25.5" customHeight="1" collapsed="1">
      <c r="A148" s="86"/>
      <c r="B148" s="615" t="str">
        <f>"Меню праздника "&amp;COUNTA(C149:C163)&amp;" шт"</f>
        <v>Меню праздника 14 шт</v>
      </c>
      <c r="C148" s="615"/>
      <c r="D148" s="686"/>
      <c r="E148" s="682"/>
      <c r="F148" s="687"/>
      <c r="G148" s="687"/>
      <c r="H148" s="683"/>
      <c r="I148" s="648"/>
      <c r="J148" s="86"/>
      <c r="K148" s="648"/>
      <c r="L148" s="670"/>
      <c r="M148" s="86"/>
      <c r="N148" s="86"/>
      <c r="O148" s="687"/>
      <c r="P148" s="687"/>
    </row>
    <row r="149" ht="25.5" hidden="1" customHeight="1" outlineLevel="1">
      <c r="A149" s="87">
        <v>1.0</v>
      </c>
      <c r="B149" s="68"/>
      <c r="C149" s="116" t="s">
        <v>450</v>
      </c>
      <c r="D149" s="691"/>
      <c r="E149" s="258">
        <v>30.0</v>
      </c>
      <c r="F149" s="93">
        <v>79.0</v>
      </c>
      <c r="G149" s="93">
        <v>79.0</v>
      </c>
      <c r="H149" s="162">
        <v>20.38</v>
      </c>
      <c r="I149" s="238">
        <f t="shared" ref="I149:I162" si="43">H149/G149</f>
        <v>0.2579746835</v>
      </c>
      <c r="J149" s="93">
        <f t="shared" ref="J149:J162" si="44">G149-H149</f>
        <v>58.62</v>
      </c>
      <c r="K149" s="158">
        <f t="shared" ref="K149:K162" si="45">O149/H149-1</f>
        <v>2.876349362</v>
      </c>
      <c r="L149" s="134"/>
      <c r="M149" s="87"/>
      <c r="N149" s="87"/>
      <c r="O149" s="93">
        <v>79.0</v>
      </c>
      <c r="P149" s="93"/>
    </row>
    <row r="150" ht="25.5" hidden="1" customHeight="1" outlineLevel="1">
      <c r="A150" s="87">
        <v>2.0</v>
      </c>
      <c r="B150" s="89"/>
      <c r="C150" s="89" t="s">
        <v>1170</v>
      </c>
      <c r="D150" s="691"/>
      <c r="E150" s="258">
        <v>40.0</v>
      </c>
      <c r="F150" s="93">
        <v>79.0</v>
      </c>
      <c r="G150" s="93">
        <v>79.0</v>
      </c>
      <c r="H150" s="692">
        <v>20.2</v>
      </c>
      <c r="I150" s="238">
        <f t="shared" si="43"/>
        <v>0.2556962025</v>
      </c>
      <c r="J150" s="93">
        <f t="shared" si="44"/>
        <v>58.8</v>
      </c>
      <c r="K150" s="158">
        <f t="shared" si="45"/>
        <v>2.910891089</v>
      </c>
      <c r="L150" s="134"/>
      <c r="M150" s="87"/>
      <c r="N150" s="87"/>
      <c r="O150" s="93">
        <v>79.0</v>
      </c>
      <c r="P150" s="93"/>
    </row>
    <row r="151" ht="25.5" hidden="1" customHeight="1" outlineLevel="1">
      <c r="A151" s="87">
        <v>3.0</v>
      </c>
      <c r="B151" s="89"/>
      <c r="C151" s="89" t="s">
        <v>451</v>
      </c>
      <c r="D151" s="691"/>
      <c r="E151" s="258">
        <v>40.0</v>
      </c>
      <c r="F151" s="93">
        <v>59.0</v>
      </c>
      <c r="G151" s="93">
        <v>59.0</v>
      </c>
      <c r="H151" s="692">
        <v>11.3</v>
      </c>
      <c r="I151" s="238">
        <f t="shared" si="43"/>
        <v>0.1915254237</v>
      </c>
      <c r="J151" s="93">
        <f t="shared" si="44"/>
        <v>47.7</v>
      </c>
      <c r="K151" s="158">
        <f t="shared" si="45"/>
        <v>4.221238938</v>
      </c>
      <c r="L151" s="134"/>
      <c r="M151" s="87"/>
      <c r="N151" s="87"/>
      <c r="O151" s="93">
        <v>59.0</v>
      </c>
      <c r="P151" s="93"/>
    </row>
    <row r="152" ht="25.5" hidden="1" customHeight="1" outlineLevel="1">
      <c r="A152" s="87">
        <v>5.0</v>
      </c>
      <c r="B152" s="89"/>
      <c r="C152" s="89" t="s">
        <v>452</v>
      </c>
      <c r="D152" s="691"/>
      <c r="E152" s="258">
        <v>50.0</v>
      </c>
      <c r="F152" s="93">
        <v>129.0</v>
      </c>
      <c r="G152" s="93">
        <v>129.0</v>
      </c>
      <c r="H152" s="692">
        <v>40.72</v>
      </c>
      <c r="I152" s="238">
        <f t="shared" si="43"/>
        <v>0.3156589147</v>
      </c>
      <c r="J152" s="93">
        <f t="shared" si="44"/>
        <v>88.28</v>
      </c>
      <c r="K152" s="158">
        <f t="shared" si="45"/>
        <v>2.167976424</v>
      </c>
      <c r="L152" s="134"/>
      <c r="M152" s="87"/>
      <c r="N152" s="87"/>
      <c r="O152" s="93">
        <v>129.0</v>
      </c>
      <c r="P152" s="93"/>
    </row>
    <row r="153" ht="32.25" hidden="1" customHeight="1" outlineLevel="1">
      <c r="A153" s="87">
        <v>6.0</v>
      </c>
      <c r="B153" s="89"/>
      <c r="C153" s="89" t="s">
        <v>453</v>
      </c>
      <c r="D153" s="691"/>
      <c r="E153" s="258">
        <v>40.0</v>
      </c>
      <c r="F153" s="93">
        <v>59.0</v>
      </c>
      <c r="G153" s="93">
        <v>59.0</v>
      </c>
      <c r="H153" s="692">
        <v>13.09</v>
      </c>
      <c r="I153" s="238">
        <f t="shared" si="43"/>
        <v>0.2218644068</v>
      </c>
      <c r="J153" s="93">
        <f t="shared" si="44"/>
        <v>45.91</v>
      </c>
      <c r="K153" s="158">
        <f t="shared" si="45"/>
        <v>3.507257448</v>
      </c>
      <c r="L153" s="134"/>
      <c r="M153" s="87"/>
      <c r="N153" s="87"/>
      <c r="O153" s="93">
        <v>59.0</v>
      </c>
      <c r="P153" s="93"/>
    </row>
    <row r="154" ht="32.25" hidden="1" customHeight="1" outlineLevel="1">
      <c r="A154" s="87">
        <v>7.0</v>
      </c>
      <c r="B154" s="89"/>
      <c r="C154" s="89" t="s">
        <v>454</v>
      </c>
      <c r="D154" s="691"/>
      <c r="E154" s="258">
        <v>30.0</v>
      </c>
      <c r="F154" s="93">
        <v>99.0</v>
      </c>
      <c r="G154" s="93">
        <v>99.0</v>
      </c>
      <c r="H154" s="692">
        <v>30.0</v>
      </c>
      <c r="I154" s="238">
        <f t="shared" si="43"/>
        <v>0.303030303</v>
      </c>
      <c r="J154" s="93">
        <f t="shared" si="44"/>
        <v>69</v>
      </c>
      <c r="K154" s="158">
        <f t="shared" si="45"/>
        <v>2.3</v>
      </c>
      <c r="L154" s="134"/>
      <c r="M154" s="87"/>
      <c r="N154" s="87"/>
      <c r="O154" s="93">
        <v>99.0</v>
      </c>
      <c r="P154" s="93"/>
    </row>
    <row r="155" ht="31.5" hidden="1" customHeight="1" outlineLevel="1">
      <c r="A155" s="87">
        <v>8.0</v>
      </c>
      <c r="B155" s="89"/>
      <c r="C155" s="89" t="s">
        <v>455</v>
      </c>
      <c r="D155" s="691"/>
      <c r="E155" s="258">
        <v>30.0</v>
      </c>
      <c r="F155" s="93">
        <v>89.0</v>
      </c>
      <c r="G155" s="93">
        <v>89.0</v>
      </c>
      <c r="H155" s="692">
        <v>20.65</v>
      </c>
      <c r="I155" s="238">
        <f t="shared" si="43"/>
        <v>0.2320224719</v>
      </c>
      <c r="J155" s="93">
        <f t="shared" si="44"/>
        <v>68.35</v>
      </c>
      <c r="K155" s="158">
        <f t="shared" si="45"/>
        <v>3.309927361</v>
      </c>
      <c r="L155" s="134"/>
      <c r="M155" s="87"/>
      <c r="N155" s="87"/>
      <c r="O155" s="93">
        <v>89.0</v>
      </c>
      <c r="P155" s="93"/>
    </row>
    <row r="156" ht="20.25" hidden="1" customHeight="1" outlineLevel="1">
      <c r="A156" s="87">
        <v>9.0</v>
      </c>
      <c r="B156" s="89"/>
      <c r="C156" s="89" t="s">
        <v>456</v>
      </c>
      <c r="D156" s="691"/>
      <c r="E156" s="258">
        <v>40.0</v>
      </c>
      <c r="F156" s="93">
        <v>49.0</v>
      </c>
      <c r="G156" s="93">
        <v>49.0</v>
      </c>
      <c r="H156" s="692">
        <v>12.66</v>
      </c>
      <c r="I156" s="238">
        <f t="shared" si="43"/>
        <v>0.2583673469</v>
      </c>
      <c r="J156" s="93">
        <f t="shared" si="44"/>
        <v>36.34</v>
      </c>
      <c r="K156" s="158">
        <f t="shared" si="45"/>
        <v>2.870458136</v>
      </c>
      <c r="L156" s="134"/>
      <c r="M156" s="87"/>
      <c r="N156" s="87"/>
      <c r="O156" s="93">
        <v>49.0</v>
      </c>
      <c r="P156" s="93"/>
    </row>
    <row r="157" ht="27.75" hidden="1" customHeight="1" outlineLevel="1">
      <c r="A157" s="87">
        <v>10.0</v>
      </c>
      <c r="B157" s="89"/>
      <c r="C157" s="89" t="s">
        <v>457</v>
      </c>
      <c r="D157" s="691"/>
      <c r="E157" s="258">
        <v>50.0</v>
      </c>
      <c r="F157" s="93">
        <v>89.0</v>
      </c>
      <c r="G157" s="93">
        <v>89.0</v>
      </c>
      <c r="H157" s="692">
        <v>24.75</v>
      </c>
      <c r="I157" s="238">
        <f t="shared" si="43"/>
        <v>0.2780898876</v>
      </c>
      <c r="J157" s="93">
        <f t="shared" si="44"/>
        <v>64.25</v>
      </c>
      <c r="K157" s="158">
        <f t="shared" si="45"/>
        <v>2.595959596</v>
      </c>
      <c r="L157" s="134"/>
      <c r="M157" s="87"/>
      <c r="N157" s="87"/>
      <c r="O157" s="93">
        <v>89.0</v>
      </c>
      <c r="P157" s="93"/>
    </row>
    <row r="158" ht="32.25" hidden="1" customHeight="1" outlineLevel="1">
      <c r="A158" s="87">
        <v>11.0</v>
      </c>
      <c r="B158" s="89"/>
      <c r="C158" s="89" t="s">
        <v>458</v>
      </c>
      <c r="D158" s="691"/>
      <c r="E158" s="258">
        <v>50.0</v>
      </c>
      <c r="F158" s="93">
        <v>179.0</v>
      </c>
      <c r="G158" s="93">
        <v>179.0</v>
      </c>
      <c r="H158" s="692">
        <v>55.9</v>
      </c>
      <c r="I158" s="238">
        <f t="shared" si="43"/>
        <v>0.3122905028</v>
      </c>
      <c r="J158" s="93">
        <f t="shared" si="44"/>
        <v>123.1</v>
      </c>
      <c r="K158" s="158">
        <f t="shared" si="45"/>
        <v>2.202146691</v>
      </c>
      <c r="L158" s="134"/>
      <c r="M158" s="87"/>
      <c r="N158" s="87"/>
      <c r="O158" s="93">
        <v>179.0</v>
      </c>
      <c r="P158" s="93"/>
    </row>
    <row r="159" ht="33.75" hidden="1" customHeight="1" outlineLevel="1">
      <c r="A159" s="87">
        <v>12.0</v>
      </c>
      <c r="B159" s="89"/>
      <c r="C159" s="89" t="s">
        <v>459</v>
      </c>
      <c r="D159" s="691"/>
      <c r="E159" s="258">
        <v>50.0</v>
      </c>
      <c r="F159" s="93">
        <v>159.0</v>
      </c>
      <c r="G159" s="93">
        <v>159.0</v>
      </c>
      <c r="H159" s="692">
        <v>43.04</v>
      </c>
      <c r="I159" s="238">
        <f t="shared" si="43"/>
        <v>0.2706918239</v>
      </c>
      <c r="J159" s="93">
        <f t="shared" si="44"/>
        <v>115.96</v>
      </c>
      <c r="K159" s="158">
        <f t="shared" si="45"/>
        <v>2.694237918</v>
      </c>
      <c r="L159" s="134"/>
      <c r="M159" s="87"/>
      <c r="N159" s="87"/>
      <c r="O159" s="93">
        <v>159.0</v>
      </c>
      <c r="P159" s="93"/>
    </row>
    <row r="160" ht="24.0" hidden="1" customHeight="1" outlineLevel="1">
      <c r="A160" s="87">
        <v>13.0</v>
      </c>
      <c r="B160" s="89"/>
      <c r="C160" s="89" t="s">
        <v>460</v>
      </c>
      <c r="D160" s="691"/>
      <c r="E160" s="258">
        <v>50.0</v>
      </c>
      <c r="F160" s="93">
        <v>169.0</v>
      </c>
      <c r="G160" s="93">
        <v>169.0</v>
      </c>
      <c r="H160" s="692">
        <v>47.22</v>
      </c>
      <c r="I160" s="238">
        <f t="shared" si="43"/>
        <v>0.279408284</v>
      </c>
      <c r="J160" s="93">
        <f t="shared" si="44"/>
        <v>121.78</v>
      </c>
      <c r="K160" s="158">
        <f t="shared" si="45"/>
        <v>2.578991953</v>
      </c>
      <c r="L160" s="134"/>
      <c r="M160" s="87"/>
      <c r="N160" s="87"/>
      <c r="O160" s="93">
        <v>169.0</v>
      </c>
      <c r="P160" s="93"/>
    </row>
    <row r="161" ht="25.5" hidden="1" customHeight="1" outlineLevel="1">
      <c r="A161" s="87">
        <v>14.0</v>
      </c>
      <c r="B161" s="89"/>
      <c r="C161" s="689" t="s">
        <v>461</v>
      </c>
      <c r="D161" s="690"/>
      <c r="E161" s="265">
        <v>50.0</v>
      </c>
      <c r="F161" s="243">
        <v>99.0</v>
      </c>
      <c r="G161" s="243">
        <v>99.0</v>
      </c>
      <c r="H161" s="275">
        <v>22.77</v>
      </c>
      <c r="I161" s="238">
        <f t="shared" si="43"/>
        <v>0.23</v>
      </c>
      <c r="J161" s="93">
        <f t="shared" si="44"/>
        <v>76.23</v>
      </c>
      <c r="K161" s="158">
        <f t="shared" si="45"/>
        <v>3.347826087</v>
      </c>
      <c r="L161" s="247"/>
      <c r="M161" s="239"/>
      <c r="N161" s="239"/>
      <c r="O161" s="243">
        <v>99.0</v>
      </c>
      <c r="P161" s="243"/>
    </row>
    <row r="162" ht="25.5" hidden="1" customHeight="1" outlineLevel="1">
      <c r="A162" s="87">
        <v>15.0</v>
      </c>
      <c r="B162" s="89"/>
      <c r="C162" s="689" t="s">
        <v>462</v>
      </c>
      <c r="D162" s="690"/>
      <c r="E162" s="265">
        <v>50.0</v>
      </c>
      <c r="F162" s="243">
        <v>99.0</v>
      </c>
      <c r="G162" s="243">
        <v>99.0</v>
      </c>
      <c r="H162" s="275">
        <v>18.5</v>
      </c>
      <c r="I162" s="238">
        <f t="shared" si="43"/>
        <v>0.1868686869</v>
      </c>
      <c r="J162" s="93">
        <f t="shared" si="44"/>
        <v>80.5</v>
      </c>
      <c r="K162" s="158">
        <f t="shared" si="45"/>
        <v>4.351351351</v>
      </c>
      <c r="L162" s="247"/>
      <c r="M162" s="239"/>
      <c r="N162" s="239"/>
      <c r="O162" s="243">
        <v>99.0</v>
      </c>
      <c r="P162" s="243"/>
    </row>
    <row r="163" ht="25.5" hidden="1" customHeight="1" outlineLevel="1">
      <c r="A163" s="239"/>
      <c r="B163" s="89"/>
      <c r="C163" s="689"/>
      <c r="D163" s="690"/>
      <c r="E163" s="265"/>
      <c r="F163" s="243"/>
      <c r="G163" s="243"/>
      <c r="H163" s="275"/>
      <c r="I163" s="238"/>
      <c r="J163" s="239"/>
      <c r="K163" s="247"/>
      <c r="L163" s="247"/>
      <c r="M163" s="239"/>
      <c r="N163" s="239"/>
      <c r="O163" s="243"/>
      <c r="P163" s="243"/>
    </row>
    <row r="164" ht="25.5" customHeight="1">
      <c r="A164" s="239"/>
      <c r="B164" s="89"/>
      <c r="C164" s="740"/>
      <c r="D164" s="741"/>
      <c r="E164" s="265"/>
      <c r="F164" s="243"/>
      <c r="G164" s="243"/>
      <c r="H164" s="275"/>
      <c r="I164" s="247"/>
      <c r="J164" s="239"/>
      <c r="K164" s="247"/>
      <c r="L164" s="247"/>
      <c r="M164" s="239"/>
      <c r="N164" s="243"/>
      <c r="O164" s="243"/>
      <c r="P164" s="243"/>
    </row>
    <row r="165" ht="25.5" customHeight="1">
      <c r="A165" s="239"/>
      <c r="B165" s="89"/>
      <c r="C165" s="740"/>
      <c r="D165" s="741"/>
      <c r="E165" s="265"/>
      <c r="F165" s="243"/>
      <c r="G165" s="243"/>
      <c r="H165" s="275"/>
      <c r="I165" s="247"/>
      <c r="J165" s="239"/>
      <c r="K165" s="247"/>
      <c r="L165" s="247"/>
      <c r="M165" s="239"/>
      <c r="N165" s="243"/>
      <c r="O165" s="243"/>
      <c r="P165" s="243"/>
    </row>
    <row r="166" ht="25.5" customHeight="1">
      <c r="A166" s="239"/>
      <c r="B166" s="89"/>
      <c r="C166" s="740"/>
      <c r="D166" s="741"/>
      <c r="E166" s="265"/>
      <c r="F166" s="243"/>
      <c r="G166" s="243"/>
      <c r="H166" s="275"/>
      <c r="I166" s="247"/>
      <c r="J166" s="239"/>
      <c r="K166" s="247"/>
      <c r="L166" s="247"/>
      <c r="M166" s="239"/>
      <c r="N166" s="243"/>
      <c r="O166" s="243"/>
      <c r="P166" s="243"/>
    </row>
    <row r="167" ht="25.5" customHeight="1">
      <c r="A167" s="239"/>
      <c r="B167" s="89"/>
      <c r="C167" s="740"/>
      <c r="D167" s="741"/>
      <c r="E167" s="265"/>
      <c r="F167" s="243"/>
      <c r="G167" s="243"/>
      <c r="H167" s="275"/>
      <c r="I167" s="247"/>
      <c r="J167" s="239"/>
      <c r="K167" s="247"/>
      <c r="L167" s="247"/>
      <c r="M167" s="239"/>
      <c r="N167" s="243"/>
      <c r="O167" s="243"/>
      <c r="P167" s="243"/>
    </row>
    <row r="168" ht="25.5" customHeight="1">
      <c r="A168" s="239"/>
      <c r="B168" s="89"/>
      <c r="C168" s="740"/>
      <c r="D168" s="741"/>
      <c r="E168" s="265"/>
      <c r="F168" s="243"/>
      <c r="G168" s="243"/>
      <c r="H168" s="275"/>
      <c r="I168" s="247"/>
      <c r="J168" s="239"/>
      <c r="K168" s="247"/>
      <c r="L168" s="247"/>
      <c r="M168" s="239"/>
      <c r="N168" s="243"/>
      <c r="O168" s="243"/>
      <c r="P168" s="243"/>
    </row>
    <row r="169" ht="25.5" customHeight="1">
      <c r="A169" s="239"/>
      <c r="B169" s="89"/>
      <c r="C169" s="740"/>
      <c r="D169" s="741"/>
      <c r="E169" s="265"/>
      <c r="F169" s="243"/>
      <c r="G169" s="243"/>
      <c r="H169" s="275"/>
      <c r="I169" s="247"/>
      <c r="J169" s="239"/>
      <c r="K169" s="247"/>
      <c r="L169" s="247"/>
      <c r="M169" s="239"/>
      <c r="N169" s="243"/>
      <c r="O169" s="243"/>
      <c r="P169" s="243"/>
    </row>
    <row r="170" ht="25.5" customHeight="1">
      <c r="A170" s="239"/>
      <c r="B170" s="89"/>
      <c r="C170" s="740"/>
      <c r="D170" s="741"/>
      <c r="E170" s="265"/>
      <c r="F170" s="243"/>
      <c r="G170" s="243"/>
      <c r="H170" s="275"/>
      <c r="I170" s="247"/>
      <c r="J170" s="239"/>
      <c r="K170" s="247"/>
      <c r="L170" s="247"/>
      <c r="M170" s="239"/>
      <c r="N170" s="243"/>
      <c r="O170" s="243"/>
      <c r="P170" s="243"/>
    </row>
    <row r="171" ht="25.5" customHeight="1">
      <c r="A171" s="239"/>
      <c r="B171" s="89"/>
      <c r="C171" s="740"/>
      <c r="D171" s="741"/>
      <c r="E171" s="265"/>
      <c r="F171" s="243"/>
      <c r="G171" s="243"/>
      <c r="H171" s="275"/>
      <c r="I171" s="247"/>
      <c r="J171" s="239"/>
      <c r="K171" s="247"/>
      <c r="L171" s="247"/>
      <c r="M171" s="239"/>
      <c r="N171" s="243"/>
      <c r="O171" s="243"/>
      <c r="P171" s="243"/>
    </row>
    <row r="172" ht="25.5" customHeight="1">
      <c r="A172" s="239"/>
      <c r="B172" s="89"/>
      <c r="C172" s="740"/>
      <c r="D172" s="741"/>
      <c r="E172" s="265"/>
      <c r="F172" s="243"/>
      <c r="G172" s="243"/>
      <c r="H172" s="275"/>
      <c r="I172" s="247"/>
      <c r="J172" s="239"/>
      <c r="K172" s="247"/>
      <c r="L172" s="247"/>
      <c r="M172" s="239"/>
      <c r="N172" s="243"/>
      <c r="O172" s="243"/>
      <c r="P172" s="243"/>
    </row>
    <row r="173" ht="25.5" customHeight="1">
      <c r="A173" s="239"/>
      <c r="B173" s="89"/>
      <c r="C173" s="740"/>
      <c r="D173" s="741"/>
      <c r="E173" s="265"/>
      <c r="F173" s="243"/>
      <c r="G173" s="243"/>
      <c r="H173" s="275"/>
      <c r="I173" s="247"/>
      <c r="J173" s="239"/>
      <c r="K173" s="247"/>
      <c r="L173" s="247"/>
      <c r="M173" s="239"/>
      <c r="N173" s="243"/>
      <c r="O173" s="243"/>
      <c r="P173" s="243"/>
    </row>
    <row r="174" ht="25.5" customHeight="1">
      <c r="A174" s="239"/>
      <c r="B174" s="89"/>
      <c r="C174" s="740"/>
      <c r="D174" s="741"/>
      <c r="E174" s="265"/>
      <c r="F174" s="243"/>
      <c r="G174" s="243"/>
      <c r="H174" s="275"/>
      <c r="I174" s="247"/>
      <c r="J174" s="239"/>
      <c r="K174" s="247"/>
      <c r="L174" s="247"/>
      <c r="M174" s="239"/>
      <c r="N174" s="243"/>
      <c r="O174" s="243"/>
      <c r="P174" s="243"/>
    </row>
    <row r="175" ht="25.5" customHeight="1">
      <c r="A175" s="239"/>
      <c r="B175" s="89"/>
      <c r="C175" s="740"/>
      <c r="D175" s="741"/>
      <c r="E175" s="265"/>
      <c r="F175" s="243"/>
      <c r="G175" s="243"/>
      <c r="H175" s="275"/>
      <c r="I175" s="247"/>
      <c r="J175" s="239"/>
      <c r="K175" s="247"/>
      <c r="L175" s="247"/>
      <c r="M175" s="239"/>
      <c r="N175" s="243"/>
      <c r="O175" s="243"/>
      <c r="P175" s="243"/>
    </row>
    <row r="176" ht="25.5" customHeight="1">
      <c r="A176" s="239"/>
      <c r="B176" s="89"/>
      <c r="C176" s="740"/>
      <c r="D176" s="741"/>
      <c r="E176" s="265"/>
      <c r="F176" s="243"/>
      <c r="G176" s="243"/>
      <c r="H176" s="275"/>
      <c r="I176" s="247"/>
      <c r="J176" s="239"/>
      <c r="K176" s="247"/>
      <c r="L176" s="247"/>
      <c r="M176" s="239"/>
      <c r="N176" s="243"/>
      <c r="O176" s="243"/>
      <c r="P176" s="243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conditionalFormatting sqref="H50 I1:I176 J50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M1:M176 N1:N163 O50:P50">
    <cfRule type="containsText" dxfId="0" priority="2" operator="containsText" text="нет">
      <formula>NOT(ISERROR(SEARCH(("нет"),(M1))))</formula>
    </cfRule>
  </conditionalFormatting>
  <conditionalFormatting sqref="F1:G1 F3:G84 H50 K50 L4:L85 L103:L160 M50 N1:P1 N3:N81 O3:P84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M3:N49 M50:P50 M51:N163 M164:M176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10.29"/>
    <col customWidth="1" min="2" max="2" width="22.43"/>
    <col customWidth="1" min="3" max="3" width="30.0"/>
    <col customWidth="1" min="4" max="4" width="34.57"/>
    <col customWidth="1" min="5" max="5" width="8.43"/>
    <col customWidth="1" min="6" max="7" width="8.14"/>
    <col customWidth="1" min="8" max="8" width="8.43"/>
    <col customWidth="1" min="9" max="10" width="7.29"/>
    <col customWidth="1" min="11" max="11" width="7.14"/>
    <col customWidth="1" min="12" max="12" width="8.29"/>
    <col customWidth="1" min="13" max="14" width="9.71"/>
    <col customWidth="1" hidden="1" min="15" max="15" width="8.14"/>
  </cols>
  <sheetData>
    <row r="1" ht="25.5" customHeight="1">
      <c r="A1" s="87"/>
      <c r="C1" s="89" t="s">
        <v>1027</v>
      </c>
      <c r="D1" s="98" t="s">
        <v>1011</v>
      </c>
      <c r="E1" s="258"/>
      <c r="F1" s="93"/>
      <c r="G1" s="93"/>
      <c r="H1" s="162"/>
      <c r="I1" s="158"/>
      <c r="J1" s="87"/>
      <c r="K1" s="87"/>
      <c r="L1" s="87"/>
      <c r="M1" s="87"/>
      <c r="N1" s="239"/>
      <c r="O1" s="243"/>
    </row>
    <row r="2" ht="66.0" customHeight="1">
      <c r="A2" s="68" t="s">
        <v>1012</v>
      </c>
      <c r="B2" s="69" t="s">
        <v>1013</v>
      </c>
      <c r="C2" s="90" t="s">
        <v>1014</v>
      </c>
      <c r="D2" s="68" t="s">
        <v>1015</v>
      </c>
      <c r="E2" s="70" t="s">
        <v>96</v>
      </c>
      <c r="F2" s="432" t="s">
        <v>1173</v>
      </c>
      <c r="G2" s="432" t="s">
        <v>502</v>
      </c>
      <c r="H2" s="693" t="s">
        <v>99</v>
      </c>
      <c r="I2" s="694" t="s">
        <v>100</v>
      </c>
      <c r="J2" s="68" t="s">
        <v>466</v>
      </c>
      <c r="K2" s="68" t="s">
        <v>102</v>
      </c>
      <c r="L2" s="68" t="s">
        <v>1030</v>
      </c>
      <c r="M2" s="68" t="s">
        <v>506</v>
      </c>
      <c r="N2" s="75"/>
      <c r="O2" s="432" t="s">
        <v>1174</v>
      </c>
    </row>
    <row r="3" ht="27.0" customHeight="1">
      <c r="A3" s="614"/>
      <c r="B3" s="615" t="str">
        <f>"Блюда на компанию "&amp;COUNTA(C4:C14)&amp;" шт"</f>
        <v>Блюда на компанию 9 шт</v>
      </c>
      <c r="C3" s="614"/>
      <c r="D3" s="614"/>
      <c r="E3" s="616"/>
      <c r="F3" s="695"/>
      <c r="G3" s="695"/>
      <c r="H3" s="618"/>
      <c r="I3" s="648">
        <f>AVERAGE(I4:I14)</f>
        <v>0.269255131</v>
      </c>
      <c r="J3" s="614"/>
      <c r="K3" s="614"/>
      <c r="L3" s="614"/>
      <c r="M3" s="86"/>
      <c r="N3" s="86"/>
      <c r="O3" s="695"/>
    </row>
    <row r="4" ht="25.5" customHeight="1" outlineLevel="1">
      <c r="A4" s="87"/>
      <c r="B4" s="89" t="s">
        <v>1180</v>
      </c>
      <c r="C4" s="89" t="s">
        <v>1032</v>
      </c>
      <c r="D4" s="89" t="s">
        <v>1033</v>
      </c>
      <c r="E4" s="258" t="s">
        <v>1034</v>
      </c>
      <c r="F4" s="93">
        <v>769.0</v>
      </c>
      <c r="G4" s="93">
        <v>749.0</v>
      </c>
      <c r="H4" s="162">
        <v>177.0</v>
      </c>
      <c r="I4" s="158">
        <f t="shared" ref="I4:I14" si="1">H4/G4</f>
        <v>0.2363150868</v>
      </c>
      <c r="J4" s="93">
        <f t="shared" ref="J4:J14" si="2">G4-H4</f>
        <v>572</v>
      </c>
      <c r="K4" s="158">
        <f t="shared" ref="K4:K14" si="3">O4/H4-1</f>
        <v>3.514124294</v>
      </c>
      <c r="L4" s="134"/>
      <c r="M4" s="87" t="s">
        <v>112</v>
      </c>
      <c r="N4" s="87"/>
      <c r="O4" s="93">
        <v>799.0</v>
      </c>
    </row>
    <row r="5" ht="84.75" customHeight="1" outlineLevel="1">
      <c r="A5" s="121"/>
      <c r="B5" s="676" t="s">
        <v>1176</v>
      </c>
      <c r="C5" s="742"/>
      <c r="D5" s="676" t="s">
        <v>1036</v>
      </c>
      <c r="E5" s="666">
        <v>150.0</v>
      </c>
      <c r="F5" s="127">
        <v>0.0</v>
      </c>
      <c r="G5" s="127">
        <v>749.0</v>
      </c>
      <c r="H5" s="677">
        <v>180.0</v>
      </c>
      <c r="I5" s="668">
        <f t="shared" si="1"/>
        <v>0.2403204272</v>
      </c>
      <c r="J5" s="127">
        <f t="shared" si="2"/>
        <v>569</v>
      </c>
      <c r="K5" s="668">
        <f t="shared" si="3"/>
        <v>-1</v>
      </c>
      <c r="L5" s="133"/>
      <c r="M5" s="121"/>
      <c r="N5" s="121"/>
      <c r="O5" s="127"/>
    </row>
    <row r="6" ht="84.75" customHeight="1" outlineLevel="1">
      <c r="A6" s="87"/>
      <c r="B6" s="181" t="s">
        <v>1182</v>
      </c>
      <c r="C6" s="89" t="s">
        <v>1184</v>
      </c>
      <c r="D6" s="181" t="s">
        <v>1038</v>
      </c>
      <c r="E6" s="258">
        <v>400.0</v>
      </c>
      <c r="F6" s="93">
        <v>899.0</v>
      </c>
      <c r="G6" s="93">
        <v>899.0</v>
      </c>
      <c r="H6" s="162">
        <v>270.0</v>
      </c>
      <c r="I6" s="158">
        <f t="shared" si="1"/>
        <v>0.3003337041</v>
      </c>
      <c r="J6" s="93">
        <f t="shared" si="2"/>
        <v>629</v>
      </c>
      <c r="K6" s="158">
        <f t="shared" si="3"/>
        <v>-1</v>
      </c>
      <c r="L6" s="134">
        <v>999.0</v>
      </c>
      <c r="M6" s="102" t="s">
        <v>111</v>
      </c>
      <c r="N6" s="87"/>
      <c r="O6" s="93"/>
    </row>
    <row r="7" ht="127.5" customHeight="1" outlineLevel="1">
      <c r="A7" s="87"/>
      <c r="B7" s="89" t="s">
        <v>1186</v>
      </c>
      <c r="C7" s="89" t="s">
        <v>143</v>
      </c>
      <c r="D7" s="181" t="s">
        <v>1040</v>
      </c>
      <c r="E7" s="258">
        <v>1000.0</v>
      </c>
      <c r="F7" s="93">
        <v>0.0</v>
      </c>
      <c r="G7" s="93">
        <v>1699.0</v>
      </c>
      <c r="H7" s="162">
        <v>499.0</v>
      </c>
      <c r="I7" s="158">
        <f t="shared" si="1"/>
        <v>0.2937021778</v>
      </c>
      <c r="J7" s="93">
        <f t="shared" si="2"/>
        <v>1200</v>
      </c>
      <c r="K7" s="158">
        <f t="shared" si="3"/>
        <v>0.6012024048</v>
      </c>
      <c r="L7" s="134">
        <v>1799.0</v>
      </c>
      <c r="M7" s="102" t="s">
        <v>111</v>
      </c>
      <c r="N7" s="87"/>
      <c r="O7" s="93">
        <v>799.0</v>
      </c>
    </row>
    <row r="8" ht="91.5" customHeight="1" outlineLevel="1">
      <c r="A8" s="87"/>
      <c r="B8" s="181"/>
      <c r="C8" s="89" t="s">
        <v>1041</v>
      </c>
      <c r="D8" s="181" t="s">
        <v>1042</v>
      </c>
      <c r="E8" s="258">
        <v>550.0</v>
      </c>
      <c r="F8" s="93">
        <v>699.0</v>
      </c>
      <c r="G8" s="93">
        <v>799.0</v>
      </c>
      <c r="H8" s="162">
        <v>210.17</v>
      </c>
      <c r="I8" s="158">
        <f t="shared" si="1"/>
        <v>0.2630413016</v>
      </c>
      <c r="J8" s="93">
        <f t="shared" si="2"/>
        <v>588.83</v>
      </c>
      <c r="K8" s="158">
        <f t="shared" si="3"/>
        <v>2.563781701</v>
      </c>
      <c r="L8" s="134">
        <v>899.0</v>
      </c>
      <c r="M8" s="102" t="s">
        <v>111</v>
      </c>
      <c r="N8" s="87"/>
      <c r="O8" s="93">
        <v>749.0</v>
      </c>
    </row>
    <row r="9" ht="106.5" customHeight="1" outlineLevel="1">
      <c r="A9" s="87"/>
      <c r="B9" s="181" t="s">
        <v>1196</v>
      </c>
      <c r="C9" s="89" t="s">
        <v>149</v>
      </c>
      <c r="D9" s="181" t="s">
        <v>1043</v>
      </c>
      <c r="E9" s="258">
        <v>1400.0</v>
      </c>
      <c r="F9" s="93">
        <v>2199.0</v>
      </c>
      <c r="G9" s="93">
        <v>2299.0</v>
      </c>
      <c r="H9" s="162">
        <v>630.0</v>
      </c>
      <c r="I9" s="158">
        <f t="shared" si="1"/>
        <v>0.2740321879</v>
      </c>
      <c r="J9" s="93">
        <f t="shared" si="2"/>
        <v>1669</v>
      </c>
      <c r="K9" s="158">
        <f t="shared" si="3"/>
        <v>2.173015873</v>
      </c>
      <c r="L9" s="134">
        <v>2499.0</v>
      </c>
      <c r="M9" s="102" t="s">
        <v>111</v>
      </c>
      <c r="N9" s="87"/>
      <c r="O9" s="93">
        <v>1999.0</v>
      </c>
    </row>
    <row r="10" ht="84.75" customHeight="1" outlineLevel="1">
      <c r="A10" s="121"/>
      <c r="B10" s="221" t="s">
        <v>1193</v>
      </c>
      <c r="C10" s="221" t="s">
        <v>152</v>
      </c>
      <c r="D10" s="221" t="s">
        <v>1044</v>
      </c>
      <c r="E10" s="666">
        <v>500.0</v>
      </c>
      <c r="F10" s="127">
        <v>999.0</v>
      </c>
      <c r="G10" s="127">
        <v>1249.0</v>
      </c>
      <c r="H10" s="677">
        <v>374.6</v>
      </c>
      <c r="I10" s="668">
        <f t="shared" si="1"/>
        <v>0.2999199359</v>
      </c>
      <c r="J10" s="127">
        <f t="shared" si="2"/>
        <v>874.4</v>
      </c>
      <c r="K10" s="668">
        <f t="shared" si="3"/>
        <v>-0.3085958356</v>
      </c>
      <c r="L10" s="133">
        <v>1399.0</v>
      </c>
      <c r="M10" s="121" t="s">
        <v>111</v>
      </c>
      <c r="N10" s="121"/>
      <c r="O10" s="127">
        <v>259.0</v>
      </c>
    </row>
    <row r="11" ht="83.25" customHeight="1" outlineLevel="1">
      <c r="A11" s="87"/>
      <c r="B11" s="181"/>
      <c r="C11" s="89" t="s">
        <v>155</v>
      </c>
      <c r="D11" s="87" t="s">
        <v>1045</v>
      </c>
      <c r="E11" s="258">
        <v>1200.0</v>
      </c>
      <c r="F11" s="93">
        <v>1299.0</v>
      </c>
      <c r="G11" s="93">
        <v>1399.0</v>
      </c>
      <c r="H11" s="162">
        <v>314.14</v>
      </c>
      <c r="I11" s="158">
        <f t="shared" si="1"/>
        <v>0.2245461044</v>
      </c>
      <c r="J11" s="93">
        <f t="shared" si="2"/>
        <v>1084.86</v>
      </c>
      <c r="K11" s="659">
        <f t="shared" si="3"/>
        <v>2.816769593</v>
      </c>
      <c r="L11" s="134"/>
      <c r="M11" s="87" t="s">
        <v>112</v>
      </c>
      <c r="N11" s="87"/>
      <c r="O11" s="93">
        <v>1199.0</v>
      </c>
    </row>
    <row r="12" ht="25.5" customHeight="1" outlineLevel="1">
      <c r="A12" s="87"/>
      <c r="B12" s="98" t="s">
        <v>1198</v>
      </c>
      <c r="C12" s="116"/>
      <c r="D12" s="87" t="s">
        <v>1047</v>
      </c>
      <c r="E12" s="258">
        <v>1200.0</v>
      </c>
      <c r="F12" s="93">
        <v>1799.0</v>
      </c>
      <c r="G12" s="93">
        <v>1399.0</v>
      </c>
      <c r="H12" s="162">
        <v>360.0</v>
      </c>
      <c r="I12" s="158">
        <f t="shared" si="1"/>
        <v>0.2573266619</v>
      </c>
      <c r="J12" s="93">
        <f t="shared" si="2"/>
        <v>1039</v>
      </c>
      <c r="K12" s="659">
        <f t="shared" si="3"/>
        <v>-1</v>
      </c>
      <c r="L12" s="134"/>
      <c r="M12" s="87" t="s">
        <v>112</v>
      </c>
      <c r="N12" s="87"/>
      <c r="O12" s="134"/>
    </row>
    <row r="13" ht="75.75" customHeight="1" outlineLevel="1">
      <c r="A13" s="87"/>
      <c r="B13" s="98" t="s">
        <v>1188</v>
      </c>
      <c r="C13" s="89" t="s">
        <v>161</v>
      </c>
      <c r="D13" s="87" t="s">
        <v>1049</v>
      </c>
      <c r="E13" s="662">
        <v>700.0</v>
      </c>
      <c r="F13" s="134">
        <v>0.0</v>
      </c>
      <c r="G13" s="134">
        <v>1249.0</v>
      </c>
      <c r="H13" s="162">
        <v>370.0</v>
      </c>
      <c r="I13" s="158">
        <f t="shared" si="1"/>
        <v>0.2962369896</v>
      </c>
      <c r="J13" s="93">
        <f t="shared" si="2"/>
        <v>879</v>
      </c>
      <c r="K13" s="158">
        <f t="shared" si="3"/>
        <v>2.240540541</v>
      </c>
      <c r="L13" s="134">
        <v>1399.0</v>
      </c>
      <c r="M13" s="102" t="s">
        <v>111</v>
      </c>
      <c r="N13" s="87"/>
      <c r="O13" s="134">
        <v>1199.0</v>
      </c>
    </row>
    <row r="14" ht="207.75" customHeight="1" outlineLevel="1">
      <c r="A14" s="87"/>
      <c r="B14" s="98"/>
      <c r="C14" s="89" t="s">
        <v>157</v>
      </c>
      <c r="D14" s="87" t="s">
        <v>1048</v>
      </c>
      <c r="E14" s="662">
        <v>1250.0</v>
      </c>
      <c r="F14" s="93">
        <v>2799.0</v>
      </c>
      <c r="G14" s="93">
        <v>2699.0</v>
      </c>
      <c r="H14" s="162">
        <v>745.01</v>
      </c>
      <c r="I14" s="158">
        <f t="shared" si="1"/>
        <v>0.2760318637</v>
      </c>
      <c r="J14" s="93">
        <f t="shared" si="2"/>
        <v>1953.99</v>
      </c>
      <c r="K14" s="158">
        <f t="shared" si="3"/>
        <v>2.488543778</v>
      </c>
      <c r="L14" s="134">
        <v>2999.0</v>
      </c>
      <c r="M14" s="102" t="s">
        <v>111</v>
      </c>
      <c r="N14" s="87"/>
      <c r="O14" s="134">
        <v>2599.0</v>
      </c>
    </row>
    <row r="15" ht="27.0" customHeight="1">
      <c r="A15" s="614"/>
      <c r="B15" s="615" t="str">
        <f>"Япония "&amp;COUNTA(C16:C23)&amp;" шт"</f>
        <v>Япония 6 шт</v>
      </c>
      <c r="C15" s="614"/>
      <c r="D15" s="614"/>
      <c r="E15" s="616"/>
      <c r="F15" s="695"/>
      <c r="G15" s="695"/>
      <c r="H15" s="618"/>
      <c r="I15" s="648">
        <f>AVERAGE(I16:I23)</f>
        <v>0.2496320322</v>
      </c>
      <c r="J15" s="614"/>
      <c r="K15" s="614"/>
      <c r="L15" s="614"/>
      <c r="M15" s="86"/>
      <c r="N15" s="86"/>
      <c r="O15" s="695"/>
    </row>
    <row r="16" ht="25.5" customHeight="1" outlineLevel="1">
      <c r="A16" s="87"/>
      <c r="B16" s="87"/>
      <c r="C16" s="89" t="s">
        <v>1050</v>
      </c>
      <c r="D16" s="743" t="s">
        <v>1051</v>
      </c>
      <c r="E16" s="258">
        <v>200.0</v>
      </c>
      <c r="F16" s="93">
        <v>399.0</v>
      </c>
      <c r="G16" s="93">
        <v>399.0</v>
      </c>
      <c r="H16" s="162">
        <v>65.9</v>
      </c>
      <c r="I16" s="158">
        <f t="shared" ref="I16:I23" si="4">H16/G16</f>
        <v>0.1651629073</v>
      </c>
      <c r="J16" s="93">
        <f t="shared" ref="J16:J23" si="5">G16-H16</f>
        <v>333.1</v>
      </c>
      <c r="K16" s="158">
        <f t="shared" ref="K16:K23" si="6">O16/H16-1</f>
        <v>5.054628225</v>
      </c>
      <c r="L16" s="134">
        <v>499.0</v>
      </c>
      <c r="M16" s="102" t="s">
        <v>111</v>
      </c>
      <c r="N16" s="87"/>
      <c r="O16" s="93">
        <v>399.0</v>
      </c>
    </row>
    <row r="17" ht="25.5" customHeight="1" outlineLevel="1">
      <c r="A17" s="87"/>
      <c r="B17" s="87"/>
      <c r="C17" s="89" t="s">
        <v>169</v>
      </c>
      <c r="D17" s="87" t="s">
        <v>1052</v>
      </c>
      <c r="E17" s="258">
        <v>200.0</v>
      </c>
      <c r="F17" s="93">
        <v>499.0</v>
      </c>
      <c r="G17" s="93">
        <v>529.0</v>
      </c>
      <c r="H17" s="162">
        <v>145.9</v>
      </c>
      <c r="I17" s="158">
        <f t="shared" si="4"/>
        <v>0.2758034026</v>
      </c>
      <c r="J17" s="93">
        <f t="shared" si="5"/>
        <v>383.1</v>
      </c>
      <c r="K17" s="158">
        <f t="shared" si="6"/>
        <v>2.420150788</v>
      </c>
      <c r="L17" s="134">
        <v>599.0</v>
      </c>
      <c r="M17" s="102" t="s">
        <v>111</v>
      </c>
      <c r="N17" s="87"/>
      <c r="O17" s="93">
        <v>499.0</v>
      </c>
    </row>
    <row r="18" ht="25.5" customHeight="1" outlineLevel="1">
      <c r="A18" s="87"/>
      <c r="B18" s="87"/>
      <c r="C18" s="89" t="s">
        <v>1205</v>
      </c>
      <c r="D18" s="743" t="s">
        <v>171</v>
      </c>
      <c r="E18" s="258">
        <v>160.0</v>
      </c>
      <c r="F18" s="93">
        <v>359.0</v>
      </c>
      <c r="G18" s="93">
        <v>359.0</v>
      </c>
      <c r="H18" s="162">
        <v>58.9</v>
      </c>
      <c r="I18" s="158">
        <f t="shared" si="4"/>
        <v>0.1640668524</v>
      </c>
      <c r="J18" s="93">
        <f t="shared" si="5"/>
        <v>300.1</v>
      </c>
      <c r="K18" s="158">
        <f t="shared" si="6"/>
        <v>4.925297114</v>
      </c>
      <c r="L18" s="134">
        <v>399.0</v>
      </c>
      <c r="M18" s="102" t="s">
        <v>111</v>
      </c>
      <c r="N18" s="87"/>
      <c r="O18" s="93">
        <v>349.0</v>
      </c>
    </row>
    <row r="19" ht="25.5" customHeight="1" outlineLevel="1">
      <c r="A19" s="87"/>
      <c r="B19" s="87"/>
      <c r="C19" s="89" t="s">
        <v>173</v>
      </c>
      <c r="D19" s="743" t="s">
        <v>1053</v>
      </c>
      <c r="E19" s="258">
        <v>230.0</v>
      </c>
      <c r="F19" s="93">
        <v>429.0</v>
      </c>
      <c r="G19" s="93">
        <v>449.0</v>
      </c>
      <c r="H19" s="162">
        <v>111.0</v>
      </c>
      <c r="I19" s="158">
        <f t="shared" si="4"/>
        <v>0.2472160356</v>
      </c>
      <c r="J19" s="93">
        <f t="shared" si="5"/>
        <v>338</v>
      </c>
      <c r="K19" s="158">
        <f t="shared" si="6"/>
        <v>2.594594595</v>
      </c>
      <c r="L19" s="134">
        <v>499.0</v>
      </c>
      <c r="M19" s="102" t="s">
        <v>111</v>
      </c>
      <c r="N19" s="87"/>
      <c r="O19" s="93">
        <v>399.0</v>
      </c>
    </row>
    <row r="20" ht="111.0" customHeight="1" outlineLevel="1">
      <c r="A20" s="87"/>
      <c r="B20" s="87" t="s">
        <v>1206</v>
      </c>
      <c r="C20" s="89" t="s">
        <v>175</v>
      </c>
      <c r="D20" s="743" t="s">
        <v>1054</v>
      </c>
      <c r="E20" s="258">
        <v>240.0</v>
      </c>
      <c r="F20" s="93">
        <v>499.0</v>
      </c>
      <c r="G20" s="93">
        <v>529.0</v>
      </c>
      <c r="H20" s="162">
        <v>145.9</v>
      </c>
      <c r="I20" s="158">
        <f t="shared" si="4"/>
        <v>0.2758034026</v>
      </c>
      <c r="J20" s="93">
        <f t="shared" si="5"/>
        <v>383.1</v>
      </c>
      <c r="K20" s="158">
        <f t="shared" si="6"/>
        <v>2.420150788</v>
      </c>
      <c r="L20" s="134">
        <v>589.0</v>
      </c>
      <c r="M20" s="102" t="s">
        <v>111</v>
      </c>
      <c r="N20" s="87"/>
      <c r="O20" s="93">
        <v>499.0</v>
      </c>
    </row>
    <row r="21" ht="67.5" customHeight="1" outlineLevel="1">
      <c r="A21" s="87"/>
      <c r="B21" s="87"/>
      <c r="C21" s="89" t="s">
        <v>1055</v>
      </c>
      <c r="D21" s="87" t="s">
        <v>1056</v>
      </c>
      <c r="E21" s="258">
        <v>200.0</v>
      </c>
      <c r="F21" s="93">
        <v>399.0</v>
      </c>
      <c r="G21" s="93">
        <v>419.0</v>
      </c>
      <c r="H21" s="664">
        <v>123.9</v>
      </c>
      <c r="I21" s="158">
        <f t="shared" si="4"/>
        <v>0.2957040573</v>
      </c>
      <c r="J21" s="93">
        <f t="shared" si="5"/>
        <v>295.1</v>
      </c>
      <c r="K21" s="158">
        <f t="shared" si="6"/>
        <v>-1</v>
      </c>
      <c r="L21" s="134">
        <v>479.0</v>
      </c>
      <c r="M21" s="102" t="s">
        <v>111</v>
      </c>
      <c r="N21" s="87"/>
      <c r="O21" s="93"/>
    </row>
    <row r="22" ht="67.5" customHeight="1" outlineLevel="1">
      <c r="A22" s="87"/>
      <c r="B22" s="87" t="s">
        <v>1277</v>
      </c>
      <c r="C22" s="89"/>
      <c r="D22" s="743" t="s">
        <v>1058</v>
      </c>
      <c r="E22" s="258">
        <v>120.0</v>
      </c>
      <c r="F22" s="93">
        <v>0.0</v>
      </c>
      <c r="G22" s="93">
        <v>579.0</v>
      </c>
      <c r="H22" s="664">
        <v>186.9</v>
      </c>
      <c r="I22" s="158">
        <f t="shared" si="4"/>
        <v>0.3227979275</v>
      </c>
      <c r="J22" s="93">
        <f t="shared" si="5"/>
        <v>392.1</v>
      </c>
      <c r="K22" s="158">
        <f t="shared" si="6"/>
        <v>-1</v>
      </c>
      <c r="L22" s="134">
        <v>659.0</v>
      </c>
      <c r="M22" s="102" t="s">
        <v>111</v>
      </c>
      <c r="N22" s="87"/>
      <c r="O22" s="93"/>
    </row>
    <row r="23" ht="67.5" customHeight="1" outlineLevel="1">
      <c r="A23" s="87"/>
      <c r="B23" s="87" t="s">
        <v>1210</v>
      </c>
      <c r="C23" s="89"/>
      <c r="D23" s="87" t="s">
        <v>1060</v>
      </c>
      <c r="E23" s="258">
        <v>200.0</v>
      </c>
      <c r="F23" s="93">
        <v>299.0</v>
      </c>
      <c r="G23" s="93">
        <v>299.0</v>
      </c>
      <c r="H23" s="664">
        <v>74.9</v>
      </c>
      <c r="I23" s="158">
        <f t="shared" si="4"/>
        <v>0.2505016722</v>
      </c>
      <c r="J23" s="93">
        <f t="shared" si="5"/>
        <v>224.1</v>
      </c>
      <c r="K23" s="158">
        <f t="shared" si="6"/>
        <v>-1</v>
      </c>
      <c r="L23" s="134">
        <v>359.0</v>
      </c>
      <c r="M23" s="102" t="s">
        <v>111</v>
      </c>
      <c r="N23" s="87"/>
      <c r="O23" s="93"/>
    </row>
    <row r="24" ht="25.5" customHeight="1">
      <c r="A24" s="615"/>
      <c r="B24" s="615" t="str">
        <f>"Салаты "&amp;COUNTA(C25:C30)&amp;" шт"</f>
        <v>Салаты 6 шт</v>
      </c>
      <c r="C24" s="615"/>
      <c r="D24" s="615"/>
      <c r="E24" s="669"/>
      <c r="F24" s="698"/>
      <c r="G24" s="698"/>
      <c r="H24" s="618"/>
      <c r="I24" s="648">
        <f>AVERAGE(I25:I30)</f>
        <v>0.2562176299</v>
      </c>
      <c r="J24" s="615"/>
      <c r="K24" s="615"/>
      <c r="L24" s="670"/>
      <c r="M24" s="672"/>
      <c r="N24" s="672"/>
      <c r="O24" s="698"/>
    </row>
    <row r="25" ht="47.25" customHeight="1" outlineLevel="1">
      <c r="A25" s="121"/>
      <c r="B25" s="123" t="s">
        <v>1278</v>
      </c>
      <c r="C25" s="123" t="s">
        <v>177</v>
      </c>
      <c r="D25" s="676" t="s">
        <v>178</v>
      </c>
      <c r="E25" s="666">
        <v>180.0</v>
      </c>
      <c r="F25" s="127">
        <v>599.0</v>
      </c>
      <c r="G25" s="127">
        <v>549.0</v>
      </c>
      <c r="H25" s="677">
        <v>129.0</v>
      </c>
      <c r="I25" s="668">
        <f t="shared" ref="I25:I30" si="7">H25/G25</f>
        <v>0.2349726776</v>
      </c>
      <c r="J25" s="127">
        <f t="shared" ref="J25:J30" si="8">G25-H25</f>
        <v>420</v>
      </c>
      <c r="K25" s="668">
        <f t="shared" ref="K25:K30" si="9">O25/H25-1</f>
        <v>3.643410853</v>
      </c>
      <c r="L25" s="133"/>
      <c r="M25" s="121" t="s">
        <v>112</v>
      </c>
      <c r="N25" s="121"/>
      <c r="O25" s="127">
        <v>599.0</v>
      </c>
    </row>
    <row r="26" ht="45.0" customHeight="1" outlineLevel="1">
      <c r="A26" s="121"/>
      <c r="B26" s="221" t="s">
        <v>1213</v>
      </c>
      <c r="C26" s="221" t="s">
        <v>1284</v>
      </c>
      <c r="D26" s="744" t="s">
        <v>1063</v>
      </c>
      <c r="E26" s="666">
        <v>180.0</v>
      </c>
      <c r="F26" s="127">
        <v>299.0</v>
      </c>
      <c r="G26" s="127">
        <v>429.0</v>
      </c>
      <c r="H26" s="677">
        <v>112.0</v>
      </c>
      <c r="I26" s="668">
        <f t="shared" si="7"/>
        <v>0.2610722611</v>
      </c>
      <c r="J26" s="127">
        <f t="shared" si="8"/>
        <v>317</v>
      </c>
      <c r="K26" s="668">
        <f t="shared" si="9"/>
        <v>1.401785714</v>
      </c>
      <c r="L26" s="133"/>
      <c r="M26" s="121" t="s">
        <v>112</v>
      </c>
      <c r="N26" s="121"/>
      <c r="O26" s="127">
        <v>269.0</v>
      </c>
    </row>
    <row r="27" ht="30.0" customHeight="1" outlineLevel="1">
      <c r="A27" s="87"/>
      <c r="B27" s="89"/>
      <c r="C27" s="89" t="s">
        <v>184</v>
      </c>
      <c r="D27" s="745" t="s">
        <v>182</v>
      </c>
      <c r="E27" s="258">
        <v>190.0</v>
      </c>
      <c r="F27" s="93">
        <v>399.0</v>
      </c>
      <c r="G27" s="93">
        <v>429.0</v>
      </c>
      <c r="H27" s="664">
        <v>113.98</v>
      </c>
      <c r="I27" s="158">
        <f t="shared" si="7"/>
        <v>0.2656876457</v>
      </c>
      <c r="J27" s="93">
        <f t="shared" si="8"/>
        <v>315.02</v>
      </c>
      <c r="K27" s="158">
        <f t="shared" si="9"/>
        <v>2.500614143</v>
      </c>
      <c r="L27" s="134">
        <v>479.0</v>
      </c>
      <c r="M27" s="102" t="s">
        <v>111</v>
      </c>
      <c r="N27" s="87"/>
      <c r="O27" s="93">
        <v>399.0</v>
      </c>
    </row>
    <row r="28" ht="25.5" customHeight="1" outlineLevel="1">
      <c r="A28" s="87"/>
      <c r="B28" s="89"/>
      <c r="C28" s="89" t="s">
        <v>188</v>
      </c>
      <c r="D28" s="745" t="s">
        <v>1064</v>
      </c>
      <c r="E28" s="258">
        <v>210.0</v>
      </c>
      <c r="F28" s="93">
        <v>399.0</v>
      </c>
      <c r="G28" s="93">
        <v>429.0</v>
      </c>
      <c r="H28" s="664">
        <v>88.44</v>
      </c>
      <c r="I28" s="158">
        <f t="shared" si="7"/>
        <v>0.2061538462</v>
      </c>
      <c r="J28" s="93">
        <f t="shared" si="8"/>
        <v>340.56</v>
      </c>
      <c r="K28" s="158">
        <f t="shared" si="9"/>
        <v>3.511533243</v>
      </c>
      <c r="L28" s="134">
        <v>479.0</v>
      </c>
      <c r="M28" s="102" t="s">
        <v>111</v>
      </c>
      <c r="N28" s="87"/>
      <c r="O28" s="93">
        <v>399.0</v>
      </c>
    </row>
    <row r="29" ht="30.0" customHeight="1" outlineLevel="1">
      <c r="A29" s="87"/>
      <c r="B29" s="89"/>
      <c r="C29" s="89" t="s">
        <v>190</v>
      </c>
      <c r="D29" s="181" t="s">
        <v>1066</v>
      </c>
      <c r="E29" s="258">
        <v>210.0</v>
      </c>
      <c r="F29" s="93">
        <v>569.0</v>
      </c>
      <c r="G29" s="93">
        <v>549.0</v>
      </c>
      <c r="H29" s="664">
        <v>146.69</v>
      </c>
      <c r="I29" s="158">
        <f t="shared" si="7"/>
        <v>0.2671948998</v>
      </c>
      <c r="J29" s="93">
        <f t="shared" si="8"/>
        <v>402.31</v>
      </c>
      <c r="K29" s="158">
        <f t="shared" si="9"/>
        <v>2.878928352</v>
      </c>
      <c r="L29" s="134">
        <v>639.0</v>
      </c>
      <c r="M29" s="102" t="s">
        <v>111</v>
      </c>
      <c r="N29" s="87"/>
      <c r="O29" s="93">
        <v>569.0</v>
      </c>
    </row>
    <row r="30" ht="76.5" customHeight="1" outlineLevel="1">
      <c r="A30" s="121"/>
      <c r="B30" s="123" t="s">
        <v>1279</v>
      </c>
      <c r="C30" s="123" t="s">
        <v>1067</v>
      </c>
      <c r="D30" s="676" t="s">
        <v>1068</v>
      </c>
      <c r="E30" s="666">
        <v>150.0</v>
      </c>
      <c r="F30" s="127">
        <v>459.0</v>
      </c>
      <c r="G30" s="127">
        <v>499.0</v>
      </c>
      <c r="H30" s="667">
        <v>150.81</v>
      </c>
      <c r="I30" s="668">
        <f t="shared" si="7"/>
        <v>0.3022244489</v>
      </c>
      <c r="J30" s="127">
        <f t="shared" si="8"/>
        <v>348.19</v>
      </c>
      <c r="K30" s="668">
        <f t="shared" si="9"/>
        <v>2.308799151</v>
      </c>
      <c r="L30" s="133"/>
      <c r="M30" s="121" t="s">
        <v>112</v>
      </c>
      <c r="N30" s="121"/>
      <c r="O30" s="127">
        <v>499.0</v>
      </c>
    </row>
    <row r="31" ht="25.5" customHeight="1">
      <c r="A31" s="614"/>
      <c r="B31" s="615" t="str">
        <f>"Закуски "&amp;COUNTA(C32:C38)&amp;" шт"</f>
        <v>Закуски 7 шт</v>
      </c>
      <c r="C31" s="614"/>
      <c r="D31" s="614"/>
      <c r="E31" s="616"/>
      <c r="F31" s="695"/>
      <c r="G31" s="695"/>
      <c r="H31" s="618"/>
      <c r="I31" s="648">
        <f>AVERAGE(I32:I38)</f>
        <v>0.2615159658</v>
      </c>
      <c r="J31" s="614"/>
      <c r="K31" s="614"/>
      <c r="L31" s="614"/>
      <c r="M31" s="86"/>
      <c r="N31" s="86"/>
      <c r="O31" s="695"/>
    </row>
    <row r="32" ht="47.25" customHeight="1" outlineLevel="1">
      <c r="A32" s="87"/>
      <c r="B32" s="89" t="s">
        <v>1074</v>
      </c>
      <c r="C32" s="89" t="s">
        <v>1074</v>
      </c>
      <c r="D32" s="181"/>
      <c r="E32" s="258">
        <v>200.0</v>
      </c>
      <c r="F32" s="93">
        <v>0.0</v>
      </c>
      <c r="G32" s="93">
        <v>449.0</v>
      </c>
      <c r="H32" s="162">
        <v>137.9</v>
      </c>
      <c r="I32" s="158">
        <f t="shared" ref="I32:I38" si="10">H32/G32</f>
        <v>0.3071269488</v>
      </c>
      <c r="J32" s="93">
        <f t="shared" ref="J32:J38" si="11">G32-H32</f>
        <v>311.1</v>
      </c>
      <c r="K32" s="158">
        <f t="shared" ref="K32:K38" si="12">O32/H32-1</f>
        <v>1.893401015</v>
      </c>
      <c r="L32" s="134">
        <v>499.0</v>
      </c>
      <c r="M32" s="102" t="s">
        <v>111</v>
      </c>
      <c r="N32" s="87"/>
      <c r="O32" s="93">
        <v>399.0</v>
      </c>
    </row>
    <row r="33" ht="25.5" customHeight="1" outlineLevel="1">
      <c r="A33" s="87"/>
      <c r="B33" s="89" t="s">
        <v>1280</v>
      </c>
      <c r="C33" s="89" t="s">
        <v>1281</v>
      </c>
      <c r="D33" s="181"/>
      <c r="E33" s="258" t="s">
        <v>202</v>
      </c>
      <c r="F33" s="93">
        <v>0.0</v>
      </c>
      <c r="G33" s="93">
        <v>199.0</v>
      </c>
      <c r="H33" s="162">
        <v>45.9</v>
      </c>
      <c r="I33" s="158">
        <f t="shared" si="10"/>
        <v>0.2306532663</v>
      </c>
      <c r="J33" s="93">
        <f t="shared" si="11"/>
        <v>153.1</v>
      </c>
      <c r="K33" s="158">
        <f t="shared" si="12"/>
        <v>-1</v>
      </c>
      <c r="L33" s="134">
        <v>249.0</v>
      </c>
      <c r="M33" s="102" t="s">
        <v>111</v>
      </c>
      <c r="N33" s="87"/>
      <c r="O33" s="93"/>
    </row>
    <row r="34" ht="25.5" customHeight="1" outlineLevel="1">
      <c r="A34" s="87"/>
      <c r="B34" s="89" t="s">
        <v>1216</v>
      </c>
      <c r="C34" s="89" t="s">
        <v>203</v>
      </c>
      <c r="D34" s="181"/>
      <c r="E34" s="258" t="s">
        <v>202</v>
      </c>
      <c r="F34" s="93">
        <v>359.0</v>
      </c>
      <c r="G34" s="93">
        <v>359.0</v>
      </c>
      <c r="H34" s="162">
        <v>104.23</v>
      </c>
      <c r="I34" s="158">
        <f t="shared" si="10"/>
        <v>0.2903342618</v>
      </c>
      <c r="J34" s="93">
        <f t="shared" si="11"/>
        <v>254.77</v>
      </c>
      <c r="K34" s="158">
        <f t="shared" si="12"/>
        <v>2.444305862</v>
      </c>
      <c r="L34" s="134">
        <v>429.0</v>
      </c>
      <c r="M34" s="102" t="s">
        <v>111</v>
      </c>
      <c r="N34" s="87"/>
      <c r="O34" s="93">
        <v>359.0</v>
      </c>
    </row>
    <row r="35" ht="25.5" customHeight="1" outlineLevel="1">
      <c r="A35" s="87"/>
      <c r="B35" s="89"/>
      <c r="C35" s="89" t="s">
        <v>472</v>
      </c>
      <c r="D35" s="181"/>
      <c r="E35" s="258" t="s">
        <v>1078</v>
      </c>
      <c r="F35" s="93">
        <v>199.0</v>
      </c>
      <c r="G35" s="93">
        <v>199.0</v>
      </c>
      <c r="H35" s="162">
        <v>47.35</v>
      </c>
      <c r="I35" s="158">
        <f t="shared" si="10"/>
        <v>0.2379396985</v>
      </c>
      <c r="J35" s="93">
        <f t="shared" si="11"/>
        <v>151.65</v>
      </c>
      <c r="K35" s="158">
        <f t="shared" si="12"/>
        <v>3.202745512</v>
      </c>
      <c r="L35" s="134">
        <v>249.0</v>
      </c>
      <c r="M35" s="102" t="s">
        <v>111</v>
      </c>
      <c r="N35" s="87"/>
      <c r="O35" s="93">
        <v>199.0</v>
      </c>
    </row>
    <row r="36" ht="25.5" customHeight="1" outlineLevel="1">
      <c r="A36" s="87"/>
      <c r="B36" s="89" t="s">
        <v>1222</v>
      </c>
      <c r="C36" s="89" t="s">
        <v>205</v>
      </c>
      <c r="D36" s="181"/>
      <c r="E36" s="258">
        <v>200.0</v>
      </c>
      <c r="F36" s="93">
        <v>269.0</v>
      </c>
      <c r="G36" s="93">
        <v>249.0</v>
      </c>
      <c r="H36" s="162">
        <v>63.69</v>
      </c>
      <c r="I36" s="158">
        <f t="shared" si="10"/>
        <v>0.2557831325</v>
      </c>
      <c r="J36" s="93">
        <f t="shared" si="11"/>
        <v>185.31</v>
      </c>
      <c r="K36" s="158">
        <f t="shared" si="12"/>
        <v>3.694614539</v>
      </c>
      <c r="L36" s="134">
        <v>299.0</v>
      </c>
      <c r="M36" s="102" t="s">
        <v>111</v>
      </c>
      <c r="N36" s="87"/>
      <c r="O36" s="93">
        <v>299.0</v>
      </c>
    </row>
    <row r="37" ht="25.5" customHeight="1" outlineLevel="1">
      <c r="A37" s="87"/>
      <c r="B37" s="89" t="s">
        <v>1222</v>
      </c>
      <c r="C37" s="89" t="s">
        <v>206</v>
      </c>
      <c r="D37" s="181"/>
      <c r="E37" s="258">
        <v>200.0</v>
      </c>
      <c r="F37" s="93">
        <v>269.0</v>
      </c>
      <c r="G37" s="93">
        <v>249.0</v>
      </c>
      <c r="H37" s="162">
        <v>64.89</v>
      </c>
      <c r="I37" s="158">
        <f t="shared" si="10"/>
        <v>0.2606024096</v>
      </c>
      <c r="J37" s="93">
        <f t="shared" si="11"/>
        <v>184.11</v>
      </c>
      <c r="K37" s="158">
        <f t="shared" si="12"/>
        <v>3.607797812</v>
      </c>
      <c r="L37" s="134">
        <v>299.0</v>
      </c>
      <c r="M37" s="102" t="s">
        <v>111</v>
      </c>
      <c r="N37" s="87"/>
      <c r="O37" s="93">
        <v>299.0</v>
      </c>
    </row>
    <row r="38" ht="24.75" customHeight="1" outlineLevel="1">
      <c r="A38" s="87"/>
      <c r="B38" s="89" t="s">
        <v>1222</v>
      </c>
      <c r="C38" s="89" t="s">
        <v>207</v>
      </c>
      <c r="D38" s="181"/>
      <c r="E38" s="258" t="s">
        <v>202</v>
      </c>
      <c r="F38" s="93">
        <v>299.0</v>
      </c>
      <c r="G38" s="93">
        <v>279.0</v>
      </c>
      <c r="H38" s="162">
        <v>69.24</v>
      </c>
      <c r="I38" s="158">
        <f t="shared" si="10"/>
        <v>0.248172043</v>
      </c>
      <c r="J38" s="93">
        <f t="shared" si="11"/>
        <v>209.76</v>
      </c>
      <c r="K38" s="158">
        <f t="shared" si="12"/>
        <v>4.18486424</v>
      </c>
      <c r="L38" s="134">
        <v>349.0</v>
      </c>
      <c r="M38" s="102" t="s">
        <v>111</v>
      </c>
      <c r="N38" s="87"/>
      <c r="O38" s="93">
        <v>359.0</v>
      </c>
    </row>
    <row r="39" ht="25.5" customHeight="1">
      <c r="A39" s="614"/>
      <c r="B39" s="615" t="str">
        <f>"Супы "&amp;COUNTA(C40:C43)&amp;" шт"</f>
        <v>Супы 4 шт</v>
      </c>
      <c r="C39" s="614"/>
      <c r="D39" s="614"/>
      <c r="E39" s="616"/>
      <c r="F39" s="695"/>
      <c r="G39" s="695"/>
      <c r="H39" s="618"/>
      <c r="I39" s="671">
        <f>AVERAGE(I40:I43)</f>
        <v>0.2510754315</v>
      </c>
      <c r="J39" s="614"/>
      <c r="K39" s="614"/>
      <c r="L39" s="614"/>
      <c r="M39" s="86"/>
      <c r="N39" s="86"/>
      <c r="O39" s="695"/>
    </row>
    <row r="40" ht="25.5" customHeight="1" outlineLevel="1">
      <c r="A40" s="87"/>
      <c r="B40" s="116"/>
      <c r="C40" s="89" t="s">
        <v>214</v>
      </c>
      <c r="D40" s="116" t="s">
        <v>1079</v>
      </c>
      <c r="E40" s="258">
        <v>300.0</v>
      </c>
      <c r="F40" s="93">
        <v>329.0</v>
      </c>
      <c r="G40" s="93">
        <v>369.0</v>
      </c>
      <c r="H40" s="162">
        <v>74.57</v>
      </c>
      <c r="I40" s="158">
        <f t="shared" ref="I40:I43" si="13">H40/G40</f>
        <v>0.2020867209</v>
      </c>
      <c r="J40" s="93">
        <f t="shared" ref="J40:J43" si="14">G40-H40</f>
        <v>294.43</v>
      </c>
      <c r="K40" s="158">
        <f t="shared" ref="K40:K43" si="15">O40/H40-1</f>
        <v>2.875553172</v>
      </c>
      <c r="L40" s="134">
        <v>399.0</v>
      </c>
      <c r="M40" s="102" t="s">
        <v>111</v>
      </c>
      <c r="N40" s="87"/>
      <c r="O40" s="93">
        <v>289.0</v>
      </c>
    </row>
    <row r="41" ht="25.5" customHeight="1" outlineLevel="1">
      <c r="A41" s="87"/>
      <c r="B41" s="89"/>
      <c r="C41" s="89" t="s">
        <v>1080</v>
      </c>
      <c r="D41" s="181" t="s">
        <v>1081</v>
      </c>
      <c r="E41" s="258">
        <v>300.0</v>
      </c>
      <c r="F41" s="93">
        <v>399.0</v>
      </c>
      <c r="G41" s="93">
        <v>429.0</v>
      </c>
      <c r="H41" s="162">
        <v>127.69</v>
      </c>
      <c r="I41" s="158">
        <f t="shared" si="13"/>
        <v>0.2976456876</v>
      </c>
      <c r="J41" s="93">
        <f t="shared" si="14"/>
        <v>301.31</v>
      </c>
      <c r="K41" s="158">
        <f t="shared" si="15"/>
        <v>2.124755267</v>
      </c>
      <c r="L41" s="134">
        <v>479.0</v>
      </c>
      <c r="M41" s="102" t="s">
        <v>111</v>
      </c>
      <c r="N41" s="87"/>
      <c r="O41" s="93">
        <v>399.0</v>
      </c>
    </row>
    <row r="42" ht="25.5" customHeight="1" outlineLevel="1">
      <c r="A42" s="87"/>
      <c r="B42" s="89"/>
      <c r="C42" s="89" t="s">
        <v>219</v>
      </c>
      <c r="D42" s="181" t="s">
        <v>1082</v>
      </c>
      <c r="E42" s="258">
        <v>350.0</v>
      </c>
      <c r="F42" s="93">
        <v>589.0</v>
      </c>
      <c r="G42" s="93">
        <v>589.0</v>
      </c>
      <c r="H42" s="162">
        <v>168.17</v>
      </c>
      <c r="I42" s="158">
        <f t="shared" si="13"/>
        <v>0.2855178268</v>
      </c>
      <c r="J42" s="93">
        <f t="shared" si="14"/>
        <v>420.83</v>
      </c>
      <c r="K42" s="158">
        <f t="shared" si="15"/>
        <v>2.442944639</v>
      </c>
      <c r="L42" s="134">
        <v>659.0</v>
      </c>
      <c r="M42" s="102" t="s">
        <v>111</v>
      </c>
      <c r="N42" s="87"/>
      <c r="O42" s="93">
        <v>579.0</v>
      </c>
    </row>
    <row r="43" ht="25.5" customHeight="1" outlineLevel="1">
      <c r="A43" s="121"/>
      <c r="B43" s="123"/>
      <c r="C43" s="123" t="s">
        <v>1083</v>
      </c>
      <c r="D43" s="676" t="s">
        <v>1084</v>
      </c>
      <c r="E43" s="666">
        <v>300.0</v>
      </c>
      <c r="F43" s="127">
        <v>359.0</v>
      </c>
      <c r="G43" s="127">
        <v>369.0</v>
      </c>
      <c r="H43" s="677">
        <v>80.83</v>
      </c>
      <c r="I43" s="668">
        <f t="shared" si="13"/>
        <v>0.2190514905</v>
      </c>
      <c r="J43" s="127">
        <f t="shared" si="14"/>
        <v>288.17</v>
      </c>
      <c r="K43" s="668">
        <f t="shared" si="15"/>
        <v>3.317703823</v>
      </c>
      <c r="L43" s="133"/>
      <c r="M43" s="121"/>
      <c r="N43" s="121"/>
      <c r="O43" s="127">
        <v>349.0</v>
      </c>
    </row>
    <row r="44" ht="25.5" customHeight="1">
      <c r="A44" s="614"/>
      <c r="B44" s="615" t="str">
        <f>"Горячее, паста "&amp;COUNTA(C45:C61)&amp;" шт"</f>
        <v>Горячее, паста 17 шт</v>
      </c>
      <c r="C44" s="614"/>
      <c r="D44" s="614"/>
      <c r="E44" s="616" t="s">
        <v>220</v>
      </c>
      <c r="F44" s="695"/>
      <c r="G44" s="695"/>
      <c r="H44" s="618"/>
      <c r="I44" s="671">
        <f>AVERAGE(I45:I61)</f>
        <v>0.2742741589</v>
      </c>
      <c r="J44" s="614"/>
      <c r="K44" s="614"/>
      <c r="L44" s="614"/>
      <c r="M44" s="86"/>
      <c r="N44" s="86"/>
      <c r="O44" s="695"/>
    </row>
    <row r="45" ht="25.5" customHeight="1" outlineLevel="1">
      <c r="A45" s="87"/>
      <c r="B45" s="181"/>
      <c r="C45" s="89" t="s">
        <v>1094</v>
      </c>
      <c r="D45" s="181" t="s">
        <v>1095</v>
      </c>
      <c r="E45" s="258">
        <v>300.0</v>
      </c>
      <c r="F45" s="93">
        <v>329.0</v>
      </c>
      <c r="G45" s="93">
        <v>339.0</v>
      </c>
      <c r="H45" s="162">
        <v>93.08</v>
      </c>
      <c r="I45" s="158">
        <f t="shared" ref="I45:I61" si="16">H45/G45</f>
        <v>0.2745722714</v>
      </c>
      <c r="J45" s="93">
        <f t="shared" ref="J45:J61" si="17">G45-H45</f>
        <v>245.92</v>
      </c>
      <c r="K45" s="158">
        <f t="shared" ref="K45:K61" si="18">O45/H45-1</f>
        <v>2.212290503</v>
      </c>
      <c r="L45" s="134">
        <v>389.0</v>
      </c>
      <c r="M45" s="102" t="s">
        <v>111</v>
      </c>
      <c r="N45" s="87"/>
      <c r="O45" s="93">
        <v>299.0</v>
      </c>
    </row>
    <row r="46" ht="39.75" customHeight="1" outlineLevel="1">
      <c r="A46" s="121"/>
      <c r="B46" s="676" t="s">
        <v>1234</v>
      </c>
      <c r="C46" s="123" t="s">
        <v>1085</v>
      </c>
      <c r="D46" s="676" t="s">
        <v>1086</v>
      </c>
      <c r="E46" s="666">
        <v>280.0</v>
      </c>
      <c r="F46" s="127">
        <v>529.0</v>
      </c>
      <c r="G46" s="127">
        <v>539.0</v>
      </c>
      <c r="H46" s="677">
        <v>156.9</v>
      </c>
      <c r="I46" s="668">
        <f t="shared" si="16"/>
        <v>0.2910946197</v>
      </c>
      <c r="J46" s="127">
        <f t="shared" si="17"/>
        <v>382.1</v>
      </c>
      <c r="K46" s="668">
        <f t="shared" si="18"/>
        <v>2.180369662</v>
      </c>
      <c r="L46" s="133">
        <v>0.0</v>
      </c>
      <c r="M46" s="121"/>
      <c r="N46" s="121"/>
      <c r="O46" s="127">
        <v>499.0</v>
      </c>
    </row>
    <row r="47" ht="39.75" customHeight="1" outlineLevel="1">
      <c r="A47" s="87"/>
      <c r="B47" s="181" t="s">
        <v>1216</v>
      </c>
      <c r="C47" s="89" t="s">
        <v>277</v>
      </c>
      <c r="D47" s="701" t="s">
        <v>1087</v>
      </c>
      <c r="E47" s="258">
        <v>230.0</v>
      </c>
      <c r="F47" s="93">
        <v>429.0</v>
      </c>
      <c r="G47" s="93">
        <v>439.0</v>
      </c>
      <c r="H47" s="162">
        <v>105.24</v>
      </c>
      <c r="I47" s="158">
        <f t="shared" si="16"/>
        <v>0.2397266515</v>
      </c>
      <c r="J47" s="93">
        <f t="shared" si="17"/>
        <v>333.76</v>
      </c>
      <c r="K47" s="158">
        <f t="shared" si="18"/>
        <v>3.076396807</v>
      </c>
      <c r="L47" s="134">
        <v>499.0</v>
      </c>
      <c r="M47" s="102" t="s">
        <v>111</v>
      </c>
      <c r="N47" s="87"/>
      <c r="O47" s="93">
        <v>429.0</v>
      </c>
    </row>
    <row r="48" ht="25.5" customHeight="1" outlineLevel="1">
      <c r="A48" s="87"/>
      <c r="B48" s="181" t="s">
        <v>1237</v>
      </c>
      <c r="C48" s="89" t="s">
        <v>280</v>
      </c>
      <c r="D48" s="701" t="s">
        <v>1088</v>
      </c>
      <c r="E48" s="258">
        <v>250.0</v>
      </c>
      <c r="F48" s="93">
        <v>329.0</v>
      </c>
      <c r="G48" s="93">
        <v>399.0</v>
      </c>
      <c r="H48" s="162">
        <v>108.0</v>
      </c>
      <c r="I48" s="158">
        <f t="shared" si="16"/>
        <v>0.2706766917</v>
      </c>
      <c r="J48" s="93">
        <f t="shared" si="17"/>
        <v>291</v>
      </c>
      <c r="K48" s="158">
        <f t="shared" si="18"/>
        <v>2.694444444</v>
      </c>
      <c r="L48" s="134">
        <v>489.0</v>
      </c>
      <c r="M48" s="102" t="s">
        <v>111</v>
      </c>
      <c r="N48" s="87"/>
      <c r="O48" s="93">
        <v>399.0</v>
      </c>
    </row>
    <row r="49" ht="25.5" customHeight="1" outlineLevel="1">
      <c r="A49" s="87"/>
      <c r="B49" s="181" t="s">
        <v>1092</v>
      </c>
      <c r="C49" s="181" t="s">
        <v>1285</v>
      </c>
      <c r="D49" s="701" t="s">
        <v>1093</v>
      </c>
      <c r="E49" s="258">
        <v>230.0</v>
      </c>
      <c r="F49" s="93"/>
      <c r="G49" s="93">
        <v>559.0</v>
      </c>
      <c r="H49" s="162">
        <v>175.0</v>
      </c>
      <c r="I49" s="158">
        <f t="shared" si="16"/>
        <v>0.313059034</v>
      </c>
      <c r="J49" s="93">
        <f t="shared" si="17"/>
        <v>384</v>
      </c>
      <c r="K49" s="158">
        <f t="shared" si="18"/>
        <v>-1</v>
      </c>
      <c r="L49" s="134">
        <v>639.0</v>
      </c>
      <c r="M49" s="102" t="s">
        <v>111</v>
      </c>
      <c r="N49" s="87"/>
      <c r="O49" s="93"/>
    </row>
    <row r="50" ht="25.5" customHeight="1" outlineLevel="1">
      <c r="A50" s="87"/>
      <c r="B50" s="181" t="s">
        <v>1216</v>
      </c>
      <c r="C50" s="89" t="s">
        <v>283</v>
      </c>
      <c r="D50" s="701" t="s">
        <v>1089</v>
      </c>
      <c r="E50" s="258">
        <v>250.0</v>
      </c>
      <c r="F50" s="93">
        <v>529.0</v>
      </c>
      <c r="G50" s="93">
        <v>559.0</v>
      </c>
      <c r="H50" s="162">
        <v>167.42</v>
      </c>
      <c r="I50" s="158">
        <f t="shared" si="16"/>
        <v>0.2994991055</v>
      </c>
      <c r="J50" s="93">
        <f t="shared" si="17"/>
        <v>391.58</v>
      </c>
      <c r="K50" s="158">
        <f t="shared" si="18"/>
        <v>2.338908135</v>
      </c>
      <c r="L50" s="134">
        <v>649.0</v>
      </c>
      <c r="M50" s="102" t="s">
        <v>111</v>
      </c>
      <c r="N50" s="87"/>
      <c r="O50" s="93">
        <v>559.0</v>
      </c>
    </row>
    <row r="51" ht="40.5" customHeight="1" outlineLevel="1">
      <c r="A51" s="87"/>
      <c r="B51" s="181"/>
      <c r="C51" s="89" t="s">
        <v>300</v>
      </c>
      <c r="D51" s="701" t="s">
        <v>1109</v>
      </c>
      <c r="E51" s="258">
        <v>300.0</v>
      </c>
      <c r="F51" s="93">
        <v>799.0</v>
      </c>
      <c r="G51" s="93">
        <v>799.0</v>
      </c>
      <c r="H51" s="162">
        <v>186.8</v>
      </c>
      <c r="I51" s="158">
        <f t="shared" si="16"/>
        <v>0.2337922403</v>
      </c>
      <c r="J51" s="93">
        <f t="shared" si="17"/>
        <v>612.2</v>
      </c>
      <c r="K51" s="158">
        <f t="shared" si="18"/>
        <v>3.812633833</v>
      </c>
      <c r="L51" s="134">
        <v>999.0</v>
      </c>
      <c r="M51" s="102" t="s">
        <v>111</v>
      </c>
      <c r="N51" s="87"/>
      <c r="O51" s="93">
        <v>899.0</v>
      </c>
    </row>
    <row r="52" ht="25.5" customHeight="1" outlineLevel="1">
      <c r="A52" s="87"/>
      <c r="B52" s="89" t="s">
        <v>1282</v>
      </c>
      <c r="C52" s="89" t="s">
        <v>1072</v>
      </c>
      <c r="D52" s="746" t="s">
        <v>1073</v>
      </c>
      <c r="E52" s="258">
        <v>300.0</v>
      </c>
      <c r="F52" s="93">
        <v>0.0</v>
      </c>
      <c r="G52" s="93">
        <v>479.0</v>
      </c>
      <c r="H52" s="162">
        <v>152.3</v>
      </c>
      <c r="I52" s="158">
        <f t="shared" si="16"/>
        <v>0.317954071</v>
      </c>
      <c r="J52" s="93">
        <f t="shared" si="17"/>
        <v>326.7</v>
      </c>
      <c r="K52" s="158">
        <f t="shared" si="18"/>
        <v>1.619829284</v>
      </c>
      <c r="L52" s="134">
        <v>549.0</v>
      </c>
      <c r="M52" s="102" t="s">
        <v>111</v>
      </c>
      <c r="N52" s="87"/>
      <c r="O52" s="93">
        <v>399.0</v>
      </c>
    </row>
    <row r="53" ht="25.5" customHeight="1" outlineLevel="1">
      <c r="A53" s="87"/>
      <c r="B53" s="181" t="s">
        <v>1096</v>
      </c>
      <c r="C53" s="181" t="s">
        <v>1096</v>
      </c>
      <c r="D53" s="181" t="s">
        <v>1097</v>
      </c>
      <c r="E53" s="258">
        <v>250.0</v>
      </c>
      <c r="F53" s="93">
        <v>0.0</v>
      </c>
      <c r="G53" s="93">
        <v>499.0</v>
      </c>
      <c r="H53" s="162">
        <v>130.9</v>
      </c>
      <c r="I53" s="158">
        <f t="shared" si="16"/>
        <v>0.2623246493</v>
      </c>
      <c r="J53" s="93">
        <f t="shared" si="17"/>
        <v>368.1</v>
      </c>
      <c r="K53" s="158">
        <f t="shared" si="18"/>
        <v>2.430099312</v>
      </c>
      <c r="L53" s="134">
        <v>599.0</v>
      </c>
      <c r="M53" s="102" t="s">
        <v>111</v>
      </c>
      <c r="N53" s="87"/>
      <c r="O53" s="93">
        <v>449.0</v>
      </c>
    </row>
    <row r="54" ht="25.5" customHeight="1" outlineLevel="1">
      <c r="A54" s="87"/>
      <c r="B54" s="181" t="s">
        <v>1246</v>
      </c>
      <c r="C54" s="181" t="s">
        <v>1247</v>
      </c>
      <c r="D54" s="701" t="s">
        <v>1098</v>
      </c>
      <c r="E54" s="258">
        <v>250.0</v>
      </c>
      <c r="F54" s="93">
        <v>0.0</v>
      </c>
      <c r="G54" s="93">
        <v>469.0</v>
      </c>
      <c r="H54" s="162">
        <v>123.5</v>
      </c>
      <c r="I54" s="158">
        <f t="shared" si="16"/>
        <v>0.263326226</v>
      </c>
      <c r="J54" s="93">
        <f t="shared" si="17"/>
        <v>345.5</v>
      </c>
      <c r="K54" s="158">
        <f t="shared" si="18"/>
        <v>-1</v>
      </c>
      <c r="L54" s="134">
        <v>529.0</v>
      </c>
      <c r="M54" s="102" t="s">
        <v>111</v>
      </c>
      <c r="N54" s="87"/>
      <c r="O54" s="93"/>
    </row>
    <row r="55" ht="25.5" customHeight="1" outlineLevel="1">
      <c r="A55" s="87"/>
      <c r="B55" s="181"/>
      <c r="C55" s="89" t="s">
        <v>293</v>
      </c>
      <c r="D55" s="701" t="s">
        <v>1104</v>
      </c>
      <c r="E55" s="258">
        <v>230.0</v>
      </c>
      <c r="F55" s="93">
        <v>459.0</v>
      </c>
      <c r="G55" s="93">
        <v>479.0</v>
      </c>
      <c r="H55" s="162">
        <v>151.0</v>
      </c>
      <c r="I55" s="158">
        <f t="shared" si="16"/>
        <v>0.3152400835</v>
      </c>
      <c r="J55" s="93">
        <f t="shared" si="17"/>
        <v>328</v>
      </c>
      <c r="K55" s="158">
        <f t="shared" si="18"/>
        <v>1.841059603</v>
      </c>
      <c r="L55" s="134">
        <v>539.0</v>
      </c>
      <c r="M55" s="102" t="s">
        <v>111</v>
      </c>
      <c r="N55" s="87"/>
      <c r="O55" s="93">
        <v>429.0</v>
      </c>
    </row>
    <row r="56" ht="25.5" customHeight="1" outlineLevel="1">
      <c r="A56" s="87"/>
      <c r="B56" s="181"/>
      <c r="C56" s="89" t="s">
        <v>297</v>
      </c>
      <c r="D56" s="701" t="s">
        <v>1105</v>
      </c>
      <c r="E56" s="258">
        <v>230.0</v>
      </c>
      <c r="F56" s="93">
        <v>469.0</v>
      </c>
      <c r="G56" s="93">
        <v>489.0</v>
      </c>
      <c r="H56" s="162">
        <v>137.9</v>
      </c>
      <c r="I56" s="158">
        <f t="shared" si="16"/>
        <v>0.28200409</v>
      </c>
      <c r="J56" s="93">
        <f t="shared" si="17"/>
        <v>351.1</v>
      </c>
      <c r="K56" s="158">
        <f t="shared" si="18"/>
        <v>2.255982596</v>
      </c>
      <c r="L56" s="134">
        <v>559.0</v>
      </c>
      <c r="M56" s="102" t="s">
        <v>111</v>
      </c>
      <c r="N56" s="87"/>
      <c r="O56" s="93">
        <v>449.0</v>
      </c>
    </row>
    <row r="57" ht="25.5" customHeight="1" outlineLevel="1">
      <c r="A57" s="121"/>
      <c r="B57" s="676"/>
      <c r="C57" s="123" t="s">
        <v>1106</v>
      </c>
      <c r="D57" s="676" t="s">
        <v>1107</v>
      </c>
      <c r="E57" s="666" t="s">
        <v>1108</v>
      </c>
      <c r="F57" s="127">
        <v>559.0</v>
      </c>
      <c r="G57" s="127">
        <v>559.0</v>
      </c>
      <c r="H57" s="677">
        <v>143.6</v>
      </c>
      <c r="I57" s="668">
        <f t="shared" si="16"/>
        <v>0.2568872987</v>
      </c>
      <c r="J57" s="127">
        <f t="shared" si="17"/>
        <v>415.4</v>
      </c>
      <c r="K57" s="668">
        <f t="shared" si="18"/>
        <v>-1</v>
      </c>
      <c r="L57" s="133">
        <v>649.0</v>
      </c>
      <c r="M57" s="121" t="s">
        <v>111</v>
      </c>
      <c r="N57" s="121"/>
      <c r="O57" s="127"/>
    </row>
    <row r="58" ht="46.5" customHeight="1" outlineLevel="1">
      <c r="A58" s="121"/>
      <c r="B58" s="676" t="s">
        <v>1243</v>
      </c>
      <c r="C58" s="123" t="s">
        <v>1099</v>
      </c>
      <c r="D58" s="676" t="s">
        <v>1100</v>
      </c>
      <c r="E58" s="666">
        <v>250.0</v>
      </c>
      <c r="F58" s="127">
        <v>699.0</v>
      </c>
      <c r="G58" s="127">
        <v>559.0</v>
      </c>
      <c r="H58" s="677">
        <v>132.5</v>
      </c>
      <c r="I58" s="668">
        <f t="shared" si="16"/>
        <v>0.2370304114</v>
      </c>
      <c r="J58" s="127">
        <f t="shared" si="17"/>
        <v>426.5</v>
      </c>
      <c r="K58" s="668">
        <f t="shared" si="18"/>
        <v>-1</v>
      </c>
      <c r="L58" s="133">
        <v>0.0</v>
      </c>
      <c r="M58" s="121" t="s">
        <v>111</v>
      </c>
      <c r="N58" s="121"/>
      <c r="O58" s="127"/>
    </row>
    <row r="59" ht="25.5" customHeight="1" outlineLevel="1">
      <c r="A59" s="121"/>
      <c r="B59" s="676"/>
      <c r="C59" s="123" t="s">
        <v>1101</v>
      </c>
      <c r="D59" s="676" t="s">
        <v>1102</v>
      </c>
      <c r="E59" s="666" t="s">
        <v>1103</v>
      </c>
      <c r="F59" s="127">
        <v>1399.0</v>
      </c>
      <c r="G59" s="127">
        <v>1499.0</v>
      </c>
      <c r="H59" s="677">
        <v>477.0</v>
      </c>
      <c r="I59" s="668">
        <f t="shared" si="16"/>
        <v>0.3182121414</v>
      </c>
      <c r="J59" s="127">
        <f t="shared" si="17"/>
        <v>1022</v>
      </c>
      <c r="K59" s="668">
        <f t="shared" si="18"/>
        <v>2.142557652</v>
      </c>
      <c r="L59" s="133"/>
      <c r="M59" s="121" t="s">
        <v>112</v>
      </c>
      <c r="N59" s="121"/>
      <c r="O59" s="127">
        <v>1499.0</v>
      </c>
    </row>
    <row r="60" ht="25.5" customHeight="1" outlineLevel="1">
      <c r="A60" s="87"/>
      <c r="B60" s="181"/>
      <c r="C60" s="89" t="s">
        <v>290</v>
      </c>
      <c r="D60" s="181" t="s">
        <v>288</v>
      </c>
      <c r="E60" s="258">
        <v>120.0</v>
      </c>
      <c r="F60" s="93">
        <v>159.0</v>
      </c>
      <c r="G60" s="93">
        <v>159.0</v>
      </c>
      <c r="H60" s="162">
        <v>25.6</v>
      </c>
      <c r="I60" s="158">
        <f t="shared" si="16"/>
        <v>0.1610062893</v>
      </c>
      <c r="J60" s="93">
        <f t="shared" si="17"/>
        <v>133.4</v>
      </c>
      <c r="K60" s="158">
        <f t="shared" si="18"/>
        <v>5.2109375</v>
      </c>
      <c r="L60" s="134">
        <v>199.0</v>
      </c>
      <c r="M60" s="102" t="s">
        <v>111</v>
      </c>
      <c r="N60" s="87"/>
      <c r="O60" s="93">
        <v>159.0</v>
      </c>
    </row>
    <row r="61" ht="25.5" customHeight="1" outlineLevel="1">
      <c r="A61" s="87"/>
      <c r="B61" s="105"/>
      <c r="C61" s="89" t="s">
        <v>303</v>
      </c>
      <c r="D61" s="701" t="s">
        <v>1110</v>
      </c>
      <c r="E61" s="258">
        <v>170.0</v>
      </c>
      <c r="F61" s="93">
        <v>239.0</v>
      </c>
      <c r="G61" s="93">
        <v>259.0</v>
      </c>
      <c r="H61" s="162">
        <v>84.5</v>
      </c>
      <c r="I61" s="158">
        <f t="shared" si="16"/>
        <v>0.3262548263</v>
      </c>
      <c r="J61" s="93">
        <f t="shared" si="17"/>
        <v>174.5</v>
      </c>
      <c r="K61" s="158">
        <f t="shared" si="18"/>
        <v>1.946745562</v>
      </c>
      <c r="L61" s="134">
        <v>289.0</v>
      </c>
      <c r="M61" s="102" t="s">
        <v>111</v>
      </c>
      <c r="N61" s="87"/>
      <c r="O61" s="93">
        <v>249.0</v>
      </c>
    </row>
    <row r="62" ht="25.5" customHeight="1">
      <c r="A62" s="614"/>
      <c r="B62" s="615" t="str">
        <f>"Бургеры "&amp;COUNTA(C63:C65)&amp;" шт"</f>
        <v>Бургеры 3 шт</v>
      </c>
      <c r="C62" s="614"/>
      <c r="D62" s="614"/>
      <c r="E62" s="616"/>
      <c r="F62" s="695"/>
      <c r="G62" s="695"/>
      <c r="H62" s="618"/>
      <c r="I62" s="648">
        <f>AVERAGE(I63:I66)</f>
        <v>0.2804859604</v>
      </c>
      <c r="J62" s="614"/>
      <c r="K62" s="614"/>
      <c r="L62" s="670"/>
      <c r="M62" s="86"/>
      <c r="N62" s="86"/>
      <c r="O62" s="695"/>
    </row>
    <row r="63" ht="25.5" customHeight="1" outlineLevel="1">
      <c r="A63" s="87"/>
      <c r="B63" s="89" t="s">
        <v>1116</v>
      </c>
      <c r="C63" s="89" t="s">
        <v>1286</v>
      </c>
      <c r="D63" s="89" t="s">
        <v>313</v>
      </c>
      <c r="E63" s="258">
        <v>300.0</v>
      </c>
      <c r="F63" s="93">
        <v>469.0</v>
      </c>
      <c r="G63" s="93">
        <v>469.0</v>
      </c>
      <c r="H63" s="162">
        <v>130.26</v>
      </c>
      <c r="I63" s="158">
        <f t="shared" ref="I63:I66" si="19">H63/G63</f>
        <v>0.2777398721</v>
      </c>
      <c r="J63" s="93">
        <f t="shared" ref="J63:J66" si="20">G63-H63</f>
        <v>338.74</v>
      </c>
      <c r="K63" s="158"/>
      <c r="L63" s="134">
        <v>529.0</v>
      </c>
      <c r="M63" s="102" t="s">
        <v>111</v>
      </c>
      <c r="N63" s="87"/>
      <c r="O63" s="93">
        <v>429.0</v>
      </c>
    </row>
    <row r="64" ht="25.5" customHeight="1" outlineLevel="1">
      <c r="A64" s="121"/>
      <c r="B64" s="123" t="s">
        <v>1117</v>
      </c>
      <c r="C64" s="123" t="s">
        <v>1287</v>
      </c>
      <c r="D64" s="123" t="s">
        <v>1118</v>
      </c>
      <c r="E64" s="666">
        <v>300.0</v>
      </c>
      <c r="F64" s="127">
        <v>549.0</v>
      </c>
      <c r="G64" s="127">
        <v>529.0</v>
      </c>
      <c r="H64" s="677">
        <v>144.8</v>
      </c>
      <c r="I64" s="668">
        <f t="shared" si="19"/>
        <v>0.2737240076</v>
      </c>
      <c r="J64" s="127">
        <f t="shared" si="20"/>
        <v>384.2</v>
      </c>
      <c r="K64" s="668"/>
      <c r="L64" s="133"/>
      <c r="M64" s="121" t="s">
        <v>111</v>
      </c>
      <c r="N64" s="121"/>
      <c r="O64" s="127">
        <v>539.0</v>
      </c>
    </row>
    <row r="65" ht="25.5" customHeight="1" outlineLevel="1">
      <c r="A65" s="87"/>
      <c r="B65" s="89" t="s">
        <v>1116</v>
      </c>
      <c r="C65" s="89" t="s">
        <v>322</v>
      </c>
      <c r="D65" s="89" t="s">
        <v>321</v>
      </c>
      <c r="E65" s="258">
        <v>300.0</v>
      </c>
      <c r="F65" s="93">
        <v>0.0</v>
      </c>
      <c r="G65" s="93">
        <v>529.0</v>
      </c>
      <c r="H65" s="162">
        <v>142.8</v>
      </c>
      <c r="I65" s="158">
        <f t="shared" si="19"/>
        <v>0.2699432892</v>
      </c>
      <c r="J65" s="93">
        <f t="shared" si="20"/>
        <v>386.2</v>
      </c>
      <c r="K65" s="158"/>
      <c r="L65" s="134">
        <v>599.0</v>
      </c>
      <c r="M65" s="102" t="s">
        <v>111</v>
      </c>
      <c r="N65" s="87"/>
      <c r="O65" s="93">
        <v>589.0</v>
      </c>
    </row>
    <row r="66" ht="25.5" customHeight="1" outlineLevel="1">
      <c r="A66" s="87"/>
      <c r="B66" s="89"/>
      <c r="C66" s="89" t="s">
        <v>325</v>
      </c>
      <c r="D66" s="181" t="s">
        <v>324</v>
      </c>
      <c r="E66" s="258">
        <v>280.0</v>
      </c>
      <c r="F66" s="93">
        <v>0.0</v>
      </c>
      <c r="G66" s="93">
        <v>559.0</v>
      </c>
      <c r="H66" s="162">
        <v>168.0</v>
      </c>
      <c r="I66" s="158">
        <f t="shared" si="19"/>
        <v>0.3005366726</v>
      </c>
      <c r="J66" s="93">
        <f t="shared" si="20"/>
        <v>391</v>
      </c>
      <c r="K66" s="158"/>
      <c r="L66" s="134">
        <v>639.0</v>
      </c>
      <c r="M66" s="102" t="s">
        <v>111</v>
      </c>
      <c r="N66" s="87"/>
      <c r="O66" s="93"/>
    </row>
    <row r="67" ht="25.5" customHeight="1">
      <c r="A67" s="614"/>
      <c r="B67" s="615" t="str">
        <f>"Пицца "&amp;COUNTA(C68:C75)&amp;" шт"</f>
        <v>Пицца 8 шт</v>
      </c>
      <c r="C67" s="614"/>
      <c r="D67" s="614"/>
      <c r="E67" s="616"/>
      <c r="F67" s="695"/>
      <c r="G67" s="695"/>
      <c r="H67" s="618"/>
      <c r="I67" s="648">
        <f>AVERAGE(I68:I75)</f>
        <v>0.254304322</v>
      </c>
      <c r="J67" s="614"/>
      <c r="K67" s="614"/>
      <c r="L67" s="670"/>
      <c r="M67" s="86"/>
      <c r="N67" s="86"/>
      <c r="O67" s="695"/>
    </row>
    <row r="68" ht="25.5" customHeight="1" outlineLevel="1">
      <c r="A68" s="87"/>
      <c r="B68" s="181" t="s">
        <v>1255</v>
      </c>
      <c r="C68" s="181" t="s">
        <v>1121</v>
      </c>
      <c r="D68" s="181" t="s">
        <v>327</v>
      </c>
      <c r="E68" s="258">
        <v>460.0</v>
      </c>
      <c r="F68" s="93">
        <v>0.0</v>
      </c>
      <c r="G68" s="93">
        <v>569.0</v>
      </c>
      <c r="H68" s="162">
        <v>132.5</v>
      </c>
      <c r="I68" s="158">
        <f t="shared" ref="I68:I75" si="21">H68/G68</f>
        <v>0.2328646749</v>
      </c>
      <c r="J68" s="93">
        <f t="shared" ref="J68:J75" si="22">G68-H68</f>
        <v>436.5</v>
      </c>
      <c r="K68" s="158">
        <v>0.0</v>
      </c>
      <c r="L68" s="134">
        <v>649.0</v>
      </c>
      <c r="M68" s="102" t="s">
        <v>111</v>
      </c>
      <c r="N68" s="87"/>
      <c r="O68" s="93">
        <v>699.0</v>
      </c>
    </row>
    <row r="69" ht="25.5" customHeight="1" outlineLevel="1">
      <c r="A69" s="87"/>
      <c r="B69" s="90"/>
      <c r="C69" s="89" t="s">
        <v>332</v>
      </c>
      <c r="D69" s="181" t="s">
        <v>331</v>
      </c>
      <c r="E69" s="258">
        <v>430.0</v>
      </c>
      <c r="F69" s="93">
        <v>439.0</v>
      </c>
      <c r="G69" s="93">
        <v>449.0</v>
      </c>
      <c r="H69" s="162">
        <v>98.68</v>
      </c>
      <c r="I69" s="158">
        <f t="shared" si="21"/>
        <v>0.2197772829</v>
      </c>
      <c r="J69" s="93">
        <f t="shared" si="22"/>
        <v>350.32</v>
      </c>
      <c r="K69" s="158">
        <f t="shared" ref="K69:K75" si="23">O69/H69-1</f>
        <v>3.550060803</v>
      </c>
      <c r="L69" s="134">
        <v>549.0</v>
      </c>
      <c r="M69" s="102" t="s">
        <v>111</v>
      </c>
      <c r="N69" s="87"/>
      <c r="O69" s="93">
        <v>449.0</v>
      </c>
    </row>
    <row r="70" ht="25.5" customHeight="1" outlineLevel="1">
      <c r="A70" s="87"/>
      <c r="B70" s="89"/>
      <c r="C70" s="89" t="s">
        <v>335</v>
      </c>
      <c r="D70" s="181" t="s">
        <v>334</v>
      </c>
      <c r="E70" s="258">
        <v>520.0</v>
      </c>
      <c r="F70" s="93">
        <v>559.0</v>
      </c>
      <c r="G70" s="93">
        <v>569.0</v>
      </c>
      <c r="H70" s="162">
        <v>135.75</v>
      </c>
      <c r="I70" s="158">
        <f t="shared" si="21"/>
        <v>0.2385764499</v>
      </c>
      <c r="J70" s="93">
        <f t="shared" si="22"/>
        <v>433.25</v>
      </c>
      <c r="K70" s="158">
        <f t="shared" si="23"/>
        <v>3.044198895</v>
      </c>
      <c r="L70" s="134">
        <v>649.0</v>
      </c>
      <c r="M70" s="102" t="s">
        <v>111</v>
      </c>
      <c r="N70" s="87"/>
      <c r="O70" s="93">
        <v>549.0</v>
      </c>
    </row>
    <row r="71" ht="25.5" customHeight="1" outlineLevel="1">
      <c r="A71" s="87"/>
      <c r="B71" s="89"/>
      <c r="C71" s="89" t="s">
        <v>339</v>
      </c>
      <c r="D71" s="181" t="s">
        <v>338</v>
      </c>
      <c r="E71" s="258">
        <v>490.0</v>
      </c>
      <c r="F71" s="93">
        <v>559.0</v>
      </c>
      <c r="G71" s="93">
        <v>569.0</v>
      </c>
      <c r="H71" s="162">
        <v>126.8</v>
      </c>
      <c r="I71" s="158">
        <f t="shared" si="21"/>
        <v>0.2228471002</v>
      </c>
      <c r="J71" s="93">
        <f t="shared" si="22"/>
        <v>442.2</v>
      </c>
      <c r="K71" s="158">
        <f t="shared" si="23"/>
        <v>3.329652997</v>
      </c>
      <c r="L71" s="134">
        <v>649.0</v>
      </c>
      <c r="M71" s="102" t="s">
        <v>111</v>
      </c>
      <c r="N71" s="87"/>
      <c r="O71" s="93">
        <v>549.0</v>
      </c>
    </row>
    <row r="72" ht="25.5" customHeight="1" outlineLevel="1">
      <c r="A72" s="87"/>
      <c r="B72" s="181"/>
      <c r="C72" s="89" t="s">
        <v>342</v>
      </c>
      <c r="D72" s="181" t="s">
        <v>341</v>
      </c>
      <c r="E72" s="258">
        <v>560.0</v>
      </c>
      <c r="F72" s="93">
        <v>569.0</v>
      </c>
      <c r="G72" s="93">
        <v>569.0</v>
      </c>
      <c r="H72" s="162">
        <v>178.9</v>
      </c>
      <c r="I72" s="158">
        <f t="shared" si="21"/>
        <v>0.3144112478</v>
      </c>
      <c r="J72" s="93">
        <f t="shared" si="22"/>
        <v>390.1</v>
      </c>
      <c r="K72" s="158">
        <f t="shared" si="23"/>
        <v>2.068753494</v>
      </c>
      <c r="L72" s="134">
        <v>649.0</v>
      </c>
      <c r="M72" s="102" t="s">
        <v>111</v>
      </c>
      <c r="N72" s="87"/>
      <c r="O72" s="93">
        <v>549.0</v>
      </c>
    </row>
    <row r="73" ht="37.5" customHeight="1" outlineLevel="1">
      <c r="A73" s="87"/>
      <c r="B73" s="679"/>
      <c r="C73" s="89" t="s">
        <v>1122</v>
      </c>
      <c r="D73" s="181" t="s">
        <v>1123</v>
      </c>
      <c r="E73" s="258">
        <v>510.0</v>
      </c>
      <c r="F73" s="93">
        <v>559.0</v>
      </c>
      <c r="G73" s="93">
        <v>569.0</v>
      </c>
      <c r="H73" s="162">
        <v>135.9</v>
      </c>
      <c r="I73" s="158">
        <f t="shared" si="21"/>
        <v>0.2388400703</v>
      </c>
      <c r="J73" s="93">
        <f t="shared" si="22"/>
        <v>433.1</v>
      </c>
      <c r="K73" s="158">
        <f t="shared" si="23"/>
        <v>3.039735099</v>
      </c>
      <c r="L73" s="134">
        <v>649.0</v>
      </c>
      <c r="M73" s="102" t="s">
        <v>111</v>
      </c>
      <c r="N73" s="87"/>
      <c r="O73" s="93">
        <v>549.0</v>
      </c>
    </row>
    <row r="74" ht="25.5" customHeight="1" outlineLevel="1">
      <c r="A74" s="87"/>
      <c r="B74" s="89"/>
      <c r="C74" s="89" t="s">
        <v>344</v>
      </c>
      <c r="D74" s="181" t="s">
        <v>1124</v>
      </c>
      <c r="E74" s="258">
        <v>520.0</v>
      </c>
      <c r="F74" s="93">
        <v>559.0</v>
      </c>
      <c r="G74" s="93">
        <v>569.0</v>
      </c>
      <c r="H74" s="162">
        <v>167.79</v>
      </c>
      <c r="I74" s="158">
        <f t="shared" si="21"/>
        <v>0.2948857645</v>
      </c>
      <c r="J74" s="93">
        <f t="shared" si="22"/>
        <v>401.21</v>
      </c>
      <c r="K74" s="158">
        <f t="shared" si="23"/>
        <v>2.271947077</v>
      </c>
      <c r="L74" s="134">
        <v>649.0</v>
      </c>
      <c r="M74" s="87" t="s">
        <v>112</v>
      </c>
      <c r="N74" s="87"/>
      <c r="O74" s="93">
        <v>549.0</v>
      </c>
    </row>
    <row r="75" ht="25.5" customHeight="1" outlineLevel="1">
      <c r="A75" s="121"/>
      <c r="B75" s="676" t="s">
        <v>1261</v>
      </c>
      <c r="C75" s="123" t="s">
        <v>1125</v>
      </c>
      <c r="D75" s="676" t="s">
        <v>1126</v>
      </c>
      <c r="E75" s="666">
        <v>520.0</v>
      </c>
      <c r="F75" s="127">
        <v>0.0</v>
      </c>
      <c r="G75" s="127">
        <v>569.0</v>
      </c>
      <c r="H75" s="677">
        <v>154.9</v>
      </c>
      <c r="I75" s="668">
        <f t="shared" si="21"/>
        <v>0.2722319859</v>
      </c>
      <c r="J75" s="127">
        <f t="shared" si="22"/>
        <v>414.1</v>
      </c>
      <c r="K75" s="747">
        <f t="shared" si="23"/>
        <v>3.25435765</v>
      </c>
      <c r="L75" s="133">
        <v>0.0</v>
      </c>
      <c r="M75" s="121" t="s">
        <v>111</v>
      </c>
      <c r="N75" s="121"/>
      <c r="O75" s="127">
        <v>659.0</v>
      </c>
    </row>
    <row r="76" ht="25.5" customHeight="1">
      <c r="A76" s="614"/>
      <c r="B76" s="615" t="str">
        <f>"Десерты "&amp;COUNTA(C77:C82)&amp;" шт"</f>
        <v>Десерты 6 шт</v>
      </c>
      <c r="C76" s="614"/>
      <c r="D76" s="614"/>
      <c r="E76" s="616"/>
      <c r="F76" s="695"/>
      <c r="G76" s="695"/>
      <c r="H76" s="618"/>
      <c r="I76" s="648">
        <f>AVERAGE(I77:I82)</f>
        <v>0.3261180122</v>
      </c>
      <c r="J76" s="614"/>
      <c r="K76" s="614"/>
      <c r="L76" s="670"/>
      <c r="M76" s="86"/>
      <c r="N76" s="86"/>
      <c r="O76" s="695"/>
    </row>
    <row r="77" ht="48.0" customHeight="1" outlineLevel="1">
      <c r="A77" s="87"/>
      <c r="B77" s="87"/>
      <c r="C77" s="89" t="s">
        <v>373</v>
      </c>
      <c r="D77" s="87" t="s">
        <v>374</v>
      </c>
      <c r="E77" s="258">
        <v>300.0</v>
      </c>
      <c r="F77" s="93">
        <v>369.0</v>
      </c>
      <c r="G77" s="93">
        <v>369.0</v>
      </c>
      <c r="H77" s="162">
        <v>111.85</v>
      </c>
      <c r="I77" s="158">
        <f t="shared" ref="I77:I82" si="24">H77/G77</f>
        <v>0.3031165312</v>
      </c>
      <c r="J77" s="93">
        <f t="shared" ref="J77:J82" si="25">G77-H77</f>
        <v>257.15</v>
      </c>
      <c r="K77" s="158">
        <f t="shared" ref="K77:K82" si="26">O77/H77-1</f>
        <v>2.209655789</v>
      </c>
      <c r="L77" s="134"/>
      <c r="M77" s="87" t="s">
        <v>112</v>
      </c>
      <c r="N77" s="87"/>
      <c r="O77" s="93">
        <v>359.0</v>
      </c>
    </row>
    <row r="78" ht="25.5" customHeight="1" outlineLevel="1">
      <c r="A78" s="87"/>
      <c r="B78" s="87" t="s">
        <v>1264</v>
      </c>
      <c r="C78" s="89" t="s">
        <v>375</v>
      </c>
      <c r="D78" s="87" t="s">
        <v>1130</v>
      </c>
      <c r="E78" s="258">
        <v>135.0</v>
      </c>
      <c r="F78" s="93">
        <v>299.0</v>
      </c>
      <c r="G78" s="93">
        <v>349.0</v>
      </c>
      <c r="H78" s="162">
        <v>130.0</v>
      </c>
      <c r="I78" s="158">
        <f t="shared" si="24"/>
        <v>0.3724928367</v>
      </c>
      <c r="J78" s="93">
        <f t="shared" si="25"/>
        <v>219</v>
      </c>
      <c r="K78" s="158">
        <f t="shared" si="26"/>
        <v>1.3</v>
      </c>
      <c r="L78" s="134">
        <v>399.0</v>
      </c>
      <c r="M78" s="102" t="s">
        <v>111</v>
      </c>
      <c r="N78" s="87"/>
      <c r="O78" s="93">
        <v>299.0</v>
      </c>
    </row>
    <row r="79" ht="25.5" customHeight="1" outlineLevel="1">
      <c r="A79" s="87"/>
      <c r="B79" s="87" t="s">
        <v>1265</v>
      </c>
      <c r="C79" s="87" t="s">
        <v>1265</v>
      </c>
      <c r="D79" s="87"/>
      <c r="E79" s="258">
        <v>150.0</v>
      </c>
      <c r="F79" s="93">
        <v>0.0</v>
      </c>
      <c r="G79" s="93">
        <v>299.0</v>
      </c>
      <c r="H79" s="162">
        <v>95.8</v>
      </c>
      <c r="I79" s="158">
        <f t="shared" si="24"/>
        <v>0.3204013378</v>
      </c>
      <c r="J79" s="93">
        <f t="shared" si="25"/>
        <v>203.2</v>
      </c>
      <c r="K79" s="158">
        <f t="shared" si="26"/>
        <v>6.296450939</v>
      </c>
      <c r="L79" s="134">
        <v>339.0</v>
      </c>
      <c r="M79" s="87" t="s">
        <v>112</v>
      </c>
      <c r="N79" s="87"/>
      <c r="O79" s="93">
        <v>699.0</v>
      </c>
    </row>
    <row r="80" ht="25.5" customHeight="1" outlineLevel="1">
      <c r="A80" s="87"/>
      <c r="B80" s="87" t="s">
        <v>1264</v>
      </c>
      <c r="C80" s="199" t="s">
        <v>378</v>
      </c>
      <c r="D80" s="89" t="s">
        <v>1132</v>
      </c>
      <c r="E80" s="258">
        <v>135.0</v>
      </c>
      <c r="F80" s="93">
        <v>339.0</v>
      </c>
      <c r="G80" s="93">
        <v>349.0</v>
      </c>
      <c r="H80" s="162">
        <v>145.0</v>
      </c>
      <c r="I80" s="158">
        <f t="shared" si="24"/>
        <v>0.4154727794</v>
      </c>
      <c r="J80" s="93">
        <f t="shared" si="25"/>
        <v>204</v>
      </c>
      <c r="K80" s="158">
        <f t="shared" si="26"/>
        <v>1.406896552</v>
      </c>
      <c r="L80" s="134">
        <v>429.0</v>
      </c>
      <c r="M80" s="102" t="s">
        <v>111</v>
      </c>
      <c r="N80" s="87"/>
      <c r="O80" s="93">
        <v>349.0</v>
      </c>
    </row>
    <row r="81" ht="25.5" customHeight="1" outlineLevel="1">
      <c r="A81" s="87"/>
      <c r="B81" s="87"/>
      <c r="C81" s="89" t="s">
        <v>1129</v>
      </c>
      <c r="D81" s="87"/>
      <c r="E81" s="258">
        <v>180.0</v>
      </c>
      <c r="F81" s="93">
        <v>299.0</v>
      </c>
      <c r="G81" s="93">
        <v>299.0</v>
      </c>
      <c r="H81" s="162">
        <v>76.35</v>
      </c>
      <c r="I81" s="158">
        <f t="shared" si="24"/>
        <v>0.2553511706</v>
      </c>
      <c r="J81" s="93">
        <f t="shared" si="25"/>
        <v>222.65</v>
      </c>
      <c r="K81" s="158">
        <f t="shared" si="26"/>
        <v>-1</v>
      </c>
      <c r="L81" s="134">
        <v>339.0</v>
      </c>
      <c r="M81" s="102" t="s">
        <v>111</v>
      </c>
      <c r="N81" s="106"/>
      <c r="O81" s="184"/>
    </row>
    <row r="82" ht="25.5" customHeight="1" outlineLevel="1">
      <c r="A82" s="87"/>
      <c r="B82" s="181"/>
      <c r="C82" s="89" t="s">
        <v>380</v>
      </c>
      <c r="D82" s="181"/>
      <c r="E82" s="258">
        <v>60.0</v>
      </c>
      <c r="F82" s="93">
        <v>79.0</v>
      </c>
      <c r="G82" s="93">
        <v>79.0</v>
      </c>
      <c r="H82" s="162">
        <v>22.9</v>
      </c>
      <c r="I82" s="158">
        <f t="shared" si="24"/>
        <v>0.2898734177</v>
      </c>
      <c r="J82" s="93">
        <f t="shared" si="25"/>
        <v>56.1</v>
      </c>
      <c r="K82" s="158">
        <f t="shared" si="26"/>
        <v>2.449781659</v>
      </c>
      <c r="L82" s="134"/>
      <c r="M82" s="87" t="s">
        <v>112</v>
      </c>
      <c r="N82" s="87"/>
      <c r="O82" s="93">
        <v>79.0</v>
      </c>
    </row>
    <row r="83" ht="25.5" customHeight="1">
      <c r="A83" s="86"/>
      <c r="B83" s="615" t="str">
        <f>"Соусы, допы и хлеб "&amp;COUNTA(C84:C105)&amp;" шт"</f>
        <v>Соусы, допы и хлеб 22 шт</v>
      </c>
      <c r="C83" s="614"/>
      <c r="D83" s="681"/>
      <c r="E83" s="682"/>
      <c r="F83" s="645"/>
      <c r="G83" s="645"/>
      <c r="H83" s="683"/>
      <c r="I83" s="648">
        <f>AVERAGE(I84:I105)</f>
        <v>0.1958520828</v>
      </c>
      <c r="J83" s="86"/>
      <c r="K83" s="648"/>
      <c r="L83" s="670"/>
      <c r="M83" s="86"/>
      <c r="N83" s="86"/>
      <c r="O83" s="645"/>
    </row>
    <row r="84" ht="25.5" customHeight="1" outlineLevel="1">
      <c r="A84" s="87"/>
      <c r="B84" s="89"/>
      <c r="C84" s="89" t="s">
        <v>381</v>
      </c>
      <c r="D84" s="181"/>
      <c r="E84" s="258">
        <v>50.0</v>
      </c>
      <c r="F84" s="93">
        <v>59.0</v>
      </c>
      <c r="G84" s="93">
        <v>59.0</v>
      </c>
      <c r="H84" s="162">
        <v>10.1</v>
      </c>
      <c r="I84" s="158">
        <f t="shared" ref="I84:I105" si="27">H84/G84</f>
        <v>0.1711864407</v>
      </c>
      <c r="J84" s="93">
        <f t="shared" ref="J84:J105" si="28">G84-H84</f>
        <v>48.9</v>
      </c>
      <c r="K84" s="158">
        <f t="shared" ref="K84:K105" si="29">O84/H84-1</f>
        <v>4.841584158</v>
      </c>
      <c r="L84" s="93">
        <v>59.0</v>
      </c>
      <c r="M84" s="102" t="s">
        <v>111</v>
      </c>
      <c r="N84" s="87"/>
      <c r="O84" s="93">
        <v>59.0</v>
      </c>
    </row>
    <row r="85" ht="25.5" customHeight="1" outlineLevel="1">
      <c r="A85" s="87"/>
      <c r="B85" s="89"/>
      <c r="C85" s="89" t="s">
        <v>1136</v>
      </c>
      <c r="D85" s="181"/>
      <c r="E85" s="258">
        <v>30.0</v>
      </c>
      <c r="F85" s="93">
        <v>69.0</v>
      </c>
      <c r="G85" s="93">
        <v>69.0</v>
      </c>
      <c r="H85" s="162">
        <v>17.9</v>
      </c>
      <c r="I85" s="158">
        <f t="shared" si="27"/>
        <v>0.2594202899</v>
      </c>
      <c r="J85" s="93">
        <f t="shared" si="28"/>
        <v>51.1</v>
      </c>
      <c r="K85" s="158">
        <f t="shared" si="29"/>
        <v>2.854748603</v>
      </c>
      <c r="L85" s="93">
        <v>69.0</v>
      </c>
      <c r="M85" s="102" t="s">
        <v>111</v>
      </c>
      <c r="N85" s="87"/>
      <c r="O85" s="93">
        <v>69.0</v>
      </c>
    </row>
    <row r="86" ht="25.5" customHeight="1" outlineLevel="1">
      <c r="A86" s="87"/>
      <c r="B86" s="89"/>
      <c r="C86" s="89" t="s">
        <v>383</v>
      </c>
      <c r="D86" s="181"/>
      <c r="E86" s="258">
        <v>30.0</v>
      </c>
      <c r="F86" s="93">
        <v>69.0</v>
      </c>
      <c r="G86" s="93">
        <v>69.0</v>
      </c>
      <c r="H86" s="162">
        <v>20.21</v>
      </c>
      <c r="I86" s="158">
        <f t="shared" si="27"/>
        <v>0.2928985507</v>
      </c>
      <c r="J86" s="93">
        <f t="shared" si="28"/>
        <v>48.79</v>
      </c>
      <c r="K86" s="158">
        <f t="shared" si="29"/>
        <v>2.41415141</v>
      </c>
      <c r="L86" s="93">
        <v>69.0</v>
      </c>
      <c r="M86" s="102" t="s">
        <v>111</v>
      </c>
      <c r="N86" s="87"/>
      <c r="O86" s="93">
        <v>69.0</v>
      </c>
    </row>
    <row r="87" ht="25.5" customHeight="1" outlineLevel="1">
      <c r="A87" s="87"/>
      <c r="B87" s="89"/>
      <c r="C87" s="89" t="s">
        <v>384</v>
      </c>
      <c r="D87" s="181"/>
      <c r="E87" s="258">
        <v>30.0</v>
      </c>
      <c r="F87" s="93">
        <v>59.0</v>
      </c>
      <c r="G87" s="93">
        <v>59.0</v>
      </c>
      <c r="H87" s="162">
        <v>12.66</v>
      </c>
      <c r="I87" s="158">
        <f t="shared" si="27"/>
        <v>0.2145762712</v>
      </c>
      <c r="J87" s="93">
        <f t="shared" si="28"/>
        <v>46.34</v>
      </c>
      <c r="K87" s="158">
        <f t="shared" si="29"/>
        <v>3.660347551</v>
      </c>
      <c r="L87" s="93">
        <v>59.0</v>
      </c>
      <c r="M87" s="102" t="s">
        <v>111</v>
      </c>
      <c r="N87" s="87"/>
      <c r="O87" s="93">
        <v>59.0</v>
      </c>
    </row>
    <row r="88" ht="25.5" customHeight="1" outlineLevel="1">
      <c r="A88" s="87"/>
      <c r="B88" s="89"/>
      <c r="C88" s="89" t="s">
        <v>385</v>
      </c>
      <c r="D88" s="181"/>
      <c r="E88" s="258">
        <v>30.0</v>
      </c>
      <c r="F88" s="93">
        <v>69.0</v>
      </c>
      <c r="G88" s="93">
        <v>69.0</v>
      </c>
      <c r="H88" s="162">
        <v>12.95</v>
      </c>
      <c r="I88" s="158">
        <f t="shared" si="27"/>
        <v>0.1876811594</v>
      </c>
      <c r="J88" s="93">
        <f t="shared" si="28"/>
        <v>56.05</v>
      </c>
      <c r="K88" s="158">
        <f t="shared" si="29"/>
        <v>4.328185328</v>
      </c>
      <c r="L88" s="93">
        <v>69.0</v>
      </c>
      <c r="M88" s="102" t="s">
        <v>111</v>
      </c>
      <c r="N88" s="87"/>
      <c r="O88" s="93">
        <v>69.0</v>
      </c>
    </row>
    <row r="89" ht="25.5" customHeight="1" outlineLevel="1">
      <c r="A89" s="87"/>
      <c r="B89" s="89"/>
      <c r="C89" s="89" t="s">
        <v>386</v>
      </c>
      <c r="D89" s="181"/>
      <c r="E89" s="258">
        <v>15.0</v>
      </c>
      <c r="F89" s="93">
        <v>59.0</v>
      </c>
      <c r="G89" s="93">
        <v>59.0</v>
      </c>
      <c r="H89" s="162">
        <v>8.11</v>
      </c>
      <c r="I89" s="158">
        <f t="shared" si="27"/>
        <v>0.1374576271</v>
      </c>
      <c r="J89" s="93">
        <f t="shared" si="28"/>
        <v>50.89</v>
      </c>
      <c r="K89" s="158">
        <f t="shared" si="29"/>
        <v>6.274969174</v>
      </c>
      <c r="L89" s="93">
        <v>59.0</v>
      </c>
      <c r="M89" s="102" t="s">
        <v>111</v>
      </c>
      <c r="N89" s="87"/>
      <c r="O89" s="93">
        <v>59.0</v>
      </c>
    </row>
    <row r="90" ht="25.5" customHeight="1" outlineLevel="1">
      <c r="A90" s="87"/>
      <c r="B90" s="89"/>
      <c r="C90" s="89" t="s">
        <v>387</v>
      </c>
      <c r="D90" s="181"/>
      <c r="E90" s="258">
        <v>30.0</v>
      </c>
      <c r="F90" s="93">
        <v>59.0</v>
      </c>
      <c r="G90" s="93">
        <v>59.0</v>
      </c>
      <c r="H90" s="162">
        <v>12.36</v>
      </c>
      <c r="I90" s="158">
        <f t="shared" si="27"/>
        <v>0.2094915254</v>
      </c>
      <c r="J90" s="93">
        <f t="shared" si="28"/>
        <v>46.64</v>
      </c>
      <c r="K90" s="158">
        <f t="shared" si="29"/>
        <v>3.773462783</v>
      </c>
      <c r="L90" s="93">
        <v>59.0</v>
      </c>
      <c r="M90" s="102" t="s">
        <v>111</v>
      </c>
      <c r="N90" s="87"/>
      <c r="O90" s="93">
        <v>59.0</v>
      </c>
    </row>
    <row r="91" ht="25.5" customHeight="1" outlineLevel="1">
      <c r="A91" s="87"/>
      <c r="B91" s="181"/>
      <c r="C91" s="89" t="s">
        <v>482</v>
      </c>
      <c r="D91" s="181"/>
      <c r="E91" s="258">
        <v>30.0</v>
      </c>
      <c r="F91" s="93">
        <v>59.0</v>
      </c>
      <c r="G91" s="93">
        <v>59.0</v>
      </c>
      <c r="H91" s="162">
        <v>7.34</v>
      </c>
      <c r="I91" s="158">
        <f t="shared" si="27"/>
        <v>0.1244067797</v>
      </c>
      <c r="J91" s="93">
        <f t="shared" si="28"/>
        <v>51.66</v>
      </c>
      <c r="K91" s="158">
        <f t="shared" si="29"/>
        <v>7.038147139</v>
      </c>
      <c r="L91" s="93">
        <v>59.0</v>
      </c>
      <c r="M91" s="87" t="s">
        <v>111</v>
      </c>
      <c r="N91" s="87"/>
      <c r="O91" s="93">
        <v>59.0</v>
      </c>
    </row>
    <row r="92" ht="25.5" customHeight="1" outlineLevel="1">
      <c r="A92" s="87"/>
      <c r="B92" s="181"/>
      <c r="C92" s="89" t="s">
        <v>1137</v>
      </c>
      <c r="D92" s="181"/>
      <c r="E92" s="258">
        <v>30.0</v>
      </c>
      <c r="F92" s="93">
        <v>59.0</v>
      </c>
      <c r="G92" s="93">
        <v>59.0</v>
      </c>
      <c r="H92" s="162">
        <v>6.51</v>
      </c>
      <c r="I92" s="158">
        <f t="shared" si="27"/>
        <v>0.1103389831</v>
      </c>
      <c r="J92" s="93">
        <f t="shared" si="28"/>
        <v>52.49</v>
      </c>
      <c r="K92" s="158">
        <f t="shared" si="29"/>
        <v>8.062980031</v>
      </c>
      <c r="L92" s="93">
        <v>59.0</v>
      </c>
      <c r="M92" s="87" t="s">
        <v>111</v>
      </c>
      <c r="N92" s="87"/>
      <c r="O92" s="93">
        <v>59.0</v>
      </c>
    </row>
    <row r="93" ht="25.5" customHeight="1" outlineLevel="1">
      <c r="A93" s="87"/>
      <c r="B93" s="181"/>
      <c r="C93" s="89" t="s">
        <v>484</v>
      </c>
      <c r="D93" s="181"/>
      <c r="E93" s="258">
        <v>30.0</v>
      </c>
      <c r="F93" s="93">
        <v>59.0</v>
      </c>
      <c r="G93" s="93">
        <v>59.0</v>
      </c>
      <c r="H93" s="162">
        <v>15.8</v>
      </c>
      <c r="I93" s="158">
        <f t="shared" si="27"/>
        <v>0.2677966102</v>
      </c>
      <c r="J93" s="93">
        <f t="shared" si="28"/>
        <v>43.2</v>
      </c>
      <c r="K93" s="158">
        <f t="shared" si="29"/>
        <v>2.734177215</v>
      </c>
      <c r="L93" s="93">
        <v>59.0</v>
      </c>
      <c r="M93" s="87" t="s">
        <v>111</v>
      </c>
      <c r="N93" s="87"/>
      <c r="O93" s="93">
        <v>59.0</v>
      </c>
    </row>
    <row r="94" ht="25.5" customHeight="1" outlineLevel="1">
      <c r="A94" s="87"/>
      <c r="B94" s="181"/>
      <c r="C94" s="89" t="s">
        <v>1138</v>
      </c>
      <c r="D94" s="181"/>
      <c r="E94" s="258">
        <v>30.0</v>
      </c>
      <c r="F94" s="93">
        <v>59.0</v>
      </c>
      <c r="G94" s="93">
        <v>59.0</v>
      </c>
      <c r="H94" s="162">
        <v>9.07</v>
      </c>
      <c r="I94" s="158">
        <f t="shared" si="27"/>
        <v>0.1537288136</v>
      </c>
      <c r="J94" s="93">
        <f t="shared" si="28"/>
        <v>49.93</v>
      </c>
      <c r="K94" s="158">
        <f t="shared" si="29"/>
        <v>5.504961411</v>
      </c>
      <c r="L94" s="93">
        <v>59.0</v>
      </c>
      <c r="M94" s="87" t="s">
        <v>111</v>
      </c>
      <c r="N94" s="87"/>
      <c r="O94" s="93">
        <v>59.0</v>
      </c>
    </row>
    <row r="95" ht="25.5" customHeight="1" outlineLevel="1">
      <c r="A95" s="87"/>
      <c r="B95" s="181"/>
      <c r="C95" s="89" t="s">
        <v>486</v>
      </c>
      <c r="D95" s="181"/>
      <c r="E95" s="258">
        <v>30.0</v>
      </c>
      <c r="F95" s="93">
        <v>59.0</v>
      </c>
      <c r="G95" s="93">
        <v>59.0</v>
      </c>
      <c r="H95" s="162">
        <v>13.22</v>
      </c>
      <c r="I95" s="158">
        <f t="shared" si="27"/>
        <v>0.2240677966</v>
      </c>
      <c r="J95" s="93">
        <f t="shared" si="28"/>
        <v>45.78</v>
      </c>
      <c r="K95" s="158">
        <f t="shared" si="29"/>
        <v>3.462934947</v>
      </c>
      <c r="L95" s="93">
        <v>59.0</v>
      </c>
      <c r="M95" s="87" t="s">
        <v>111</v>
      </c>
      <c r="N95" s="87"/>
      <c r="O95" s="93">
        <v>59.0</v>
      </c>
    </row>
    <row r="96" ht="25.5" customHeight="1" outlineLevel="1">
      <c r="A96" s="87"/>
      <c r="B96" s="181"/>
      <c r="C96" s="89" t="s">
        <v>487</v>
      </c>
      <c r="D96" s="181"/>
      <c r="E96" s="258">
        <v>30.0</v>
      </c>
      <c r="F96" s="93">
        <v>59.0</v>
      </c>
      <c r="G96" s="93">
        <v>59.0</v>
      </c>
      <c r="H96" s="162">
        <v>5.38</v>
      </c>
      <c r="I96" s="158">
        <f t="shared" si="27"/>
        <v>0.09118644068</v>
      </c>
      <c r="J96" s="93">
        <f t="shared" si="28"/>
        <v>53.62</v>
      </c>
      <c r="K96" s="158">
        <f t="shared" si="29"/>
        <v>9.966542751</v>
      </c>
      <c r="L96" s="93">
        <v>59.0</v>
      </c>
      <c r="M96" s="87" t="s">
        <v>111</v>
      </c>
      <c r="N96" s="87"/>
      <c r="O96" s="93">
        <v>59.0</v>
      </c>
    </row>
    <row r="97" ht="25.5" customHeight="1" outlineLevel="1">
      <c r="A97" s="87"/>
      <c r="B97" s="181"/>
      <c r="C97" s="89" t="s">
        <v>488</v>
      </c>
      <c r="D97" s="181"/>
      <c r="E97" s="258">
        <v>30.0</v>
      </c>
      <c r="F97" s="93">
        <v>59.0</v>
      </c>
      <c r="G97" s="93">
        <v>59.0</v>
      </c>
      <c r="H97" s="162">
        <v>15.89</v>
      </c>
      <c r="I97" s="158">
        <f t="shared" si="27"/>
        <v>0.2693220339</v>
      </c>
      <c r="J97" s="93">
        <f t="shared" si="28"/>
        <v>43.11</v>
      </c>
      <c r="K97" s="158">
        <f t="shared" si="29"/>
        <v>2.713027061</v>
      </c>
      <c r="L97" s="93">
        <v>59.0</v>
      </c>
      <c r="M97" s="87" t="s">
        <v>111</v>
      </c>
      <c r="N97" s="87"/>
      <c r="O97" s="93">
        <v>59.0</v>
      </c>
    </row>
    <row r="98" ht="25.5" customHeight="1" outlineLevel="1">
      <c r="A98" s="87"/>
      <c r="B98" s="181"/>
      <c r="C98" s="89" t="s">
        <v>489</v>
      </c>
      <c r="D98" s="181"/>
      <c r="E98" s="258">
        <v>30.0</v>
      </c>
      <c r="F98" s="93">
        <v>59.0</v>
      </c>
      <c r="G98" s="93">
        <v>59.0</v>
      </c>
      <c r="H98" s="162">
        <v>9.39</v>
      </c>
      <c r="I98" s="158">
        <f t="shared" si="27"/>
        <v>0.1591525424</v>
      </c>
      <c r="J98" s="93">
        <f t="shared" si="28"/>
        <v>49.61</v>
      </c>
      <c r="K98" s="158">
        <f t="shared" si="29"/>
        <v>5.283280085</v>
      </c>
      <c r="L98" s="93">
        <v>59.0</v>
      </c>
      <c r="M98" s="87" t="s">
        <v>111</v>
      </c>
      <c r="N98" s="87"/>
      <c r="O98" s="93">
        <v>59.0</v>
      </c>
    </row>
    <row r="99" ht="25.5" customHeight="1" outlineLevel="1">
      <c r="A99" s="87"/>
      <c r="B99" s="181"/>
      <c r="C99" s="89" t="s">
        <v>490</v>
      </c>
      <c r="D99" s="181"/>
      <c r="E99" s="258">
        <v>30.0</v>
      </c>
      <c r="F99" s="93">
        <v>59.0</v>
      </c>
      <c r="G99" s="93">
        <v>59.0</v>
      </c>
      <c r="H99" s="162">
        <v>9.57</v>
      </c>
      <c r="I99" s="158">
        <f t="shared" si="27"/>
        <v>0.1622033898</v>
      </c>
      <c r="J99" s="93">
        <f t="shared" si="28"/>
        <v>49.43</v>
      </c>
      <c r="K99" s="158">
        <f t="shared" si="29"/>
        <v>5.165099269</v>
      </c>
      <c r="L99" s="93">
        <v>59.0</v>
      </c>
      <c r="M99" s="87" t="s">
        <v>111</v>
      </c>
      <c r="N99" s="87"/>
      <c r="O99" s="93">
        <v>59.0</v>
      </c>
    </row>
    <row r="100" ht="25.5" customHeight="1" outlineLevel="1">
      <c r="A100" s="87"/>
      <c r="B100" s="181"/>
      <c r="C100" s="89" t="s">
        <v>491</v>
      </c>
      <c r="D100" s="181"/>
      <c r="E100" s="258">
        <v>30.0</v>
      </c>
      <c r="F100" s="93">
        <v>59.0</v>
      </c>
      <c r="G100" s="93">
        <v>59.0</v>
      </c>
      <c r="H100" s="162">
        <v>7.99</v>
      </c>
      <c r="I100" s="158">
        <f t="shared" si="27"/>
        <v>0.1354237288</v>
      </c>
      <c r="J100" s="93">
        <f t="shared" si="28"/>
        <v>51.01</v>
      </c>
      <c r="K100" s="158">
        <f t="shared" si="29"/>
        <v>6.384230288</v>
      </c>
      <c r="L100" s="93">
        <v>59.0</v>
      </c>
      <c r="M100" s="87" t="s">
        <v>111</v>
      </c>
      <c r="N100" s="87"/>
      <c r="O100" s="93">
        <v>59.0</v>
      </c>
    </row>
    <row r="101" ht="25.5" customHeight="1" outlineLevel="1">
      <c r="A101" s="87"/>
      <c r="B101" s="181"/>
      <c r="C101" s="89" t="s">
        <v>1139</v>
      </c>
      <c r="D101" s="181"/>
      <c r="E101" s="258">
        <v>30.0</v>
      </c>
      <c r="F101" s="93">
        <v>59.0</v>
      </c>
      <c r="G101" s="93">
        <v>59.0</v>
      </c>
      <c r="H101" s="162">
        <v>9.0</v>
      </c>
      <c r="I101" s="158">
        <f t="shared" si="27"/>
        <v>0.1525423729</v>
      </c>
      <c r="J101" s="93">
        <f t="shared" si="28"/>
        <v>50</v>
      </c>
      <c r="K101" s="158">
        <f t="shared" si="29"/>
        <v>5.555555556</v>
      </c>
      <c r="L101" s="93">
        <v>59.0</v>
      </c>
      <c r="M101" s="87" t="s">
        <v>111</v>
      </c>
      <c r="N101" s="87"/>
      <c r="O101" s="93">
        <v>59.0</v>
      </c>
    </row>
    <row r="102" ht="25.5" customHeight="1" outlineLevel="1">
      <c r="A102" s="87"/>
      <c r="B102" s="181"/>
      <c r="C102" s="89" t="s">
        <v>492</v>
      </c>
      <c r="D102" s="181"/>
      <c r="E102" s="258">
        <v>30.0</v>
      </c>
      <c r="F102" s="93">
        <v>59.0</v>
      </c>
      <c r="G102" s="93">
        <v>59.0</v>
      </c>
      <c r="H102" s="162">
        <v>14.72</v>
      </c>
      <c r="I102" s="158">
        <f t="shared" si="27"/>
        <v>0.2494915254</v>
      </c>
      <c r="J102" s="93">
        <f t="shared" si="28"/>
        <v>44.28</v>
      </c>
      <c r="K102" s="158">
        <f t="shared" si="29"/>
        <v>3.008152174</v>
      </c>
      <c r="L102" s="93">
        <v>59.0</v>
      </c>
      <c r="M102" s="87" t="s">
        <v>111</v>
      </c>
      <c r="N102" s="87"/>
      <c r="O102" s="93">
        <v>59.0</v>
      </c>
    </row>
    <row r="103" ht="25.5" customHeight="1" outlineLevel="1">
      <c r="A103" s="87"/>
      <c r="B103" s="181"/>
      <c r="C103" s="89" t="s">
        <v>1140</v>
      </c>
      <c r="D103" s="181" t="s">
        <v>401</v>
      </c>
      <c r="E103" s="258">
        <v>120.0</v>
      </c>
      <c r="F103" s="93">
        <v>99.0</v>
      </c>
      <c r="G103" s="93">
        <v>99.0</v>
      </c>
      <c r="H103" s="162">
        <v>29.0</v>
      </c>
      <c r="I103" s="158">
        <f t="shared" si="27"/>
        <v>0.2929292929</v>
      </c>
      <c r="J103" s="93">
        <f t="shared" si="28"/>
        <v>70</v>
      </c>
      <c r="K103" s="158">
        <f t="shared" si="29"/>
        <v>2.413793103</v>
      </c>
      <c r="L103" s="134"/>
      <c r="M103" s="87" t="s">
        <v>112</v>
      </c>
      <c r="N103" s="87"/>
      <c r="O103" s="93">
        <v>99.0</v>
      </c>
    </row>
    <row r="104" ht="25.5" customHeight="1" outlineLevel="1">
      <c r="A104" s="87"/>
      <c r="B104" s="181"/>
      <c r="C104" s="89" t="s">
        <v>1141</v>
      </c>
      <c r="D104" s="181"/>
      <c r="E104" s="258">
        <v>80.0</v>
      </c>
      <c r="F104" s="93">
        <v>29.0</v>
      </c>
      <c r="G104" s="93">
        <v>29.0</v>
      </c>
      <c r="H104" s="162">
        <v>4.88</v>
      </c>
      <c r="I104" s="158">
        <f t="shared" si="27"/>
        <v>0.1682758621</v>
      </c>
      <c r="J104" s="93">
        <f t="shared" si="28"/>
        <v>24.12</v>
      </c>
      <c r="K104" s="158">
        <f t="shared" si="29"/>
        <v>4.942622951</v>
      </c>
      <c r="L104" s="134">
        <v>29.0</v>
      </c>
      <c r="M104" s="102" t="s">
        <v>111</v>
      </c>
      <c r="N104" s="87"/>
      <c r="O104" s="93">
        <v>29.0</v>
      </c>
    </row>
    <row r="105" ht="25.5" customHeight="1" outlineLevel="1">
      <c r="A105" s="87"/>
      <c r="B105" s="181"/>
      <c r="C105" s="89" t="s">
        <v>1142</v>
      </c>
      <c r="D105" s="181" t="s">
        <v>1143</v>
      </c>
      <c r="E105" s="258">
        <v>140.0</v>
      </c>
      <c r="F105" s="93">
        <v>149.0</v>
      </c>
      <c r="G105" s="93">
        <v>149.0</v>
      </c>
      <c r="H105" s="162">
        <v>41.0</v>
      </c>
      <c r="I105" s="158">
        <f t="shared" si="27"/>
        <v>0.2751677852</v>
      </c>
      <c r="J105" s="93">
        <f t="shared" si="28"/>
        <v>108</v>
      </c>
      <c r="K105" s="158">
        <f t="shared" si="29"/>
        <v>2.634146341</v>
      </c>
      <c r="L105" s="134">
        <v>189.0</v>
      </c>
      <c r="M105" s="748" t="s">
        <v>111</v>
      </c>
      <c r="N105" s="87"/>
      <c r="O105" s="93">
        <v>149.0</v>
      </c>
    </row>
    <row r="106" ht="25.5" customHeight="1">
      <c r="A106" s="87"/>
      <c r="B106" s="116" t="str">
        <f>"Детское меню "&amp;COUNTA(C107:C116)&amp;" шт"</f>
        <v>Детское меню 10 шт</v>
      </c>
      <c r="C106" s="89" t="s">
        <v>1144</v>
      </c>
      <c r="D106" s="181"/>
      <c r="E106" s="258"/>
      <c r="F106" s="93"/>
      <c r="G106" s="93"/>
      <c r="H106" s="162"/>
      <c r="I106" s="158">
        <f>AVERAGE(I107:I116)</f>
        <v>0.2204121441</v>
      </c>
      <c r="J106" s="87"/>
      <c r="K106" s="158"/>
      <c r="L106" s="134"/>
      <c r="M106" s="87"/>
      <c r="N106" s="86"/>
      <c r="O106" s="645"/>
    </row>
    <row r="107" ht="25.5" customHeight="1" outlineLevel="1">
      <c r="A107" s="87"/>
      <c r="B107" s="181"/>
      <c r="C107" s="731" t="s">
        <v>426</v>
      </c>
      <c r="D107" s="732" t="s">
        <v>427</v>
      </c>
      <c r="E107" s="733">
        <v>250.0</v>
      </c>
      <c r="F107" s="93"/>
      <c r="G107" s="169">
        <v>329.0</v>
      </c>
      <c r="H107" s="734">
        <v>77.0</v>
      </c>
      <c r="I107" s="158">
        <f t="shared" ref="I107:I117" si="30">H107/G107</f>
        <v>0.2340425532</v>
      </c>
      <c r="J107" s="93">
        <f t="shared" ref="J107:J117" si="31">G107-H107</f>
        <v>252</v>
      </c>
      <c r="K107" s="158">
        <f t="shared" ref="K107:K109" si="32">O107/H107-1</f>
        <v>1.064935065</v>
      </c>
      <c r="L107" s="749">
        <v>399.0</v>
      </c>
      <c r="M107" s="102" t="s">
        <v>111</v>
      </c>
      <c r="N107" s="87"/>
      <c r="O107" s="93">
        <v>159.0</v>
      </c>
    </row>
    <row r="108" ht="25.5" customHeight="1" outlineLevel="1">
      <c r="A108" s="87"/>
      <c r="B108" s="181"/>
      <c r="C108" s="731" t="s">
        <v>1269</v>
      </c>
      <c r="D108" s="735" t="s">
        <v>1146</v>
      </c>
      <c r="E108" s="733">
        <v>300.0</v>
      </c>
      <c r="F108" s="93"/>
      <c r="G108" s="169">
        <v>199.0</v>
      </c>
      <c r="H108" s="734">
        <v>48.0</v>
      </c>
      <c r="I108" s="158">
        <f t="shared" si="30"/>
        <v>0.2412060302</v>
      </c>
      <c r="J108" s="93">
        <f t="shared" si="31"/>
        <v>151</v>
      </c>
      <c r="K108" s="158">
        <f t="shared" si="32"/>
        <v>2.729166667</v>
      </c>
      <c r="L108" s="750">
        <v>249.0</v>
      </c>
      <c r="M108" s="102" t="s">
        <v>111</v>
      </c>
      <c r="N108" s="87"/>
      <c r="O108" s="93">
        <v>179.0</v>
      </c>
    </row>
    <row r="109" ht="25.5" customHeight="1" outlineLevel="1">
      <c r="A109" s="87"/>
      <c r="B109" s="181"/>
      <c r="C109" s="736" t="s">
        <v>1155</v>
      </c>
      <c r="D109" s="737" t="s">
        <v>1270</v>
      </c>
      <c r="E109" s="733">
        <v>150.0</v>
      </c>
      <c r="F109" s="93"/>
      <c r="G109" s="169">
        <v>299.0</v>
      </c>
      <c r="H109" s="734">
        <v>84.0</v>
      </c>
      <c r="I109" s="158">
        <f t="shared" si="30"/>
        <v>0.2809364548</v>
      </c>
      <c r="J109" s="93">
        <f t="shared" si="31"/>
        <v>215</v>
      </c>
      <c r="K109" s="158">
        <f t="shared" si="32"/>
        <v>1.845238095</v>
      </c>
      <c r="L109" s="751">
        <v>349.0</v>
      </c>
      <c r="M109" s="102" t="s">
        <v>111</v>
      </c>
      <c r="N109" s="87"/>
      <c r="O109" s="93">
        <v>239.0</v>
      </c>
    </row>
    <row r="110" ht="25.5" customHeight="1" outlineLevel="1">
      <c r="A110" s="87"/>
      <c r="B110" s="181"/>
      <c r="C110" s="731" t="s">
        <v>1272</v>
      </c>
      <c r="D110" s="735" t="s">
        <v>1273</v>
      </c>
      <c r="E110" s="733" t="s">
        <v>1148</v>
      </c>
      <c r="F110" s="93"/>
      <c r="G110" s="169">
        <v>199.0</v>
      </c>
      <c r="H110" s="738"/>
      <c r="I110" s="158">
        <f t="shared" si="30"/>
        <v>0</v>
      </c>
      <c r="J110" s="93">
        <f t="shared" si="31"/>
        <v>199</v>
      </c>
      <c r="K110" s="158"/>
      <c r="L110" s="750">
        <v>249.0</v>
      </c>
      <c r="M110" s="102" t="s">
        <v>111</v>
      </c>
      <c r="N110" s="87"/>
      <c r="O110" s="93"/>
    </row>
    <row r="111" ht="25.5" customHeight="1" outlineLevel="1">
      <c r="A111" s="87"/>
      <c r="B111" s="181"/>
      <c r="C111" s="731" t="s">
        <v>405</v>
      </c>
      <c r="D111" s="735" t="s">
        <v>406</v>
      </c>
      <c r="E111" s="733">
        <v>150.0</v>
      </c>
      <c r="F111" s="93"/>
      <c r="G111" s="169">
        <v>199.0</v>
      </c>
      <c r="H111" s="734">
        <v>44.0</v>
      </c>
      <c r="I111" s="158">
        <f t="shared" si="30"/>
        <v>0.2211055276</v>
      </c>
      <c r="J111" s="93">
        <f t="shared" si="31"/>
        <v>155</v>
      </c>
      <c r="K111" s="158"/>
      <c r="L111" s="752">
        <v>229.0</v>
      </c>
      <c r="M111" s="102" t="s">
        <v>111</v>
      </c>
      <c r="N111" s="87"/>
      <c r="O111" s="93"/>
    </row>
    <row r="112" ht="25.5" customHeight="1" outlineLevel="1">
      <c r="A112" s="87"/>
      <c r="B112" s="181"/>
      <c r="C112" s="731" t="s">
        <v>417</v>
      </c>
      <c r="D112" s="735" t="s">
        <v>1149</v>
      </c>
      <c r="E112" s="733">
        <v>180.0</v>
      </c>
      <c r="F112" s="93"/>
      <c r="G112" s="169">
        <v>339.0</v>
      </c>
      <c r="H112" s="734">
        <v>111.0</v>
      </c>
      <c r="I112" s="158">
        <f t="shared" si="30"/>
        <v>0.3274336283</v>
      </c>
      <c r="J112" s="93">
        <f t="shared" si="31"/>
        <v>228</v>
      </c>
      <c r="K112" s="158">
        <f t="shared" ref="K112:K116" si="33">O112/H112-1</f>
        <v>1.153153153</v>
      </c>
      <c r="L112" s="749">
        <v>399.0</v>
      </c>
      <c r="M112" s="102" t="s">
        <v>111</v>
      </c>
      <c r="N112" s="87"/>
      <c r="O112" s="93">
        <v>239.0</v>
      </c>
    </row>
    <row r="113" ht="15.75" customHeight="1" outlineLevel="1">
      <c r="A113" s="87"/>
      <c r="B113" s="181" t="s">
        <v>1150</v>
      </c>
      <c r="C113" s="731" t="s">
        <v>414</v>
      </c>
      <c r="D113" s="164"/>
      <c r="E113" s="733">
        <v>320.0</v>
      </c>
      <c r="F113" s="93"/>
      <c r="G113" s="169">
        <v>279.0</v>
      </c>
      <c r="H113" s="734">
        <v>55.0</v>
      </c>
      <c r="I113" s="158">
        <f t="shared" si="30"/>
        <v>0.1971326165</v>
      </c>
      <c r="J113" s="93">
        <f t="shared" si="31"/>
        <v>224</v>
      </c>
      <c r="K113" s="158">
        <f t="shared" si="33"/>
        <v>1.890909091</v>
      </c>
      <c r="L113" s="751">
        <v>349.0</v>
      </c>
      <c r="M113" s="87" t="s">
        <v>112</v>
      </c>
      <c r="N113" s="102"/>
      <c r="O113" s="640">
        <v>159.0</v>
      </c>
    </row>
    <row r="114" ht="42.0" customHeight="1" outlineLevel="1">
      <c r="A114" s="87"/>
      <c r="B114" s="181" t="s">
        <v>1152</v>
      </c>
      <c r="C114" s="731" t="s">
        <v>339</v>
      </c>
      <c r="D114" s="164"/>
      <c r="E114" s="733">
        <v>320.0</v>
      </c>
      <c r="F114" s="93"/>
      <c r="G114" s="169">
        <v>279.0</v>
      </c>
      <c r="H114" s="734">
        <v>69.0</v>
      </c>
      <c r="I114" s="158">
        <f t="shared" si="30"/>
        <v>0.247311828</v>
      </c>
      <c r="J114" s="93">
        <f t="shared" si="31"/>
        <v>210</v>
      </c>
      <c r="K114" s="158">
        <f t="shared" si="33"/>
        <v>1.304347826</v>
      </c>
      <c r="L114" s="751">
        <v>349.0</v>
      </c>
      <c r="M114" s="87" t="s">
        <v>112</v>
      </c>
      <c r="N114" s="102"/>
      <c r="O114" s="640">
        <v>159.0</v>
      </c>
    </row>
    <row r="115" ht="30.75" customHeight="1" outlineLevel="1">
      <c r="A115" s="87"/>
      <c r="B115" s="181" t="s">
        <v>1154</v>
      </c>
      <c r="C115" s="731" t="s">
        <v>332</v>
      </c>
      <c r="D115" s="164"/>
      <c r="E115" s="733">
        <v>300.0</v>
      </c>
      <c r="F115" s="93"/>
      <c r="G115" s="169">
        <v>259.0</v>
      </c>
      <c r="H115" s="734">
        <v>52.0</v>
      </c>
      <c r="I115" s="158">
        <f t="shared" si="30"/>
        <v>0.2007722008</v>
      </c>
      <c r="J115" s="93">
        <f t="shared" si="31"/>
        <v>207</v>
      </c>
      <c r="K115" s="158">
        <f t="shared" si="33"/>
        <v>2.057692308</v>
      </c>
      <c r="L115" s="751">
        <v>349.0</v>
      </c>
      <c r="M115" s="87" t="s">
        <v>112</v>
      </c>
      <c r="N115" s="102"/>
      <c r="O115" s="640">
        <v>159.0</v>
      </c>
    </row>
    <row r="116" ht="25.5" customHeight="1" outlineLevel="1">
      <c r="A116" s="87"/>
      <c r="B116" s="181"/>
      <c r="C116" s="736" t="s">
        <v>420</v>
      </c>
      <c r="D116" s="736" t="s">
        <v>1274</v>
      </c>
      <c r="E116" s="733">
        <v>180.0</v>
      </c>
      <c r="F116" s="93"/>
      <c r="G116" s="169">
        <v>299.0</v>
      </c>
      <c r="H116" s="734">
        <v>76.0</v>
      </c>
      <c r="I116" s="158">
        <f t="shared" si="30"/>
        <v>0.254180602</v>
      </c>
      <c r="J116" s="93">
        <f t="shared" si="31"/>
        <v>223</v>
      </c>
      <c r="K116" s="158">
        <f t="shared" si="33"/>
        <v>2.802631579</v>
      </c>
      <c r="L116" s="751">
        <v>349.0</v>
      </c>
      <c r="M116" s="87" t="s">
        <v>111</v>
      </c>
      <c r="N116" s="87"/>
      <c r="O116" s="93">
        <v>289.0</v>
      </c>
    </row>
    <row r="117" ht="25.5" customHeight="1" outlineLevel="1">
      <c r="A117" s="87"/>
      <c r="B117" s="181"/>
      <c r="C117" s="736" t="s">
        <v>1275</v>
      </c>
      <c r="D117" s="736" t="s">
        <v>1276</v>
      </c>
      <c r="E117" s="733">
        <v>150.0</v>
      </c>
      <c r="F117" s="93"/>
      <c r="G117" s="169">
        <v>299.0</v>
      </c>
      <c r="H117" s="734">
        <v>79.0</v>
      </c>
      <c r="I117" s="739">
        <f t="shared" si="30"/>
        <v>0.2642140468</v>
      </c>
      <c r="J117" s="169">
        <f t="shared" si="31"/>
        <v>220</v>
      </c>
      <c r="K117" s="739">
        <f>G117/H117-1</f>
        <v>2.784810127</v>
      </c>
      <c r="L117" s="751">
        <v>349.0</v>
      </c>
      <c r="M117" s="87"/>
      <c r="N117" s="87"/>
      <c r="O117" s="93"/>
    </row>
    <row r="118" ht="25.5" customHeight="1" collapsed="1">
      <c r="A118" s="87"/>
      <c r="B118" s="116" t="s">
        <v>1157</v>
      </c>
      <c r="C118" s="89"/>
      <c r="D118" s="181"/>
      <c r="E118" s="620"/>
      <c r="F118" s="93"/>
      <c r="G118" s="93"/>
      <c r="H118" s="162"/>
      <c r="I118" s="158">
        <f>AVERAGE(I119:I138)</f>
        <v>0.2580558522</v>
      </c>
      <c r="J118" s="87"/>
      <c r="K118" s="158"/>
      <c r="L118" s="134"/>
      <c r="M118" s="87"/>
      <c r="N118" s="86"/>
      <c r="O118" s="645"/>
    </row>
    <row r="119" ht="37.5" hidden="1" customHeight="1" outlineLevel="1">
      <c r="A119" s="87"/>
      <c r="B119" s="181"/>
      <c r="C119" s="89" t="s">
        <v>1158</v>
      </c>
      <c r="D119" s="620"/>
      <c r="E119" s="258"/>
      <c r="F119" s="93">
        <v>2499.0</v>
      </c>
      <c r="G119" s="93">
        <v>2499.0</v>
      </c>
      <c r="H119" s="162">
        <v>564.64</v>
      </c>
      <c r="I119" s="158">
        <f t="shared" ref="I119:I125" si="34">H119/G119</f>
        <v>0.2259463786</v>
      </c>
      <c r="J119" s="93">
        <f t="shared" ref="J119:J125" si="35">G119-H119</f>
        <v>1934.36</v>
      </c>
      <c r="K119" s="158">
        <f t="shared" ref="K119:K125" si="36">O119/H119-1</f>
        <v>3.425828847</v>
      </c>
      <c r="L119" s="134"/>
      <c r="M119" s="87" t="s">
        <v>112</v>
      </c>
      <c r="N119" s="87"/>
      <c r="O119" s="93">
        <v>2499.0</v>
      </c>
    </row>
    <row r="120" ht="37.5" hidden="1" customHeight="1" outlineLevel="1">
      <c r="A120" s="87"/>
      <c r="B120" s="181"/>
      <c r="C120" s="89" t="s">
        <v>1159</v>
      </c>
      <c r="D120" s="620"/>
      <c r="E120" s="258"/>
      <c r="F120" s="93">
        <v>599.0</v>
      </c>
      <c r="G120" s="93">
        <v>599.0</v>
      </c>
      <c r="H120" s="162">
        <v>167.71</v>
      </c>
      <c r="I120" s="158">
        <f t="shared" si="34"/>
        <v>0.2799833055</v>
      </c>
      <c r="J120" s="93">
        <f t="shared" si="35"/>
        <v>431.29</v>
      </c>
      <c r="K120" s="158">
        <f t="shared" si="36"/>
        <v>2.571641524</v>
      </c>
      <c r="L120" s="134"/>
      <c r="M120" s="87" t="s">
        <v>112</v>
      </c>
      <c r="N120" s="87"/>
      <c r="O120" s="93">
        <v>599.0</v>
      </c>
    </row>
    <row r="121" ht="37.5" hidden="1" customHeight="1" outlineLevel="1">
      <c r="A121" s="87"/>
      <c r="B121" s="181"/>
      <c r="C121" s="89" t="s">
        <v>1160</v>
      </c>
      <c r="D121" s="620"/>
      <c r="E121" s="258"/>
      <c r="F121" s="93">
        <v>499.0</v>
      </c>
      <c r="G121" s="93">
        <v>499.0</v>
      </c>
      <c r="H121" s="162">
        <v>110.0</v>
      </c>
      <c r="I121" s="158">
        <f t="shared" si="34"/>
        <v>0.2204408818</v>
      </c>
      <c r="J121" s="93">
        <f t="shared" si="35"/>
        <v>389</v>
      </c>
      <c r="K121" s="158">
        <f t="shared" si="36"/>
        <v>3.536363636</v>
      </c>
      <c r="L121" s="134"/>
      <c r="M121" s="87" t="s">
        <v>112</v>
      </c>
      <c r="N121" s="87"/>
      <c r="O121" s="93">
        <v>499.0</v>
      </c>
    </row>
    <row r="122" ht="37.5" hidden="1" customHeight="1" outlineLevel="1">
      <c r="A122" s="87"/>
      <c r="B122" s="181"/>
      <c r="C122" s="89" t="s">
        <v>1161</v>
      </c>
      <c r="D122" s="181" t="s">
        <v>1162</v>
      </c>
      <c r="E122" s="258"/>
      <c r="F122" s="93">
        <v>2699.0</v>
      </c>
      <c r="G122" s="93">
        <v>2699.0</v>
      </c>
      <c r="H122" s="162">
        <v>601.32</v>
      </c>
      <c r="I122" s="158">
        <f t="shared" si="34"/>
        <v>0.2227936273</v>
      </c>
      <c r="J122" s="93">
        <f t="shared" si="35"/>
        <v>2097.68</v>
      </c>
      <c r="K122" s="158">
        <f t="shared" si="36"/>
        <v>3.488458724</v>
      </c>
      <c r="L122" s="134"/>
      <c r="M122" s="87" t="s">
        <v>112</v>
      </c>
      <c r="N122" s="87"/>
      <c r="O122" s="93">
        <v>2699.0</v>
      </c>
    </row>
    <row r="123" ht="43.5" hidden="1" customHeight="1" outlineLevel="1">
      <c r="A123" s="87"/>
      <c r="B123" s="181"/>
      <c r="C123" s="89" t="s">
        <v>1163</v>
      </c>
      <c r="D123" s="181" t="s">
        <v>1164</v>
      </c>
      <c r="E123" s="258"/>
      <c r="F123" s="93">
        <v>6599.0</v>
      </c>
      <c r="G123" s="93">
        <v>6599.0</v>
      </c>
      <c r="H123" s="162">
        <v>1632.4</v>
      </c>
      <c r="I123" s="158">
        <f t="shared" si="34"/>
        <v>0.2473708138</v>
      </c>
      <c r="J123" s="93">
        <f t="shared" si="35"/>
        <v>4966.6</v>
      </c>
      <c r="K123" s="158">
        <f t="shared" si="36"/>
        <v>3.04251409</v>
      </c>
      <c r="L123" s="134"/>
      <c r="M123" s="87" t="s">
        <v>112</v>
      </c>
      <c r="N123" s="87"/>
      <c r="O123" s="93">
        <v>6599.0</v>
      </c>
    </row>
    <row r="124" ht="45.0" hidden="1" customHeight="1" outlineLevel="1">
      <c r="A124" s="87"/>
      <c r="B124" s="181"/>
      <c r="C124" s="89" t="s">
        <v>1165</v>
      </c>
      <c r="D124" s="181" t="s">
        <v>1166</v>
      </c>
      <c r="E124" s="258"/>
      <c r="F124" s="93">
        <v>9599.0</v>
      </c>
      <c r="G124" s="93">
        <v>9599.0</v>
      </c>
      <c r="H124" s="162">
        <v>2049.98</v>
      </c>
      <c r="I124" s="158">
        <f t="shared" si="34"/>
        <v>0.2135618294</v>
      </c>
      <c r="J124" s="93">
        <f t="shared" si="35"/>
        <v>7549.02</v>
      </c>
      <c r="K124" s="158">
        <f t="shared" si="36"/>
        <v>3.682484707</v>
      </c>
      <c r="L124" s="134"/>
      <c r="M124" s="87" t="s">
        <v>112</v>
      </c>
      <c r="N124" s="87"/>
      <c r="O124" s="93">
        <v>9599.0</v>
      </c>
    </row>
    <row r="125" ht="38.25" hidden="1" customHeight="1" outlineLevel="1">
      <c r="A125" s="87"/>
      <c r="B125" s="181"/>
      <c r="C125" s="89" t="s">
        <v>1167</v>
      </c>
      <c r="D125" s="181" t="s">
        <v>1168</v>
      </c>
      <c r="E125" s="258"/>
      <c r="F125" s="93">
        <v>6899.0</v>
      </c>
      <c r="G125" s="93">
        <v>6899.0</v>
      </c>
      <c r="H125" s="162">
        <v>1689.62</v>
      </c>
      <c r="I125" s="158">
        <f t="shared" si="34"/>
        <v>0.2449079577</v>
      </c>
      <c r="J125" s="93">
        <f t="shared" si="35"/>
        <v>5209.38</v>
      </c>
      <c r="K125" s="158">
        <f t="shared" si="36"/>
        <v>3.077839988</v>
      </c>
      <c r="L125" s="134"/>
      <c r="M125" s="87" t="s">
        <v>112</v>
      </c>
      <c r="N125" s="87"/>
      <c r="O125" s="93">
        <v>6890.0</v>
      </c>
    </row>
    <row r="126" ht="25.5" customHeight="1" collapsed="1">
      <c r="A126" s="87"/>
      <c r="B126" s="116" t="s">
        <v>1169</v>
      </c>
      <c r="C126" s="116"/>
      <c r="D126" s="691"/>
      <c r="E126" s="258"/>
      <c r="F126" s="753"/>
      <c r="G126" s="753"/>
      <c r="H126" s="691"/>
      <c r="I126" s="158">
        <f>AVERAGE(I127:I139)</f>
        <v>0.2681467288</v>
      </c>
      <c r="J126" s="87"/>
      <c r="K126" s="158"/>
      <c r="L126" s="134"/>
      <c r="M126" s="87"/>
      <c r="N126" s="86"/>
      <c r="O126" s="687"/>
    </row>
    <row r="127" ht="15.75" hidden="1" customHeight="1" outlineLevel="1">
      <c r="A127" s="87"/>
      <c r="B127" s="116"/>
      <c r="C127" s="116"/>
      <c r="D127" s="691"/>
      <c r="E127" s="258">
        <v>180.0</v>
      </c>
      <c r="F127" s="93">
        <v>599.0</v>
      </c>
      <c r="G127" s="93">
        <v>599.0</v>
      </c>
      <c r="H127" s="162">
        <v>174.66</v>
      </c>
      <c r="I127" s="158">
        <f t="shared" ref="I127:I145" si="37">H127/G127</f>
        <v>0.2915859766</v>
      </c>
      <c r="J127" s="93">
        <f t="shared" ref="J127:J145" si="38">G127-H127</f>
        <v>424.34</v>
      </c>
      <c r="K127" s="158">
        <f t="shared" ref="K127:K145" si="39">O127/H127-1</f>
        <v>0.482881026</v>
      </c>
      <c r="L127" s="134"/>
      <c r="M127" s="87" t="s">
        <v>112</v>
      </c>
      <c r="N127" s="239"/>
      <c r="O127" s="243">
        <v>259.0</v>
      </c>
    </row>
    <row r="128" ht="38.25" hidden="1" customHeight="1" outlineLevel="1">
      <c r="A128" s="87"/>
      <c r="B128" s="691"/>
      <c r="C128" s="691"/>
      <c r="D128" s="691"/>
      <c r="E128" s="258">
        <v>180.0</v>
      </c>
      <c r="F128" s="93">
        <v>329.0</v>
      </c>
      <c r="G128" s="93">
        <v>329.0</v>
      </c>
      <c r="H128" s="162">
        <v>68.02</v>
      </c>
      <c r="I128" s="158">
        <f t="shared" si="37"/>
        <v>0.2067477204</v>
      </c>
      <c r="J128" s="93">
        <f t="shared" si="38"/>
        <v>260.98</v>
      </c>
      <c r="K128" s="158">
        <f t="shared" si="39"/>
        <v>1.925610115</v>
      </c>
      <c r="L128" s="134">
        <v>369.0</v>
      </c>
      <c r="M128" s="87" t="s">
        <v>111</v>
      </c>
      <c r="N128" s="239"/>
      <c r="O128" s="243">
        <v>199.0</v>
      </c>
    </row>
    <row r="129" ht="48.75" hidden="1" customHeight="1" outlineLevel="1">
      <c r="A129" s="87"/>
      <c r="B129" s="116"/>
      <c r="C129" s="116"/>
      <c r="D129" s="691"/>
      <c r="E129" s="258">
        <v>200.0</v>
      </c>
      <c r="F129" s="93">
        <v>299.0</v>
      </c>
      <c r="G129" s="93">
        <v>299.0</v>
      </c>
      <c r="H129" s="162">
        <v>71.22</v>
      </c>
      <c r="I129" s="158">
        <f t="shared" si="37"/>
        <v>0.2381939799</v>
      </c>
      <c r="J129" s="93">
        <f t="shared" si="38"/>
        <v>227.78</v>
      </c>
      <c r="K129" s="158">
        <f t="shared" si="39"/>
        <v>-1</v>
      </c>
      <c r="L129" s="134">
        <v>339.0</v>
      </c>
      <c r="M129" s="87" t="s">
        <v>111</v>
      </c>
      <c r="N129" s="239"/>
      <c r="O129" s="243"/>
    </row>
    <row r="130" ht="25.5" hidden="1" customHeight="1" outlineLevel="1">
      <c r="A130" s="87"/>
      <c r="B130" s="89"/>
      <c r="C130" s="89"/>
      <c r="D130" s="691"/>
      <c r="E130" s="258">
        <v>150.0</v>
      </c>
      <c r="F130" s="93">
        <v>379.0</v>
      </c>
      <c r="G130" s="93">
        <v>379.0</v>
      </c>
      <c r="H130" s="162">
        <v>98.86</v>
      </c>
      <c r="I130" s="158">
        <f t="shared" si="37"/>
        <v>0.2608443272</v>
      </c>
      <c r="J130" s="93">
        <f t="shared" si="38"/>
        <v>280.14</v>
      </c>
      <c r="K130" s="158">
        <f t="shared" si="39"/>
        <v>-1</v>
      </c>
      <c r="L130" s="134">
        <v>429.0</v>
      </c>
      <c r="M130" s="87" t="s">
        <v>111</v>
      </c>
      <c r="N130" s="239"/>
      <c r="O130" s="243"/>
    </row>
    <row r="131" ht="45.0" hidden="1" customHeight="1" outlineLevel="1">
      <c r="A131" s="87"/>
      <c r="B131" s="116"/>
      <c r="C131" s="116"/>
      <c r="D131" s="691"/>
      <c r="E131" s="258">
        <v>200.0</v>
      </c>
      <c r="F131" s="93">
        <v>299.0</v>
      </c>
      <c r="G131" s="93">
        <v>299.0</v>
      </c>
      <c r="H131" s="162">
        <v>77.9</v>
      </c>
      <c r="I131" s="158">
        <f t="shared" si="37"/>
        <v>0.2605351171</v>
      </c>
      <c r="J131" s="93">
        <f t="shared" si="38"/>
        <v>221.1</v>
      </c>
      <c r="K131" s="158">
        <f t="shared" si="39"/>
        <v>2.453145058</v>
      </c>
      <c r="L131" s="134"/>
      <c r="M131" s="87" t="s">
        <v>112</v>
      </c>
      <c r="N131" s="239"/>
      <c r="O131" s="243">
        <v>269.0</v>
      </c>
    </row>
    <row r="132" ht="43.5" hidden="1" customHeight="1" outlineLevel="1">
      <c r="A132" s="87"/>
      <c r="B132" s="116"/>
      <c r="C132" s="116"/>
      <c r="D132" s="691"/>
      <c r="E132" s="258">
        <v>300.0</v>
      </c>
      <c r="F132" s="93">
        <v>439.0</v>
      </c>
      <c r="G132" s="93">
        <v>439.0</v>
      </c>
      <c r="H132" s="162">
        <v>130.47</v>
      </c>
      <c r="I132" s="158">
        <f t="shared" si="37"/>
        <v>0.2971981777</v>
      </c>
      <c r="J132" s="93">
        <f t="shared" si="38"/>
        <v>308.53</v>
      </c>
      <c r="K132" s="158">
        <f t="shared" si="39"/>
        <v>-1</v>
      </c>
      <c r="L132" s="134">
        <v>489.0</v>
      </c>
      <c r="M132" s="87" t="s">
        <v>111</v>
      </c>
      <c r="N132" s="239"/>
      <c r="O132" s="243"/>
    </row>
    <row r="133" ht="37.5" hidden="1" customHeight="1" outlineLevel="1">
      <c r="A133" s="87"/>
      <c r="B133" s="116"/>
      <c r="C133" s="116"/>
      <c r="D133" s="116"/>
      <c r="E133" s="258">
        <v>300.0</v>
      </c>
      <c r="F133" s="93">
        <v>339.0</v>
      </c>
      <c r="G133" s="93">
        <v>339.0</v>
      </c>
      <c r="H133" s="162">
        <v>67.55</v>
      </c>
      <c r="I133" s="158">
        <f t="shared" si="37"/>
        <v>0.1992625369</v>
      </c>
      <c r="J133" s="93">
        <f t="shared" si="38"/>
        <v>271.45</v>
      </c>
      <c r="K133" s="158">
        <f t="shared" si="39"/>
        <v>-1</v>
      </c>
      <c r="L133" s="134">
        <v>369.0</v>
      </c>
      <c r="M133" s="87" t="s">
        <v>111</v>
      </c>
      <c r="N133" s="239"/>
      <c r="O133" s="243"/>
    </row>
    <row r="134" ht="33.0" hidden="1" customHeight="1" outlineLevel="1">
      <c r="A134" s="87"/>
      <c r="B134" s="116"/>
      <c r="C134" s="116"/>
      <c r="D134" s="116"/>
      <c r="E134" s="258">
        <v>180.0</v>
      </c>
      <c r="F134" s="93">
        <v>399.0</v>
      </c>
      <c r="G134" s="93">
        <v>399.0</v>
      </c>
      <c r="H134" s="162">
        <v>93.03</v>
      </c>
      <c r="I134" s="158">
        <f t="shared" si="37"/>
        <v>0.2331578947</v>
      </c>
      <c r="J134" s="93">
        <f t="shared" si="38"/>
        <v>305.97</v>
      </c>
      <c r="K134" s="158">
        <f t="shared" si="39"/>
        <v>-1</v>
      </c>
      <c r="L134" s="134">
        <v>399.0</v>
      </c>
      <c r="M134" s="87" t="s">
        <v>111</v>
      </c>
      <c r="N134" s="239"/>
      <c r="O134" s="243"/>
    </row>
    <row r="135" ht="42.75" hidden="1" customHeight="1" outlineLevel="1">
      <c r="A135" s="87"/>
      <c r="B135" s="116"/>
      <c r="C135" s="116"/>
      <c r="D135" s="116"/>
      <c r="E135" s="258">
        <v>300.0</v>
      </c>
      <c r="F135" s="93">
        <v>279.0</v>
      </c>
      <c r="G135" s="93">
        <v>279.0</v>
      </c>
      <c r="H135" s="162">
        <v>83.66</v>
      </c>
      <c r="I135" s="158">
        <f t="shared" si="37"/>
        <v>0.2998566308</v>
      </c>
      <c r="J135" s="93">
        <f t="shared" si="38"/>
        <v>195.34</v>
      </c>
      <c r="K135" s="158">
        <f t="shared" si="39"/>
        <v>-1</v>
      </c>
      <c r="L135" s="134">
        <v>329.0</v>
      </c>
      <c r="M135" s="87" t="s">
        <v>111</v>
      </c>
      <c r="N135" s="239"/>
      <c r="O135" s="243"/>
    </row>
    <row r="136" ht="25.5" hidden="1" customHeight="1" outlineLevel="1">
      <c r="A136" s="87"/>
      <c r="B136" s="116"/>
      <c r="C136" s="116"/>
      <c r="D136" s="116"/>
      <c r="E136" s="258">
        <v>160.0</v>
      </c>
      <c r="F136" s="93">
        <v>269.0</v>
      </c>
      <c r="G136" s="93">
        <v>269.0</v>
      </c>
      <c r="H136" s="162">
        <v>77.45</v>
      </c>
      <c r="I136" s="158">
        <f t="shared" si="37"/>
        <v>0.2879182156</v>
      </c>
      <c r="J136" s="93">
        <f t="shared" si="38"/>
        <v>191.55</v>
      </c>
      <c r="K136" s="158">
        <f t="shared" si="39"/>
        <v>-1</v>
      </c>
      <c r="L136" s="134">
        <v>299.0</v>
      </c>
      <c r="M136" s="87" t="s">
        <v>111</v>
      </c>
      <c r="N136" s="239"/>
      <c r="O136" s="243"/>
    </row>
    <row r="137" ht="35.25" hidden="1" customHeight="1" outlineLevel="1">
      <c r="A137" s="87"/>
      <c r="B137" s="116"/>
      <c r="C137" s="116"/>
      <c r="D137" s="116"/>
      <c r="E137" s="258">
        <v>160.0</v>
      </c>
      <c r="F137" s="93">
        <v>329.0</v>
      </c>
      <c r="G137" s="93">
        <v>329.0</v>
      </c>
      <c r="H137" s="162">
        <v>94.65</v>
      </c>
      <c r="I137" s="158">
        <f t="shared" si="37"/>
        <v>0.2876899696</v>
      </c>
      <c r="J137" s="93">
        <f t="shared" si="38"/>
        <v>234.35</v>
      </c>
      <c r="K137" s="158">
        <f t="shared" si="39"/>
        <v>-1</v>
      </c>
      <c r="L137" s="134">
        <v>349.0</v>
      </c>
      <c r="M137" s="87" t="s">
        <v>111</v>
      </c>
      <c r="N137" s="239"/>
      <c r="O137" s="243"/>
    </row>
    <row r="138" ht="26.25" hidden="1" customHeight="1" outlineLevel="1">
      <c r="A138" s="87"/>
      <c r="B138" s="116"/>
      <c r="C138" s="116"/>
      <c r="D138" s="116"/>
      <c r="E138" s="258">
        <v>500.0</v>
      </c>
      <c r="F138" s="93">
        <v>999.0</v>
      </c>
      <c r="G138" s="93">
        <v>999.0</v>
      </c>
      <c r="H138" s="162">
        <v>374.6</v>
      </c>
      <c r="I138" s="158">
        <f t="shared" si="37"/>
        <v>0.374974975</v>
      </c>
      <c r="J138" s="93">
        <f t="shared" si="38"/>
        <v>624.4</v>
      </c>
      <c r="K138" s="158">
        <f t="shared" si="39"/>
        <v>-0.3085958356</v>
      </c>
      <c r="L138" s="134">
        <v>1199.0</v>
      </c>
      <c r="M138" s="87" t="s">
        <v>111</v>
      </c>
      <c r="N138" s="239"/>
      <c r="O138" s="243">
        <v>259.0</v>
      </c>
    </row>
    <row r="139" ht="25.5" hidden="1" customHeight="1" outlineLevel="1">
      <c r="A139" s="87"/>
      <c r="B139" s="89"/>
      <c r="C139" s="89"/>
      <c r="D139" s="116"/>
      <c r="E139" s="258">
        <v>120.0</v>
      </c>
      <c r="F139" s="93">
        <v>379.0</v>
      </c>
      <c r="G139" s="93">
        <v>379.0</v>
      </c>
      <c r="H139" s="162">
        <v>93.97</v>
      </c>
      <c r="I139" s="158">
        <f t="shared" si="37"/>
        <v>0.2479419525</v>
      </c>
      <c r="J139" s="93">
        <f t="shared" si="38"/>
        <v>285.03</v>
      </c>
      <c r="K139" s="158">
        <f t="shared" si="39"/>
        <v>4.310205385</v>
      </c>
      <c r="L139" s="134">
        <v>399.0</v>
      </c>
      <c r="M139" s="87" t="s">
        <v>111</v>
      </c>
      <c r="N139" s="239"/>
      <c r="O139" s="243">
        <v>499.0</v>
      </c>
    </row>
    <row r="140" ht="25.5" hidden="1" customHeight="1" outlineLevel="1">
      <c r="A140" s="87"/>
      <c r="B140" s="87"/>
      <c r="C140" s="89"/>
      <c r="D140" s="116"/>
      <c r="E140" s="258">
        <v>0.0</v>
      </c>
      <c r="F140" s="93">
        <v>0.0</v>
      </c>
      <c r="G140" s="93">
        <v>0.0</v>
      </c>
      <c r="H140" s="162">
        <v>0.0</v>
      </c>
      <c r="I140" s="158" t="str">
        <f t="shared" si="37"/>
        <v>#DIV/0!</v>
      </c>
      <c r="J140" s="93">
        <f t="shared" si="38"/>
        <v>0</v>
      </c>
      <c r="K140" s="158" t="str">
        <f t="shared" si="39"/>
        <v>#DIV/0!</v>
      </c>
      <c r="L140" s="134"/>
      <c r="M140" s="87" t="s">
        <v>111</v>
      </c>
      <c r="N140" s="239"/>
      <c r="O140" s="243">
        <v>369.0</v>
      </c>
    </row>
    <row r="141" ht="25.5" hidden="1" customHeight="1" outlineLevel="1">
      <c r="A141" s="87"/>
      <c r="B141" s="87"/>
      <c r="C141" s="89"/>
      <c r="D141" s="116"/>
      <c r="E141" s="258">
        <v>0.0</v>
      </c>
      <c r="F141" s="93">
        <v>0.0</v>
      </c>
      <c r="G141" s="93">
        <v>0.0</v>
      </c>
      <c r="H141" s="162">
        <v>0.0</v>
      </c>
      <c r="I141" s="158" t="str">
        <f t="shared" si="37"/>
        <v>#DIV/0!</v>
      </c>
      <c r="J141" s="93">
        <f t="shared" si="38"/>
        <v>0</v>
      </c>
      <c r="K141" s="158" t="str">
        <f t="shared" si="39"/>
        <v>#DIV/0!</v>
      </c>
      <c r="L141" s="134"/>
      <c r="M141" s="87"/>
      <c r="N141" s="239"/>
      <c r="O141" s="243"/>
    </row>
    <row r="142" ht="25.5" hidden="1" customHeight="1" outlineLevel="1">
      <c r="A142" s="87"/>
      <c r="B142" s="87"/>
      <c r="C142" s="89"/>
      <c r="D142" s="691"/>
      <c r="E142" s="258">
        <v>0.0</v>
      </c>
      <c r="F142" s="93">
        <v>0.0</v>
      </c>
      <c r="G142" s="93">
        <v>0.0</v>
      </c>
      <c r="H142" s="162">
        <v>0.0</v>
      </c>
      <c r="I142" s="158" t="str">
        <f t="shared" si="37"/>
        <v>#DIV/0!</v>
      </c>
      <c r="J142" s="93">
        <f t="shared" si="38"/>
        <v>0</v>
      </c>
      <c r="K142" s="158" t="str">
        <f t="shared" si="39"/>
        <v>#DIV/0!</v>
      </c>
      <c r="L142" s="134"/>
      <c r="M142" s="87"/>
      <c r="N142" s="239"/>
      <c r="O142" s="243"/>
    </row>
    <row r="143" ht="38.25" hidden="1" customHeight="1" outlineLevel="1">
      <c r="A143" s="87"/>
      <c r="B143" s="87"/>
      <c r="C143" s="89"/>
      <c r="D143" s="691"/>
      <c r="E143" s="258">
        <v>0.0</v>
      </c>
      <c r="F143" s="93">
        <v>0.0</v>
      </c>
      <c r="G143" s="93">
        <v>0.0</v>
      </c>
      <c r="H143" s="162">
        <v>0.0</v>
      </c>
      <c r="I143" s="158" t="str">
        <f t="shared" si="37"/>
        <v>#DIV/0!</v>
      </c>
      <c r="J143" s="93">
        <f t="shared" si="38"/>
        <v>0</v>
      </c>
      <c r="K143" s="158" t="str">
        <f t="shared" si="39"/>
        <v>#DIV/0!</v>
      </c>
      <c r="L143" s="134"/>
      <c r="M143" s="87"/>
      <c r="N143" s="239"/>
      <c r="O143" s="243"/>
    </row>
    <row r="144" ht="43.5" hidden="1" customHeight="1" outlineLevel="1">
      <c r="A144" s="87"/>
      <c r="B144" s="87"/>
      <c r="C144" s="89"/>
      <c r="D144" s="691"/>
      <c r="E144" s="258">
        <v>0.0</v>
      </c>
      <c r="F144" s="93">
        <v>0.0</v>
      </c>
      <c r="G144" s="93">
        <v>0.0</v>
      </c>
      <c r="H144" s="162">
        <v>0.0</v>
      </c>
      <c r="I144" s="158" t="str">
        <f t="shared" si="37"/>
        <v>#DIV/0!</v>
      </c>
      <c r="J144" s="93">
        <f t="shared" si="38"/>
        <v>0</v>
      </c>
      <c r="K144" s="158" t="str">
        <f t="shared" si="39"/>
        <v>#DIV/0!</v>
      </c>
      <c r="L144" s="134"/>
      <c r="M144" s="87"/>
      <c r="N144" s="239"/>
      <c r="O144" s="243"/>
    </row>
    <row r="145" ht="25.5" hidden="1" customHeight="1" outlineLevel="1">
      <c r="A145" s="87"/>
      <c r="B145" s="87"/>
      <c r="C145" s="89"/>
      <c r="D145" s="691"/>
      <c r="E145" s="258">
        <v>0.0</v>
      </c>
      <c r="F145" s="93">
        <v>0.0</v>
      </c>
      <c r="G145" s="93">
        <v>0.0</v>
      </c>
      <c r="H145" s="162">
        <v>0.0</v>
      </c>
      <c r="I145" s="158" t="str">
        <f t="shared" si="37"/>
        <v>#DIV/0!</v>
      </c>
      <c r="J145" s="93">
        <f t="shared" si="38"/>
        <v>0</v>
      </c>
      <c r="K145" s="158" t="str">
        <f t="shared" si="39"/>
        <v>#DIV/0!</v>
      </c>
      <c r="L145" s="134"/>
      <c r="M145" s="87"/>
      <c r="N145" s="239"/>
      <c r="O145" s="243">
        <v>289.0</v>
      </c>
    </row>
    <row r="146" ht="25.5" customHeight="1">
      <c r="A146" s="87"/>
      <c r="B146" s="116" t="str">
        <f>"Меню праздника "&amp;COUNTA(C147:C161)&amp;" шт"</f>
        <v>Меню праздника 14 шт</v>
      </c>
      <c r="C146" s="116"/>
      <c r="D146" s="691"/>
      <c r="E146" s="258"/>
      <c r="F146" s="753"/>
      <c r="G146" s="753"/>
      <c r="H146" s="162"/>
      <c r="I146" s="158"/>
      <c r="J146" s="87"/>
      <c r="K146" s="158"/>
      <c r="L146" s="134"/>
      <c r="M146" s="87"/>
      <c r="N146" s="86"/>
      <c r="O146" s="687"/>
    </row>
    <row r="147" ht="25.5" customHeight="1" outlineLevel="1">
      <c r="A147" s="87">
        <v>1.0</v>
      </c>
      <c r="B147" s="68"/>
      <c r="C147" s="116" t="s">
        <v>450</v>
      </c>
      <c r="D147" s="691"/>
      <c r="E147" s="258">
        <v>30.0</v>
      </c>
      <c r="F147" s="93">
        <v>79.0</v>
      </c>
      <c r="G147" s="93">
        <v>79.0</v>
      </c>
      <c r="H147" s="162">
        <v>20.38</v>
      </c>
      <c r="I147" s="238">
        <f t="shared" ref="I147:I160" si="40">H147/G147</f>
        <v>0.2579746835</v>
      </c>
      <c r="J147" s="93">
        <f t="shared" ref="J147:J160" si="41">G147-H147</f>
        <v>58.62</v>
      </c>
      <c r="K147" s="158">
        <f t="shared" ref="K147:K160" si="42">O147/H147-1</f>
        <v>2.876349362</v>
      </c>
      <c r="L147" s="134"/>
      <c r="M147" s="87"/>
      <c r="N147" s="87"/>
      <c r="O147" s="93">
        <v>79.0</v>
      </c>
    </row>
    <row r="148" ht="25.5" customHeight="1" outlineLevel="1">
      <c r="A148" s="87">
        <v>2.0</v>
      </c>
      <c r="B148" s="89"/>
      <c r="C148" s="89" t="s">
        <v>1170</v>
      </c>
      <c r="D148" s="691"/>
      <c r="E148" s="258">
        <v>40.0</v>
      </c>
      <c r="F148" s="93">
        <v>79.0</v>
      </c>
      <c r="G148" s="93">
        <v>79.0</v>
      </c>
      <c r="H148" s="692">
        <v>20.2</v>
      </c>
      <c r="I148" s="238">
        <f t="shared" si="40"/>
        <v>0.2556962025</v>
      </c>
      <c r="J148" s="93">
        <f t="shared" si="41"/>
        <v>58.8</v>
      </c>
      <c r="K148" s="158">
        <f t="shared" si="42"/>
        <v>2.910891089</v>
      </c>
      <c r="L148" s="134"/>
      <c r="M148" s="87"/>
      <c r="N148" s="87"/>
      <c r="O148" s="93">
        <v>79.0</v>
      </c>
    </row>
    <row r="149" ht="25.5" customHeight="1" outlineLevel="1">
      <c r="A149" s="87">
        <v>3.0</v>
      </c>
      <c r="B149" s="89"/>
      <c r="C149" s="89" t="s">
        <v>451</v>
      </c>
      <c r="D149" s="691"/>
      <c r="E149" s="258">
        <v>40.0</v>
      </c>
      <c r="F149" s="93">
        <v>59.0</v>
      </c>
      <c r="G149" s="93">
        <v>59.0</v>
      </c>
      <c r="H149" s="692">
        <v>11.3</v>
      </c>
      <c r="I149" s="238">
        <f t="shared" si="40"/>
        <v>0.1915254237</v>
      </c>
      <c r="J149" s="93">
        <f t="shared" si="41"/>
        <v>47.7</v>
      </c>
      <c r="K149" s="158">
        <f t="shared" si="42"/>
        <v>4.221238938</v>
      </c>
      <c r="L149" s="134"/>
      <c r="M149" s="87"/>
      <c r="N149" s="87"/>
      <c r="O149" s="93">
        <v>59.0</v>
      </c>
    </row>
    <row r="150" ht="25.5" customHeight="1" outlineLevel="1">
      <c r="A150" s="87">
        <v>5.0</v>
      </c>
      <c r="B150" s="89"/>
      <c r="C150" s="89" t="s">
        <v>452</v>
      </c>
      <c r="D150" s="691"/>
      <c r="E150" s="258">
        <v>50.0</v>
      </c>
      <c r="F150" s="93">
        <v>129.0</v>
      </c>
      <c r="G150" s="93">
        <v>129.0</v>
      </c>
      <c r="H150" s="692">
        <v>40.72</v>
      </c>
      <c r="I150" s="238">
        <f t="shared" si="40"/>
        <v>0.3156589147</v>
      </c>
      <c r="J150" s="93">
        <f t="shared" si="41"/>
        <v>88.28</v>
      </c>
      <c r="K150" s="158">
        <f t="shared" si="42"/>
        <v>2.167976424</v>
      </c>
      <c r="L150" s="134"/>
      <c r="M150" s="87"/>
      <c r="N150" s="87"/>
      <c r="O150" s="93">
        <v>129.0</v>
      </c>
    </row>
    <row r="151" ht="32.25" customHeight="1" outlineLevel="1">
      <c r="A151" s="87">
        <v>6.0</v>
      </c>
      <c r="B151" s="89"/>
      <c r="C151" s="89" t="s">
        <v>453</v>
      </c>
      <c r="D151" s="691"/>
      <c r="E151" s="258">
        <v>40.0</v>
      </c>
      <c r="F151" s="93">
        <v>59.0</v>
      </c>
      <c r="G151" s="93">
        <v>59.0</v>
      </c>
      <c r="H151" s="692">
        <v>13.09</v>
      </c>
      <c r="I151" s="238">
        <f t="shared" si="40"/>
        <v>0.2218644068</v>
      </c>
      <c r="J151" s="93">
        <f t="shared" si="41"/>
        <v>45.91</v>
      </c>
      <c r="K151" s="158">
        <f t="shared" si="42"/>
        <v>3.507257448</v>
      </c>
      <c r="L151" s="134"/>
      <c r="M151" s="87"/>
      <c r="N151" s="87"/>
      <c r="O151" s="93">
        <v>59.0</v>
      </c>
    </row>
    <row r="152" ht="32.25" customHeight="1" outlineLevel="1">
      <c r="A152" s="87">
        <v>7.0</v>
      </c>
      <c r="B152" s="89"/>
      <c r="C152" s="89" t="s">
        <v>454</v>
      </c>
      <c r="D152" s="691"/>
      <c r="E152" s="258">
        <v>30.0</v>
      </c>
      <c r="F152" s="93">
        <v>99.0</v>
      </c>
      <c r="G152" s="93">
        <v>99.0</v>
      </c>
      <c r="H152" s="692">
        <v>30.0</v>
      </c>
      <c r="I152" s="238">
        <f t="shared" si="40"/>
        <v>0.303030303</v>
      </c>
      <c r="J152" s="93">
        <f t="shared" si="41"/>
        <v>69</v>
      </c>
      <c r="K152" s="158">
        <f t="shared" si="42"/>
        <v>2.3</v>
      </c>
      <c r="L152" s="134"/>
      <c r="M152" s="87"/>
      <c r="N152" s="87"/>
      <c r="O152" s="93">
        <v>99.0</v>
      </c>
    </row>
    <row r="153" ht="31.5" customHeight="1" outlineLevel="1">
      <c r="A153" s="87">
        <v>8.0</v>
      </c>
      <c r="B153" s="89"/>
      <c r="C153" s="89" t="s">
        <v>455</v>
      </c>
      <c r="D153" s="691"/>
      <c r="E153" s="258">
        <v>30.0</v>
      </c>
      <c r="F153" s="93">
        <v>89.0</v>
      </c>
      <c r="G153" s="93">
        <v>89.0</v>
      </c>
      <c r="H153" s="692">
        <v>20.65</v>
      </c>
      <c r="I153" s="238">
        <f t="shared" si="40"/>
        <v>0.2320224719</v>
      </c>
      <c r="J153" s="93">
        <f t="shared" si="41"/>
        <v>68.35</v>
      </c>
      <c r="K153" s="158">
        <f t="shared" si="42"/>
        <v>3.309927361</v>
      </c>
      <c r="L153" s="134"/>
      <c r="M153" s="87"/>
      <c r="N153" s="87"/>
      <c r="O153" s="93">
        <v>89.0</v>
      </c>
    </row>
    <row r="154" ht="20.25" customHeight="1" outlineLevel="1">
      <c r="A154" s="87">
        <v>9.0</v>
      </c>
      <c r="B154" s="89"/>
      <c r="C154" s="89" t="s">
        <v>456</v>
      </c>
      <c r="D154" s="691"/>
      <c r="E154" s="258">
        <v>40.0</v>
      </c>
      <c r="F154" s="93">
        <v>49.0</v>
      </c>
      <c r="G154" s="93">
        <v>49.0</v>
      </c>
      <c r="H154" s="692">
        <v>12.66</v>
      </c>
      <c r="I154" s="238">
        <f t="shared" si="40"/>
        <v>0.2583673469</v>
      </c>
      <c r="J154" s="93">
        <f t="shared" si="41"/>
        <v>36.34</v>
      </c>
      <c r="K154" s="158">
        <f t="shared" si="42"/>
        <v>2.870458136</v>
      </c>
      <c r="L154" s="134"/>
      <c r="M154" s="87"/>
      <c r="N154" s="87"/>
      <c r="O154" s="93">
        <v>49.0</v>
      </c>
    </row>
    <row r="155" ht="27.75" customHeight="1" outlineLevel="1">
      <c r="A155" s="754">
        <v>10.0</v>
      </c>
      <c r="B155" s="89"/>
      <c r="C155" s="89" t="s">
        <v>457</v>
      </c>
      <c r="D155" s="691"/>
      <c r="E155" s="258">
        <v>50.0</v>
      </c>
      <c r="F155" s="93">
        <v>89.0</v>
      </c>
      <c r="G155" s="93">
        <v>89.0</v>
      </c>
      <c r="H155" s="692">
        <v>24.75</v>
      </c>
      <c r="I155" s="238">
        <f t="shared" si="40"/>
        <v>0.2780898876</v>
      </c>
      <c r="J155" s="93">
        <f t="shared" si="41"/>
        <v>64.25</v>
      </c>
      <c r="K155" s="158">
        <f t="shared" si="42"/>
        <v>2.595959596</v>
      </c>
      <c r="L155" s="134"/>
      <c r="M155" s="87"/>
      <c r="N155" s="87"/>
      <c r="O155" s="93">
        <v>89.0</v>
      </c>
    </row>
    <row r="156" ht="32.25" customHeight="1" outlineLevel="1">
      <c r="A156" s="754">
        <v>11.0</v>
      </c>
      <c r="B156" s="89"/>
      <c r="C156" s="89" t="s">
        <v>458</v>
      </c>
      <c r="D156" s="691"/>
      <c r="E156" s="258">
        <v>50.0</v>
      </c>
      <c r="F156" s="93">
        <v>179.0</v>
      </c>
      <c r="G156" s="93">
        <v>179.0</v>
      </c>
      <c r="H156" s="692">
        <v>55.9</v>
      </c>
      <c r="I156" s="238">
        <f t="shared" si="40"/>
        <v>0.3122905028</v>
      </c>
      <c r="J156" s="93">
        <f t="shared" si="41"/>
        <v>123.1</v>
      </c>
      <c r="K156" s="158">
        <f t="shared" si="42"/>
        <v>2.202146691</v>
      </c>
      <c r="L156" s="134"/>
      <c r="M156" s="87"/>
      <c r="N156" s="87"/>
      <c r="O156" s="93">
        <v>179.0</v>
      </c>
    </row>
    <row r="157" ht="33.75" customHeight="1" outlineLevel="1">
      <c r="A157" s="87">
        <v>12.0</v>
      </c>
      <c r="B157" s="89"/>
      <c r="C157" s="89" t="s">
        <v>459</v>
      </c>
      <c r="D157" s="691"/>
      <c r="E157" s="258">
        <v>50.0</v>
      </c>
      <c r="F157" s="93">
        <v>159.0</v>
      </c>
      <c r="G157" s="93">
        <v>159.0</v>
      </c>
      <c r="H157" s="692">
        <v>43.04</v>
      </c>
      <c r="I157" s="238">
        <f t="shared" si="40"/>
        <v>0.2706918239</v>
      </c>
      <c r="J157" s="93">
        <f t="shared" si="41"/>
        <v>115.96</v>
      </c>
      <c r="K157" s="158">
        <f t="shared" si="42"/>
        <v>2.694237918</v>
      </c>
      <c r="L157" s="134"/>
      <c r="M157" s="87"/>
      <c r="N157" s="87"/>
      <c r="O157" s="93">
        <v>159.0</v>
      </c>
    </row>
    <row r="158" ht="24.0" customHeight="1" outlineLevel="1">
      <c r="A158" s="87">
        <v>13.0</v>
      </c>
      <c r="B158" s="89"/>
      <c r="C158" s="89" t="s">
        <v>460</v>
      </c>
      <c r="D158" s="691"/>
      <c r="E158" s="258">
        <v>50.0</v>
      </c>
      <c r="F158" s="93">
        <v>169.0</v>
      </c>
      <c r="G158" s="93">
        <v>169.0</v>
      </c>
      <c r="H158" s="692">
        <v>47.22</v>
      </c>
      <c r="I158" s="238">
        <f t="shared" si="40"/>
        <v>0.279408284</v>
      </c>
      <c r="J158" s="93">
        <f t="shared" si="41"/>
        <v>121.78</v>
      </c>
      <c r="K158" s="158">
        <f t="shared" si="42"/>
        <v>2.578991953</v>
      </c>
      <c r="L158" s="134"/>
      <c r="M158" s="87"/>
      <c r="N158" s="87"/>
      <c r="O158" s="93">
        <v>169.0</v>
      </c>
    </row>
    <row r="159" ht="25.5" customHeight="1" outlineLevel="1">
      <c r="A159" s="754">
        <v>14.0</v>
      </c>
      <c r="B159" s="89"/>
      <c r="C159" s="689" t="s">
        <v>461</v>
      </c>
      <c r="D159" s="690"/>
      <c r="E159" s="265">
        <v>50.0</v>
      </c>
      <c r="F159" s="243">
        <v>99.0</v>
      </c>
      <c r="G159" s="243">
        <v>99.0</v>
      </c>
      <c r="H159" s="275">
        <v>22.77</v>
      </c>
      <c r="I159" s="238">
        <f t="shared" si="40"/>
        <v>0.23</v>
      </c>
      <c r="J159" s="93">
        <f t="shared" si="41"/>
        <v>76.23</v>
      </c>
      <c r="K159" s="158">
        <f t="shared" si="42"/>
        <v>3.347826087</v>
      </c>
      <c r="L159" s="247"/>
      <c r="M159" s="239"/>
      <c r="N159" s="239"/>
      <c r="O159" s="243">
        <v>99.0</v>
      </c>
    </row>
    <row r="160" ht="25.5" customHeight="1" outlineLevel="1">
      <c r="A160" s="754">
        <v>15.0</v>
      </c>
      <c r="B160" s="89"/>
      <c r="C160" s="689" t="s">
        <v>462</v>
      </c>
      <c r="D160" s="690"/>
      <c r="E160" s="265">
        <v>50.0</v>
      </c>
      <c r="F160" s="243">
        <v>99.0</v>
      </c>
      <c r="G160" s="243">
        <v>99.0</v>
      </c>
      <c r="H160" s="275">
        <v>18.5</v>
      </c>
      <c r="I160" s="238">
        <f t="shared" si="40"/>
        <v>0.1868686869</v>
      </c>
      <c r="J160" s="93">
        <f t="shared" si="41"/>
        <v>80.5</v>
      </c>
      <c r="K160" s="158">
        <f t="shared" si="42"/>
        <v>4.351351351</v>
      </c>
      <c r="L160" s="247"/>
      <c r="M160" s="239"/>
      <c r="N160" s="239"/>
      <c r="O160" s="243">
        <v>99.0</v>
      </c>
    </row>
    <row r="161" ht="25.5" customHeight="1" outlineLevel="1">
      <c r="A161" s="239"/>
      <c r="B161" s="89"/>
      <c r="C161" s="689"/>
      <c r="D161" s="690"/>
      <c r="E161" s="265"/>
      <c r="F161" s="243"/>
      <c r="G161" s="243"/>
      <c r="H161" s="275"/>
      <c r="I161" s="238"/>
      <c r="J161" s="239"/>
      <c r="K161" s="247"/>
      <c r="L161" s="247"/>
      <c r="M161" s="239"/>
      <c r="N161" s="239"/>
      <c r="O161" s="243"/>
    </row>
    <row r="162" ht="25.5" customHeight="1">
      <c r="A162" s="239"/>
      <c r="B162" s="89"/>
      <c r="C162" s="740"/>
      <c r="D162" s="741"/>
      <c r="E162" s="265"/>
      <c r="F162" s="243"/>
      <c r="G162" s="243"/>
      <c r="H162" s="275"/>
      <c r="I162" s="247"/>
      <c r="J162" s="239"/>
      <c r="K162" s="247"/>
      <c r="L162" s="247"/>
      <c r="M162" s="239"/>
      <c r="N162" s="243"/>
      <c r="O162" s="243"/>
    </row>
    <row r="163" ht="25.5" customHeight="1">
      <c r="A163" s="239"/>
      <c r="B163" s="89"/>
      <c r="C163" s="740"/>
      <c r="D163" s="741"/>
      <c r="E163" s="265"/>
      <c r="F163" s="243"/>
      <c r="G163" s="243"/>
      <c r="H163" s="275"/>
      <c r="I163" s="247"/>
      <c r="J163" s="239"/>
      <c r="K163" s="247"/>
      <c r="L163" s="247"/>
      <c r="M163" s="239"/>
      <c r="N163" s="243"/>
      <c r="O163" s="243"/>
    </row>
    <row r="164" ht="25.5" customHeight="1">
      <c r="A164" s="239"/>
      <c r="B164" s="89"/>
      <c r="C164" s="740"/>
      <c r="D164" s="741"/>
      <c r="E164" s="265"/>
      <c r="F164" s="243"/>
      <c r="G164" s="243"/>
      <c r="H164" s="275"/>
      <c r="I164" s="247"/>
      <c r="J164" s="239"/>
      <c r="K164" s="247"/>
      <c r="L164" s="247"/>
      <c r="M164" s="239"/>
      <c r="N164" s="243"/>
      <c r="O164" s="243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conditionalFormatting sqref="I1:I164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M1:M164 N1:N161">
    <cfRule type="containsText" dxfId="0" priority="2" operator="containsText" text="нет">
      <formula>NOT(ISERROR(SEARCH(("нет"),(M1))))</formula>
    </cfRule>
  </conditionalFormatting>
  <conditionalFormatting sqref="F1:G1 F3:G82 L4:L83 L101:L158 N1:O1 N3:N79 O3:O82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M3:N161 M162:M164">
      <formula1>"да,нет"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36.0"/>
    <col customWidth="1" min="2" max="6" width="14.43"/>
  </cols>
  <sheetData>
    <row r="1" ht="15.0" customHeight="1">
      <c r="A1" s="248" t="s">
        <v>463</v>
      </c>
      <c r="B1" s="248" t="s">
        <v>464</v>
      </c>
      <c r="C1" s="248" t="s">
        <v>96</v>
      </c>
      <c r="D1" s="755" t="s">
        <v>465</v>
      </c>
      <c r="E1" s="756" t="s">
        <v>99</v>
      </c>
      <c r="F1" s="757" t="s">
        <v>100</v>
      </c>
      <c r="G1" s="758" t="s">
        <v>466</v>
      </c>
      <c r="H1" s="758" t="s">
        <v>102</v>
      </c>
      <c r="I1" s="759"/>
      <c r="J1" s="759"/>
      <c r="K1" s="759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</row>
    <row r="2" ht="15.0" customHeight="1">
      <c r="A2" s="590" t="s">
        <v>467</v>
      </c>
      <c r="B2" s="761"/>
      <c r="C2" s="761"/>
      <c r="D2" s="761"/>
      <c r="E2" s="761"/>
      <c r="F2" s="762">
        <f>AVERAGE(F3:F11)</f>
        <v>0.2415368139</v>
      </c>
      <c r="G2" s="759"/>
      <c r="H2" s="759"/>
      <c r="I2" s="759"/>
      <c r="J2" s="759"/>
      <c r="K2" s="759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  <c r="Y2" s="760"/>
      <c r="Z2" s="760"/>
      <c r="AA2" s="760"/>
      <c r="AB2" s="760"/>
      <c r="AC2" s="760"/>
    </row>
    <row r="3" ht="15.0" customHeight="1">
      <c r="A3" s="259" t="s">
        <v>1288</v>
      </c>
      <c r="B3" s="763"/>
      <c r="C3" s="764" t="s">
        <v>1289</v>
      </c>
      <c r="D3" s="765">
        <v>279.0</v>
      </c>
      <c r="E3" s="766">
        <v>58.5</v>
      </c>
      <c r="F3" s="767">
        <f t="shared" ref="F3:F12" si="1">E3/D3</f>
        <v>0.2096774194</v>
      </c>
      <c r="G3" s="765">
        <f t="shared" ref="G3:G12" si="2">D3-E3</f>
        <v>220.5</v>
      </c>
      <c r="H3" s="767">
        <f t="shared" ref="H3:H12" si="3">D3/E3-1</f>
        <v>3.769230769</v>
      </c>
      <c r="I3" s="759"/>
      <c r="J3" s="759"/>
      <c r="K3" s="759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</row>
    <row r="4" ht="15.0" customHeight="1">
      <c r="A4" s="259" t="s">
        <v>1290</v>
      </c>
      <c r="B4" s="763"/>
      <c r="C4" s="764" t="s">
        <v>1291</v>
      </c>
      <c r="D4" s="765">
        <v>459.0</v>
      </c>
      <c r="E4" s="766">
        <v>110.32</v>
      </c>
      <c r="F4" s="768">
        <f t="shared" si="1"/>
        <v>0.2403485839</v>
      </c>
      <c r="G4" s="769">
        <f t="shared" si="2"/>
        <v>348.68</v>
      </c>
      <c r="H4" s="768">
        <f t="shared" si="3"/>
        <v>3.16062364</v>
      </c>
      <c r="I4" s="759"/>
      <c r="J4" s="759"/>
      <c r="K4" s="759"/>
      <c r="L4" s="760"/>
      <c r="M4" s="760"/>
      <c r="N4" s="760"/>
      <c r="O4" s="760"/>
      <c r="P4" s="760"/>
      <c r="Q4" s="760"/>
      <c r="R4" s="760"/>
      <c r="S4" s="760"/>
      <c r="T4" s="760"/>
      <c r="U4" s="760"/>
      <c r="V4" s="760"/>
      <c r="W4" s="760"/>
      <c r="X4" s="760"/>
      <c r="Y4" s="760"/>
      <c r="Z4" s="760"/>
      <c r="AA4" s="760"/>
      <c r="AB4" s="760"/>
      <c r="AC4" s="760"/>
    </row>
    <row r="5" ht="15.0" customHeight="1">
      <c r="A5" s="259" t="s">
        <v>1292</v>
      </c>
      <c r="B5" s="770"/>
      <c r="C5" s="764" t="s">
        <v>1293</v>
      </c>
      <c r="D5" s="771">
        <v>339.0</v>
      </c>
      <c r="E5" s="766">
        <v>84.57</v>
      </c>
      <c r="F5" s="768">
        <f t="shared" si="1"/>
        <v>0.2494690265</v>
      </c>
      <c r="G5" s="769">
        <f t="shared" si="2"/>
        <v>254.43</v>
      </c>
      <c r="H5" s="768">
        <f t="shared" si="3"/>
        <v>3.008513657</v>
      </c>
      <c r="I5" s="759"/>
      <c r="J5" s="759"/>
      <c r="K5" s="759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  <c r="Y5" s="760"/>
      <c r="Z5" s="760"/>
      <c r="AA5" s="760"/>
      <c r="AB5" s="760"/>
      <c r="AC5" s="760"/>
    </row>
    <row r="6" ht="15.0" customHeight="1">
      <c r="A6" s="259" t="s">
        <v>1294</v>
      </c>
      <c r="B6" s="770"/>
      <c r="C6" s="764" t="s">
        <v>1293</v>
      </c>
      <c r="D6" s="771">
        <v>339.0</v>
      </c>
      <c r="E6" s="766">
        <v>91.56</v>
      </c>
      <c r="F6" s="768">
        <f t="shared" si="1"/>
        <v>0.2700884956</v>
      </c>
      <c r="G6" s="769">
        <f t="shared" si="2"/>
        <v>247.44</v>
      </c>
      <c r="H6" s="768">
        <f t="shared" si="3"/>
        <v>2.70249017</v>
      </c>
      <c r="I6" s="759"/>
      <c r="J6" s="759"/>
      <c r="K6" s="759"/>
      <c r="L6" s="760"/>
      <c r="M6" s="760"/>
      <c r="N6" s="760"/>
      <c r="O6" s="760"/>
      <c r="P6" s="760"/>
      <c r="Q6" s="760"/>
      <c r="R6" s="760"/>
      <c r="S6" s="760"/>
      <c r="T6" s="760"/>
      <c r="U6" s="760"/>
      <c r="V6" s="760"/>
      <c r="W6" s="760"/>
      <c r="X6" s="760"/>
      <c r="Y6" s="760"/>
      <c r="Z6" s="760"/>
      <c r="AA6" s="760"/>
      <c r="AB6" s="760"/>
      <c r="AC6" s="760"/>
    </row>
    <row r="7" ht="15.0" customHeight="1">
      <c r="A7" s="259" t="s">
        <v>1295</v>
      </c>
      <c r="B7" s="770"/>
      <c r="C7" s="764" t="s">
        <v>1296</v>
      </c>
      <c r="D7" s="769">
        <v>449.0</v>
      </c>
      <c r="E7" s="766">
        <v>82.78</v>
      </c>
      <c r="F7" s="768">
        <f t="shared" si="1"/>
        <v>0.1843652561</v>
      </c>
      <c r="G7" s="769">
        <f t="shared" si="2"/>
        <v>366.22</v>
      </c>
      <c r="H7" s="768">
        <f t="shared" si="3"/>
        <v>4.424015463</v>
      </c>
      <c r="I7" s="759"/>
      <c r="J7" s="759"/>
      <c r="K7" s="759"/>
      <c r="L7" s="760"/>
      <c r="M7" s="760"/>
      <c r="N7" s="760"/>
      <c r="O7" s="760"/>
      <c r="P7" s="760"/>
      <c r="Q7" s="760"/>
      <c r="R7" s="760"/>
      <c r="S7" s="760"/>
      <c r="T7" s="760"/>
      <c r="U7" s="760"/>
      <c r="V7" s="760"/>
      <c r="W7" s="760"/>
      <c r="X7" s="760"/>
      <c r="Y7" s="760"/>
      <c r="Z7" s="760"/>
      <c r="AA7" s="760"/>
      <c r="AB7" s="760"/>
      <c r="AC7" s="760"/>
    </row>
    <row r="8" ht="15.0" customHeight="1">
      <c r="A8" s="261" t="s">
        <v>1297</v>
      </c>
      <c r="B8" s="763"/>
      <c r="C8" s="764" t="s">
        <v>1298</v>
      </c>
      <c r="D8" s="765">
        <v>279.0</v>
      </c>
      <c r="E8" s="766">
        <v>84.57</v>
      </c>
      <c r="F8" s="768">
        <f t="shared" si="1"/>
        <v>0.3031182796</v>
      </c>
      <c r="G8" s="769">
        <f t="shared" si="2"/>
        <v>194.43</v>
      </c>
      <c r="H8" s="768">
        <f t="shared" si="3"/>
        <v>2.299042214</v>
      </c>
      <c r="I8" s="759"/>
      <c r="J8" s="759"/>
      <c r="K8" s="759"/>
      <c r="L8" s="760"/>
      <c r="M8" s="760"/>
      <c r="N8" s="760"/>
      <c r="O8" s="760"/>
      <c r="P8" s="760"/>
      <c r="Q8" s="760"/>
      <c r="R8" s="760"/>
      <c r="S8" s="760"/>
      <c r="T8" s="760"/>
      <c r="U8" s="760"/>
      <c r="V8" s="760"/>
      <c r="W8" s="760"/>
      <c r="X8" s="760"/>
      <c r="Y8" s="760"/>
      <c r="Z8" s="760"/>
      <c r="AA8" s="760"/>
      <c r="AB8" s="760"/>
      <c r="AC8" s="760"/>
    </row>
    <row r="9" ht="15.0" customHeight="1">
      <c r="A9" s="261" t="s">
        <v>1299</v>
      </c>
      <c r="B9" s="763"/>
      <c r="C9" s="764">
        <v>200.0</v>
      </c>
      <c r="D9" s="771">
        <v>599.0</v>
      </c>
      <c r="E9" s="772">
        <v>173.56</v>
      </c>
      <c r="F9" s="768">
        <f t="shared" si="1"/>
        <v>0.2897495826</v>
      </c>
      <c r="G9" s="769">
        <f t="shared" si="2"/>
        <v>425.44</v>
      </c>
      <c r="H9" s="768">
        <f t="shared" si="3"/>
        <v>2.45125605</v>
      </c>
      <c r="I9" s="759"/>
      <c r="J9" s="759"/>
      <c r="K9" s="759"/>
      <c r="L9" s="760"/>
      <c r="M9" s="760"/>
      <c r="N9" s="760"/>
      <c r="O9" s="760"/>
      <c r="P9" s="760"/>
      <c r="Q9" s="760"/>
      <c r="R9" s="760"/>
      <c r="S9" s="760"/>
      <c r="T9" s="760"/>
      <c r="U9" s="760"/>
      <c r="V9" s="760"/>
      <c r="W9" s="760"/>
      <c r="X9" s="760"/>
      <c r="Y9" s="760"/>
      <c r="Z9" s="760"/>
      <c r="AA9" s="760"/>
      <c r="AB9" s="760"/>
      <c r="AC9" s="760"/>
    </row>
    <row r="10" ht="15.0" customHeight="1">
      <c r="A10" s="261" t="s">
        <v>173</v>
      </c>
      <c r="B10" s="763"/>
      <c r="C10" s="764">
        <v>230.0</v>
      </c>
      <c r="D10" s="769">
        <v>499.0</v>
      </c>
      <c r="E10" s="773">
        <v>137.58</v>
      </c>
      <c r="F10" s="768">
        <f t="shared" si="1"/>
        <v>0.2757114228</v>
      </c>
      <c r="G10" s="769">
        <f t="shared" si="2"/>
        <v>361.42</v>
      </c>
      <c r="H10" s="768">
        <f t="shared" si="3"/>
        <v>2.626980666</v>
      </c>
      <c r="I10" s="759"/>
      <c r="J10" s="759"/>
      <c r="K10" s="759"/>
      <c r="L10" s="760"/>
      <c r="M10" s="760"/>
      <c r="N10" s="760"/>
      <c r="O10" s="760"/>
      <c r="P10" s="760"/>
      <c r="Q10" s="760"/>
      <c r="R10" s="760"/>
      <c r="S10" s="760"/>
      <c r="T10" s="760"/>
      <c r="U10" s="760"/>
      <c r="V10" s="760"/>
      <c r="W10" s="760"/>
      <c r="X10" s="760"/>
      <c r="Y10" s="760"/>
      <c r="Z10" s="760"/>
      <c r="AA10" s="760"/>
      <c r="AB10" s="760"/>
      <c r="AC10" s="760"/>
    </row>
    <row r="11" ht="15.0" customHeight="1">
      <c r="A11" s="261" t="s">
        <v>1300</v>
      </c>
      <c r="B11" s="267"/>
      <c r="C11" s="764" t="s">
        <v>1301</v>
      </c>
      <c r="D11" s="774">
        <v>399.0</v>
      </c>
      <c r="E11" s="775">
        <v>60.37</v>
      </c>
      <c r="F11" s="768">
        <f t="shared" si="1"/>
        <v>0.1513032581</v>
      </c>
      <c r="G11" s="769">
        <f t="shared" si="2"/>
        <v>338.63</v>
      </c>
      <c r="H11" s="768">
        <f t="shared" si="3"/>
        <v>5.609243001</v>
      </c>
      <c r="I11" s="759"/>
      <c r="J11" s="759"/>
      <c r="K11" s="759"/>
      <c r="L11" s="760"/>
      <c r="M11" s="760"/>
      <c r="N11" s="760"/>
      <c r="O11" s="760"/>
      <c r="P11" s="760"/>
      <c r="Q11" s="760"/>
      <c r="R11" s="760"/>
      <c r="S11" s="760"/>
      <c r="T11" s="760"/>
      <c r="U11" s="760"/>
      <c r="V11" s="760"/>
      <c r="W11" s="760"/>
      <c r="X11" s="760"/>
      <c r="Y11" s="760"/>
      <c r="Z11" s="760"/>
      <c r="AA11" s="760"/>
      <c r="AB11" s="760"/>
      <c r="AC11" s="760"/>
    </row>
    <row r="12" ht="15.0" customHeight="1">
      <c r="A12" s="776" t="s">
        <v>1211</v>
      </c>
      <c r="B12" s="777"/>
      <c r="C12" s="778" t="s">
        <v>1302</v>
      </c>
      <c r="D12" s="779">
        <v>349.0</v>
      </c>
      <c r="E12" s="780">
        <v>81.5</v>
      </c>
      <c r="F12" s="781">
        <f t="shared" si="1"/>
        <v>0.2335243553</v>
      </c>
      <c r="G12" s="782">
        <f t="shared" si="2"/>
        <v>267.5</v>
      </c>
      <c r="H12" s="768">
        <f t="shared" si="3"/>
        <v>3.282208589</v>
      </c>
      <c r="I12" s="759"/>
      <c r="J12" s="759"/>
      <c r="K12" s="759"/>
      <c r="L12" s="760"/>
      <c r="M12" s="760"/>
      <c r="N12" s="760"/>
      <c r="O12" s="760"/>
      <c r="P12" s="760"/>
      <c r="Q12" s="760"/>
      <c r="R12" s="760"/>
      <c r="S12" s="760"/>
      <c r="T12" s="760"/>
      <c r="U12" s="760"/>
      <c r="V12" s="760"/>
      <c r="W12" s="760"/>
      <c r="X12" s="760"/>
      <c r="Y12" s="760"/>
      <c r="Z12" s="760"/>
      <c r="AA12" s="760"/>
      <c r="AB12" s="760"/>
      <c r="AC12" s="760"/>
    </row>
    <row r="13" ht="15.0" customHeight="1">
      <c r="A13" s="590" t="s">
        <v>477</v>
      </c>
      <c r="B13" s="761"/>
      <c r="C13" s="761"/>
      <c r="D13" s="761"/>
      <c r="E13" s="761"/>
      <c r="F13" s="762">
        <f>AVERAGE(F14:F17)</f>
        <v>0.2525415439</v>
      </c>
      <c r="G13" s="783"/>
      <c r="H13" s="768"/>
      <c r="I13" s="759"/>
      <c r="J13" s="759"/>
      <c r="K13" s="759"/>
      <c r="L13" s="760"/>
      <c r="M13" s="760"/>
      <c r="N13" s="760"/>
      <c r="O13" s="760"/>
      <c r="P13" s="760"/>
      <c r="Q13" s="760"/>
      <c r="R13" s="760"/>
      <c r="S13" s="760"/>
      <c r="T13" s="760"/>
      <c r="U13" s="760"/>
      <c r="V13" s="760"/>
      <c r="W13" s="760"/>
      <c r="X13" s="760"/>
      <c r="Y13" s="760"/>
      <c r="Z13" s="760"/>
      <c r="AA13" s="760"/>
      <c r="AB13" s="760"/>
      <c r="AC13" s="760"/>
    </row>
    <row r="14" ht="15.0" customHeight="1">
      <c r="A14" s="261" t="s">
        <v>478</v>
      </c>
      <c r="B14" s="763" t="s">
        <v>1303</v>
      </c>
      <c r="C14" s="764">
        <v>190.0</v>
      </c>
      <c r="D14" s="765">
        <v>499.0</v>
      </c>
      <c r="E14" s="766">
        <v>106.8</v>
      </c>
      <c r="F14" s="768">
        <f t="shared" ref="F14:F17" si="4">E14/D14</f>
        <v>0.2140280561</v>
      </c>
      <c r="G14" s="769">
        <f t="shared" ref="G14:G17" si="5">D14-E14</f>
        <v>392.2</v>
      </c>
      <c r="H14" s="768">
        <f t="shared" ref="H14:H17" si="6">D14/E14-1</f>
        <v>3.672284644</v>
      </c>
      <c r="I14" s="759"/>
      <c r="J14" s="759"/>
      <c r="K14" s="759"/>
      <c r="L14" s="760"/>
      <c r="M14" s="760"/>
      <c r="N14" s="760"/>
      <c r="O14" s="760"/>
      <c r="P14" s="760"/>
      <c r="Q14" s="760"/>
      <c r="R14" s="760"/>
      <c r="S14" s="760"/>
      <c r="T14" s="760"/>
      <c r="U14" s="760"/>
      <c r="V14" s="760"/>
      <c r="W14" s="760"/>
      <c r="X14" s="760"/>
      <c r="Y14" s="760"/>
      <c r="Z14" s="760"/>
      <c r="AA14" s="760"/>
      <c r="AB14" s="760"/>
      <c r="AC14" s="760"/>
    </row>
    <row r="15" ht="15.0" customHeight="1">
      <c r="A15" s="261" t="s">
        <v>188</v>
      </c>
      <c r="B15" s="784"/>
      <c r="C15" s="764">
        <v>210.0</v>
      </c>
      <c r="D15" s="765">
        <v>499.0</v>
      </c>
      <c r="E15" s="766">
        <v>101.63</v>
      </c>
      <c r="F15" s="768">
        <f t="shared" si="4"/>
        <v>0.2036673347</v>
      </c>
      <c r="G15" s="769">
        <f t="shared" si="5"/>
        <v>397.37</v>
      </c>
      <c r="H15" s="768">
        <f t="shared" si="6"/>
        <v>3.909967529</v>
      </c>
      <c r="I15" s="759"/>
      <c r="J15" s="759"/>
      <c r="K15" s="759"/>
      <c r="L15" s="760"/>
      <c r="M15" s="760"/>
      <c r="N15" s="760"/>
      <c r="O15" s="760"/>
      <c r="P15" s="760"/>
      <c r="Q15" s="760"/>
      <c r="R15" s="760"/>
      <c r="S15" s="760"/>
      <c r="T15" s="760"/>
      <c r="U15" s="760"/>
      <c r="V15" s="760"/>
      <c r="W15" s="760"/>
      <c r="X15" s="760"/>
      <c r="Y15" s="760"/>
      <c r="Z15" s="760"/>
      <c r="AA15" s="760"/>
      <c r="AB15" s="760"/>
      <c r="AC15" s="760"/>
    </row>
    <row r="16" ht="15.0" customHeight="1">
      <c r="A16" s="261" t="s">
        <v>479</v>
      </c>
      <c r="B16" s="784"/>
      <c r="C16" s="764" t="s">
        <v>1304</v>
      </c>
      <c r="D16" s="765">
        <v>599.0</v>
      </c>
      <c r="E16" s="766">
        <v>177.29</v>
      </c>
      <c r="F16" s="768">
        <f t="shared" si="4"/>
        <v>0.2959766277</v>
      </c>
      <c r="G16" s="769">
        <f t="shared" si="5"/>
        <v>421.71</v>
      </c>
      <c r="H16" s="768">
        <f t="shared" si="6"/>
        <v>2.378645158</v>
      </c>
      <c r="I16" s="759"/>
      <c r="J16" s="759"/>
      <c r="K16" s="759"/>
      <c r="L16" s="760"/>
      <c r="M16" s="760"/>
      <c r="N16" s="760"/>
      <c r="O16" s="760"/>
      <c r="P16" s="760"/>
      <c r="Q16" s="760"/>
      <c r="R16" s="760"/>
      <c r="S16" s="760"/>
      <c r="T16" s="760"/>
      <c r="U16" s="760"/>
      <c r="V16" s="760"/>
      <c r="W16" s="760"/>
      <c r="X16" s="760"/>
      <c r="Y16" s="760"/>
      <c r="Z16" s="760"/>
      <c r="AA16" s="760"/>
      <c r="AB16" s="760"/>
      <c r="AC16" s="760"/>
    </row>
    <row r="17" ht="15.0" customHeight="1">
      <c r="A17" s="261" t="s">
        <v>177</v>
      </c>
      <c r="B17" s="763"/>
      <c r="C17" s="764" t="s">
        <v>1305</v>
      </c>
      <c r="D17" s="765">
        <v>599.0</v>
      </c>
      <c r="E17" s="785">
        <v>177.6</v>
      </c>
      <c r="F17" s="768">
        <f t="shared" si="4"/>
        <v>0.2964941569</v>
      </c>
      <c r="G17" s="769">
        <f t="shared" si="5"/>
        <v>421.4</v>
      </c>
      <c r="H17" s="768">
        <f t="shared" si="6"/>
        <v>2.372747748</v>
      </c>
      <c r="I17" s="759"/>
      <c r="J17" s="759"/>
      <c r="K17" s="759"/>
      <c r="L17" s="760"/>
      <c r="M17" s="760"/>
      <c r="N17" s="760"/>
      <c r="O17" s="760"/>
      <c r="P17" s="760"/>
      <c r="Q17" s="760"/>
      <c r="R17" s="760"/>
      <c r="S17" s="760"/>
      <c r="T17" s="760"/>
      <c r="U17" s="760"/>
      <c r="V17" s="760"/>
      <c r="W17" s="760"/>
      <c r="X17" s="760"/>
      <c r="Y17" s="760"/>
      <c r="Z17" s="760"/>
      <c r="AA17" s="760"/>
      <c r="AB17" s="760"/>
      <c r="AC17" s="760"/>
    </row>
    <row r="18" ht="15.0" customHeight="1">
      <c r="A18" s="590" t="s">
        <v>480</v>
      </c>
      <c r="B18" s="761"/>
      <c r="C18" s="761"/>
      <c r="D18" s="761"/>
      <c r="E18" s="761"/>
      <c r="F18" s="762">
        <f>AVERAGE(F19:F31)</f>
        <v>0.281532962</v>
      </c>
      <c r="G18" s="783"/>
      <c r="H18" s="768"/>
      <c r="I18" s="759"/>
      <c r="J18" s="759"/>
      <c r="K18" s="759"/>
      <c r="L18" s="760"/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60"/>
      <c r="AA18" s="760"/>
      <c r="AB18" s="760"/>
      <c r="AC18" s="760"/>
    </row>
    <row r="19" ht="15.0" customHeight="1">
      <c r="A19" s="259" t="s">
        <v>1306</v>
      </c>
      <c r="B19" s="770"/>
      <c r="C19" s="764">
        <v>265.0</v>
      </c>
      <c r="D19" s="765">
        <v>459.0</v>
      </c>
      <c r="E19" s="766">
        <v>112.97</v>
      </c>
      <c r="F19" s="768">
        <f t="shared" ref="F19:F24" si="7">E19/D19</f>
        <v>0.2461220044</v>
      </c>
      <c r="G19" s="769">
        <f t="shared" ref="G19:G24" si="8">D19-E19</f>
        <v>346.03</v>
      </c>
      <c r="H19" s="768">
        <f t="shared" ref="H19:H24" si="9">D19/E19-1</f>
        <v>3.063025582</v>
      </c>
      <c r="I19" s="759"/>
      <c r="J19" s="759"/>
      <c r="K19" s="759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760"/>
      <c r="AB19" s="760"/>
      <c r="AC19" s="760"/>
    </row>
    <row r="20" ht="15.0" customHeight="1">
      <c r="A20" s="259" t="s">
        <v>1307</v>
      </c>
      <c r="B20" s="770"/>
      <c r="C20" s="764" t="s">
        <v>1308</v>
      </c>
      <c r="D20" s="765">
        <v>469.0</v>
      </c>
      <c r="E20" s="766">
        <v>111.7</v>
      </c>
      <c r="F20" s="768">
        <f t="shared" si="7"/>
        <v>0.2381663113</v>
      </c>
      <c r="G20" s="769">
        <f t="shared" si="8"/>
        <v>357.3</v>
      </c>
      <c r="H20" s="768">
        <f t="shared" si="9"/>
        <v>3.198746643</v>
      </c>
      <c r="I20" s="759"/>
      <c r="J20" s="759"/>
      <c r="K20" s="759"/>
      <c r="L20" s="760"/>
      <c r="M20" s="760"/>
      <c r="N20" s="760"/>
      <c r="O20" s="760"/>
      <c r="P20" s="760"/>
      <c r="Q20" s="760"/>
      <c r="R20" s="760"/>
      <c r="S20" s="760"/>
      <c r="T20" s="760"/>
      <c r="U20" s="760"/>
      <c r="V20" s="760"/>
      <c r="W20" s="760"/>
      <c r="X20" s="760"/>
      <c r="Y20" s="760"/>
      <c r="Z20" s="760"/>
      <c r="AA20" s="760"/>
      <c r="AB20" s="760"/>
      <c r="AC20" s="760"/>
    </row>
    <row r="21" ht="15.0" customHeight="1">
      <c r="A21" s="259" t="s">
        <v>283</v>
      </c>
      <c r="B21" s="770"/>
      <c r="C21" s="764">
        <v>275.0</v>
      </c>
      <c r="D21" s="765">
        <v>599.0</v>
      </c>
      <c r="E21" s="766">
        <v>175.47</v>
      </c>
      <c r="F21" s="768">
        <f t="shared" si="7"/>
        <v>0.2929382304</v>
      </c>
      <c r="G21" s="769">
        <f t="shared" si="8"/>
        <v>423.53</v>
      </c>
      <c r="H21" s="768">
        <f t="shared" si="9"/>
        <v>2.41368895</v>
      </c>
      <c r="I21" s="759"/>
      <c r="J21" s="759"/>
      <c r="K21" s="759"/>
      <c r="L21" s="760"/>
      <c r="M21" s="760"/>
      <c r="N21" s="760"/>
      <c r="O21" s="760"/>
      <c r="P21" s="760"/>
      <c r="Q21" s="760"/>
      <c r="R21" s="760"/>
      <c r="S21" s="760"/>
      <c r="T21" s="760"/>
      <c r="U21" s="760"/>
      <c r="V21" s="760"/>
      <c r="W21" s="760"/>
      <c r="X21" s="760"/>
      <c r="Y21" s="760"/>
      <c r="Z21" s="760"/>
      <c r="AA21" s="760"/>
      <c r="AB21" s="760"/>
      <c r="AC21" s="760"/>
    </row>
    <row r="22" ht="15.0" customHeight="1">
      <c r="A22" s="259" t="s">
        <v>314</v>
      </c>
      <c r="B22" s="763" t="s">
        <v>315</v>
      </c>
      <c r="C22" s="786">
        <v>310.0</v>
      </c>
      <c r="D22" s="765">
        <v>489.0</v>
      </c>
      <c r="E22" s="766">
        <v>138.7</v>
      </c>
      <c r="F22" s="768">
        <f t="shared" si="7"/>
        <v>0.2836400818</v>
      </c>
      <c r="G22" s="769">
        <f t="shared" si="8"/>
        <v>350.3</v>
      </c>
      <c r="H22" s="768">
        <f t="shared" si="9"/>
        <v>2.525594809</v>
      </c>
      <c r="I22" s="759"/>
      <c r="J22" s="759"/>
      <c r="K22" s="759"/>
      <c r="L22" s="760"/>
      <c r="M22" s="760"/>
      <c r="N22" s="760"/>
      <c r="O22" s="760"/>
      <c r="P22" s="760"/>
      <c r="Q22" s="760"/>
      <c r="R22" s="760"/>
      <c r="S22" s="760"/>
      <c r="T22" s="760"/>
      <c r="U22" s="760"/>
      <c r="V22" s="760"/>
      <c r="W22" s="760"/>
      <c r="X22" s="760"/>
      <c r="Y22" s="760"/>
      <c r="Z22" s="760"/>
      <c r="AA22" s="760"/>
      <c r="AB22" s="760"/>
      <c r="AC22" s="760"/>
    </row>
    <row r="23" ht="15.0" customHeight="1">
      <c r="A23" s="259" t="s">
        <v>1309</v>
      </c>
      <c r="B23" s="760"/>
      <c r="C23" s="786">
        <v>320.0</v>
      </c>
      <c r="D23" s="765">
        <v>569.0</v>
      </c>
      <c r="E23" s="766">
        <v>139.83</v>
      </c>
      <c r="F23" s="768">
        <f t="shared" si="7"/>
        <v>0.2457469244</v>
      </c>
      <c r="G23" s="769">
        <f t="shared" si="8"/>
        <v>429.17</v>
      </c>
      <c r="H23" s="768">
        <f t="shared" si="9"/>
        <v>3.069226918</v>
      </c>
      <c r="I23" s="759"/>
      <c r="J23" s="759"/>
      <c r="K23" s="759"/>
      <c r="L23" s="760"/>
      <c r="M23" s="760"/>
      <c r="N23" s="760"/>
      <c r="O23" s="760"/>
      <c r="P23" s="760"/>
      <c r="Q23" s="760"/>
      <c r="R23" s="760"/>
      <c r="S23" s="760"/>
      <c r="T23" s="760"/>
      <c r="U23" s="760"/>
      <c r="V23" s="760"/>
      <c r="W23" s="760"/>
      <c r="X23" s="760"/>
      <c r="Y23" s="760"/>
      <c r="Z23" s="760"/>
      <c r="AA23" s="760"/>
      <c r="AB23" s="760"/>
      <c r="AC23" s="760"/>
    </row>
    <row r="24" ht="15.0" customHeight="1">
      <c r="A24" s="259" t="s">
        <v>1310</v>
      </c>
      <c r="B24" s="763" t="s">
        <v>1311</v>
      </c>
      <c r="C24" s="786">
        <v>330.0</v>
      </c>
      <c r="D24" s="765">
        <v>599.0</v>
      </c>
      <c r="E24" s="766">
        <v>165.42</v>
      </c>
      <c r="F24" s="768">
        <f t="shared" si="7"/>
        <v>0.2761602671</v>
      </c>
      <c r="G24" s="769">
        <f t="shared" si="8"/>
        <v>433.58</v>
      </c>
      <c r="H24" s="768">
        <f t="shared" si="9"/>
        <v>2.621085721</v>
      </c>
      <c r="I24" s="759"/>
      <c r="J24" s="759"/>
      <c r="K24" s="759"/>
      <c r="L24" s="760"/>
      <c r="M24" s="760"/>
      <c r="N24" s="760"/>
      <c r="O24" s="760"/>
      <c r="P24" s="760"/>
      <c r="Q24" s="760"/>
      <c r="R24" s="760"/>
      <c r="S24" s="760"/>
      <c r="T24" s="760"/>
      <c r="U24" s="760"/>
      <c r="V24" s="760"/>
      <c r="W24" s="760"/>
      <c r="X24" s="760"/>
      <c r="Y24" s="760"/>
      <c r="Z24" s="760"/>
      <c r="AA24" s="760"/>
      <c r="AB24" s="760"/>
      <c r="AC24" s="760"/>
    </row>
    <row r="25" ht="15.0" customHeight="1">
      <c r="A25" s="259"/>
      <c r="B25" s="787"/>
      <c r="C25" s="764"/>
      <c r="D25" s="765"/>
      <c r="E25" s="766"/>
      <c r="F25" s="768"/>
      <c r="G25" s="783"/>
      <c r="H25" s="768"/>
      <c r="I25" s="759"/>
      <c r="J25" s="759"/>
      <c r="K25" s="759"/>
      <c r="L25" s="760"/>
      <c r="M25" s="760"/>
      <c r="N25" s="760"/>
      <c r="O25" s="760"/>
      <c r="P25" s="760"/>
      <c r="Q25" s="760"/>
      <c r="R25" s="760"/>
      <c r="S25" s="760"/>
      <c r="T25" s="760"/>
      <c r="U25" s="760"/>
      <c r="V25" s="760"/>
      <c r="W25" s="760"/>
      <c r="X25" s="760"/>
      <c r="Y25" s="760"/>
      <c r="Z25" s="760"/>
      <c r="AA25" s="760"/>
      <c r="AB25" s="760"/>
      <c r="AC25" s="760"/>
    </row>
    <row r="26" ht="15.0" customHeight="1">
      <c r="A26" s="776" t="s">
        <v>1226</v>
      </c>
      <c r="B26" s="777" t="s">
        <v>1225</v>
      </c>
      <c r="C26" s="778" t="s">
        <v>1312</v>
      </c>
      <c r="D26" s="765">
        <v>499.0</v>
      </c>
      <c r="E26" s="766">
        <v>130.6</v>
      </c>
      <c r="F26" s="768">
        <f t="shared" ref="F26:F31" si="10">E26/D26</f>
        <v>0.2617234469</v>
      </c>
      <c r="G26" s="769">
        <f t="shared" ref="G26:G31" si="11">D26-E26</f>
        <v>368.4</v>
      </c>
      <c r="H26" s="768">
        <f t="shared" ref="H26:H31" si="12">D26/E26-1</f>
        <v>2.820826953</v>
      </c>
      <c r="I26" s="759"/>
      <c r="J26" s="759"/>
      <c r="K26" s="759"/>
      <c r="L26" s="760"/>
      <c r="M26" s="760"/>
      <c r="N26" s="760"/>
      <c r="O26" s="760"/>
      <c r="P26" s="760"/>
      <c r="Q26" s="760"/>
      <c r="R26" s="760"/>
      <c r="S26" s="760"/>
      <c r="T26" s="760"/>
      <c r="U26" s="760"/>
      <c r="V26" s="760"/>
      <c r="W26" s="760"/>
      <c r="X26" s="760"/>
      <c r="Y26" s="760"/>
      <c r="Z26" s="760"/>
      <c r="AA26" s="760"/>
      <c r="AB26" s="760"/>
      <c r="AC26" s="760"/>
    </row>
    <row r="27" ht="15.0" customHeight="1">
      <c r="A27" s="261" t="s">
        <v>293</v>
      </c>
      <c r="B27" s="763" t="s">
        <v>1313</v>
      </c>
      <c r="C27" s="764">
        <v>230.0</v>
      </c>
      <c r="D27" s="765">
        <v>539.0</v>
      </c>
      <c r="E27" s="766">
        <v>174.9</v>
      </c>
      <c r="F27" s="768">
        <f t="shared" si="10"/>
        <v>0.3244897959</v>
      </c>
      <c r="G27" s="769">
        <f t="shared" si="11"/>
        <v>364.1</v>
      </c>
      <c r="H27" s="768">
        <f t="shared" si="12"/>
        <v>2.081761006</v>
      </c>
      <c r="I27" s="759"/>
      <c r="J27" s="759"/>
      <c r="K27" s="759"/>
      <c r="L27" s="760"/>
      <c r="M27" s="760"/>
      <c r="N27" s="760"/>
      <c r="O27" s="760"/>
      <c r="P27" s="760"/>
      <c r="Q27" s="760"/>
      <c r="R27" s="760"/>
      <c r="S27" s="760"/>
      <c r="T27" s="760"/>
      <c r="U27" s="760"/>
      <c r="V27" s="760"/>
      <c r="W27" s="760"/>
      <c r="X27" s="760"/>
      <c r="Y27" s="760"/>
      <c r="Z27" s="760"/>
      <c r="AA27" s="760"/>
      <c r="AB27" s="760"/>
      <c r="AC27" s="760"/>
    </row>
    <row r="28" ht="15.0" customHeight="1">
      <c r="A28" s="261" t="s">
        <v>297</v>
      </c>
      <c r="B28" s="763" t="s">
        <v>1314</v>
      </c>
      <c r="C28" s="764">
        <v>230.0</v>
      </c>
      <c r="D28" s="765">
        <v>549.0</v>
      </c>
      <c r="E28" s="766">
        <v>145.03</v>
      </c>
      <c r="F28" s="768">
        <f t="shared" si="10"/>
        <v>0.2641712204</v>
      </c>
      <c r="G28" s="769">
        <f t="shared" si="11"/>
        <v>403.97</v>
      </c>
      <c r="H28" s="768">
        <f t="shared" si="12"/>
        <v>2.785423705</v>
      </c>
      <c r="I28" s="759"/>
      <c r="J28" s="759"/>
      <c r="K28" s="759"/>
      <c r="L28" s="760"/>
      <c r="M28" s="760"/>
      <c r="N28" s="760"/>
      <c r="O28" s="760"/>
      <c r="P28" s="760"/>
      <c r="Q28" s="760"/>
      <c r="R28" s="760"/>
      <c r="S28" s="760"/>
      <c r="T28" s="760"/>
      <c r="U28" s="760"/>
      <c r="V28" s="760"/>
      <c r="W28" s="760"/>
      <c r="X28" s="760"/>
      <c r="Y28" s="760"/>
      <c r="Z28" s="760"/>
      <c r="AA28" s="760"/>
      <c r="AB28" s="760"/>
      <c r="AC28" s="760"/>
    </row>
    <row r="29" ht="15.0" customHeight="1">
      <c r="A29" s="776" t="s">
        <v>1247</v>
      </c>
      <c r="B29" s="777"/>
      <c r="C29" s="778">
        <v>250.0</v>
      </c>
      <c r="D29" s="765">
        <v>489.0</v>
      </c>
      <c r="E29" s="766">
        <v>165.3</v>
      </c>
      <c r="F29" s="768">
        <f t="shared" si="10"/>
        <v>0.3380368098</v>
      </c>
      <c r="G29" s="769">
        <f t="shared" si="11"/>
        <v>323.7</v>
      </c>
      <c r="H29" s="768">
        <f t="shared" si="12"/>
        <v>1.958257713</v>
      </c>
      <c r="I29" s="759"/>
      <c r="J29" s="759"/>
      <c r="K29" s="759"/>
      <c r="L29" s="760"/>
      <c r="M29" s="760"/>
      <c r="N29" s="760"/>
      <c r="O29" s="760"/>
      <c r="P29" s="760"/>
      <c r="Q29" s="760"/>
      <c r="R29" s="760"/>
      <c r="S29" s="760"/>
      <c r="T29" s="760"/>
      <c r="U29" s="760"/>
      <c r="V29" s="760"/>
      <c r="W29" s="760"/>
      <c r="X29" s="760"/>
      <c r="Y29" s="760"/>
      <c r="Z29" s="760"/>
      <c r="AA29" s="760"/>
      <c r="AB29" s="760"/>
      <c r="AC29" s="760"/>
    </row>
    <row r="30" ht="15.0" customHeight="1">
      <c r="A30" s="266" t="s">
        <v>1106</v>
      </c>
      <c r="B30" s="763"/>
      <c r="C30" s="764">
        <v>270.0</v>
      </c>
      <c r="D30" s="765">
        <v>599.0</v>
      </c>
      <c r="E30" s="766">
        <v>220.5</v>
      </c>
      <c r="F30" s="767">
        <f t="shared" si="10"/>
        <v>0.3681135225</v>
      </c>
      <c r="G30" s="769">
        <f t="shared" si="11"/>
        <v>378.5</v>
      </c>
      <c r="H30" s="768">
        <f t="shared" si="12"/>
        <v>1.716553288</v>
      </c>
      <c r="I30" s="759"/>
      <c r="J30" s="759"/>
      <c r="K30" s="759"/>
      <c r="L30" s="760"/>
      <c r="M30" s="760"/>
      <c r="N30" s="760"/>
      <c r="O30" s="760"/>
      <c r="P30" s="760"/>
      <c r="Q30" s="760"/>
      <c r="R30" s="760"/>
      <c r="S30" s="760"/>
      <c r="T30" s="760"/>
      <c r="U30" s="760"/>
      <c r="V30" s="760"/>
      <c r="W30" s="760"/>
      <c r="X30" s="760"/>
      <c r="Y30" s="760"/>
      <c r="Z30" s="760"/>
      <c r="AA30" s="760"/>
      <c r="AB30" s="760"/>
      <c r="AC30" s="760"/>
    </row>
    <row r="31" ht="15.0" customHeight="1">
      <c r="A31" s="267" t="s">
        <v>1101</v>
      </c>
      <c r="B31" s="763" t="s">
        <v>1102</v>
      </c>
      <c r="C31" s="764" t="s">
        <v>1103</v>
      </c>
      <c r="D31" s="765">
        <v>1599.0</v>
      </c>
      <c r="E31" s="766">
        <v>382.3</v>
      </c>
      <c r="F31" s="768">
        <f t="shared" si="10"/>
        <v>0.2390869293</v>
      </c>
      <c r="G31" s="769">
        <f t="shared" si="11"/>
        <v>1216.7</v>
      </c>
      <c r="H31" s="768">
        <f t="shared" si="12"/>
        <v>3.182579126</v>
      </c>
      <c r="I31" s="759"/>
      <c r="J31" s="759"/>
      <c r="K31" s="759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Y31" s="760"/>
      <c r="Z31" s="760"/>
      <c r="AA31" s="760"/>
      <c r="AB31" s="760"/>
      <c r="AC31" s="760"/>
    </row>
    <row r="32" ht="15.0" customHeight="1">
      <c r="A32" s="590" t="s">
        <v>481</v>
      </c>
      <c r="B32" s="761"/>
      <c r="C32" s="761"/>
      <c r="D32" s="761"/>
      <c r="E32" s="761"/>
      <c r="F32" s="762">
        <f>AVERAGE(F33:F43)</f>
        <v>0.103651772</v>
      </c>
      <c r="G32" s="783"/>
      <c r="H32" s="768"/>
      <c r="I32" s="759"/>
      <c r="J32" s="759"/>
      <c r="K32" s="759"/>
      <c r="L32" s="760"/>
      <c r="M32" s="760"/>
      <c r="N32" s="760"/>
      <c r="O32" s="760"/>
      <c r="P32" s="760"/>
      <c r="Q32" s="760"/>
      <c r="R32" s="760"/>
      <c r="S32" s="760"/>
      <c r="T32" s="760"/>
      <c r="U32" s="760"/>
      <c r="V32" s="760"/>
      <c r="W32" s="760"/>
      <c r="X32" s="760"/>
      <c r="Y32" s="760"/>
      <c r="Z32" s="760"/>
      <c r="AA32" s="760"/>
      <c r="AB32" s="760"/>
      <c r="AC32" s="760"/>
    </row>
    <row r="33" ht="15.0" customHeight="1">
      <c r="A33" s="593" t="s">
        <v>482</v>
      </c>
      <c r="B33" s="788"/>
      <c r="C33" s="764">
        <v>30.0</v>
      </c>
      <c r="D33" s="765">
        <v>59.0</v>
      </c>
      <c r="E33" s="766">
        <v>5.55</v>
      </c>
      <c r="F33" s="789">
        <f t="shared" ref="F33:F43" si="13">E33/D33</f>
        <v>0.09406779661</v>
      </c>
      <c r="G33" s="769">
        <f t="shared" ref="G33:G43" si="14">D33-E33</f>
        <v>53.45</v>
      </c>
      <c r="H33" s="768">
        <f t="shared" ref="H33:H43" si="15">D33/E33-1</f>
        <v>9.630630631</v>
      </c>
      <c r="I33" s="759"/>
      <c r="J33" s="759"/>
      <c r="K33" s="759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Y33" s="760"/>
      <c r="Z33" s="760"/>
      <c r="AA33" s="760"/>
      <c r="AB33" s="760"/>
      <c r="AC33" s="760"/>
    </row>
    <row r="34" ht="15.0" customHeight="1">
      <c r="A34" s="593" t="s">
        <v>483</v>
      </c>
      <c r="B34" s="788"/>
      <c r="C34" s="764">
        <v>30.0</v>
      </c>
      <c r="D34" s="765">
        <v>59.0</v>
      </c>
      <c r="E34" s="766">
        <v>3.23</v>
      </c>
      <c r="F34" s="789">
        <f t="shared" si="13"/>
        <v>0.05474576271</v>
      </c>
      <c r="G34" s="769">
        <f t="shared" si="14"/>
        <v>55.77</v>
      </c>
      <c r="H34" s="768">
        <f t="shared" si="15"/>
        <v>17.26625387</v>
      </c>
      <c r="I34" s="759"/>
      <c r="J34" s="759"/>
      <c r="K34" s="759"/>
      <c r="L34" s="760"/>
      <c r="M34" s="760"/>
      <c r="N34" s="760"/>
      <c r="O34" s="760"/>
      <c r="P34" s="760"/>
      <c r="Q34" s="760"/>
      <c r="R34" s="760"/>
      <c r="S34" s="760"/>
      <c r="T34" s="760"/>
      <c r="U34" s="760"/>
      <c r="V34" s="760"/>
      <c r="W34" s="760"/>
      <c r="X34" s="760"/>
      <c r="Y34" s="760"/>
      <c r="Z34" s="760"/>
      <c r="AA34" s="760"/>
      <c r="AB34" s="760"/>
      <c r="AC34" s="760"/>
    </row>
    <row r="35" ht="15.0" customHeight="1">
      <c r="A35" s="593" t="s">
        <v>484</v>
      </c>
      <c r="B35" s="788"/>
      <c r="C35" s="764">
        <v>30.0</v>
      </c>
      <c r="D35" s="765">
        <v>59.0</v>
      </c>
      <c r="E35" s="766">
        <v>14.05</v>
      </c>
      <c r="F35" s="789">
        <f t="shared" si="13"/>
        <v>0.2381355932</v>
      </c>
      <c r="G35" s="769">
        <f t="shared" si="14"/>
        <v>44.95</v>
      </c>
      <c r="H35" s="768">
        <f t="shared" si="15"/>
        <v>3.199288256</v>
      </c>
      <c r="I35" s="759"/>
      <c r="J35" s="759"/>
      <c r="K35" s="759"/>
      <c r="L35" s="760"/>
      <c r="M35" s="760"/>
      <c r="N35" s="760"/>
      <c r="O35" s="760"/>
      <c r="P35" s="760"/>
      <c r="Q35" s="760"/>
      <c r="R35" s="760"/>
      <c r="S35" s="760"/>
      <c r="T35" s="760"/>
      <c r="U35" s="760"/>
      <c r="V35" s="760"/>
      <c r="W35" s="760"/>
      <c r="X35" s="760"/>
      <c r="Y35" s="760"/>
      <c r="Z35" s="760"/>
      <c r="AA35" s="760"/>
      <c r="AB35" s="760"/>
      <c r="AC35" s="760"/>
    </row>
    <row r="36" ht="15.0" customHeight="1">
      <c r="A36" s="593" t="s">
        <v>485</v>
      </c>
      <c r="B36" s="788"/>
      <c r="C36" s="764">
        <v>30.0</v>
      </c>
      <c r="D36" s="765">
        <v>59.0</v>
      </c>
      <c r="E36" s="766">
        <v>4.05</v>
      </c>
      <c r="F36" s="789">
        <f t="shared" si="13"/>
        <v>0.0686440678</v>
      </c>
      <c r="G36" s="769">
        <f t="shared" si="14"/>
        <v>54.95</v>
      </c>
      <c r="H36" s="768">
        <f t="shared" si="15"/>
        <v>13.56790123</v>
      </c>
      <c r="I36" s="759"/>
      <c r="J36" s="759"/>
      <c r="K36" s="759"/>
      <c r="L36" s="760"/>
      <c r="M36" s="760"/>
      <c r="N36" s="760"/>
      <c r="O36" s="760"/>
      <c r="P36" s="760"/>
      <c r="Q36" s="760"/>
      <c r="R36" s="760"/>
      <c r="S36" s="760"/>
      <c r="T36" s="760"/>
      <c r="U36" s="760"/>
      <c r="V36" s="760"/>
      <c r="W36" s="760"/>
      <c r="X36" s="760"/>
      <c r="Y36" s="760"/>
      <c r="Z36" s="760"/>
      <c r="AA36" s="760"/>
      <c r="AB36" s="760"/>
      <c r="AC36" s="760"/>
    </row>
    <row r="37" ht="15.0" customHeight="1">
      <c r="A37" s="593" t="s">
        <v>486</v>
      </c>
      <c r="B37" s="788"/>
      <c r="C37" s="764">
        <v>30.0</v>
      </c>
      <c r="D37" s="765">
        <v>59.0</v>
      </c>
      <c r="E37" s="766">
        <v>5.56</v>
      </c>
      <c r="F37" s="789">
        <f t="shared" si="13"/>
        <v>0.09423728814</v>
      </c>
      <c r="G37" s="769">
        <f t="shared" si="14"/>
        <v>53.44</v>
      </c>
      <c r="H37" s="768">
        <f t="shared" si="15"/>
        <v>9.611510791</v>
      </c>
      <c r="I37" s="759"/>
      <c r="J37" s="759"/>
      <c r="K37" s="759"/>
      <c r="L37" s="760"/>
      <c r="M37" s="760"/>
      <c r="N37" s="760"/>
      <c r="O37" s="760"/>
      <c r="P37" s="760"/>
      <c r="Q37" s="760"/>
      <c r="R37" s="760"/>
      <c r="S37" s="760"/>
      <c r="T37" s="760"/>
      <c r="U37" s="760"/>
      <c r="V37" s="760"/>
      <c r="W37" s="760"/>
      <c r="X37" s="760"/>
      <c r="Y37" s="760"/>
      <c r="Z37" s="760"/>
      <c r="AA37" s="760"/>
      <c r="AB37" s="760"/>
      <c r="AC37" s="760"/>
    </row>
    <row r="38" ht="15.0" customHeight="1">
      <c r="A38" s="593" t="s">
        <v>487</v>
      </c>
      <c r="B38" s="788"/>
      <c r="C38" s="764">
        <v>30.0</v>
      </c>
      <c r="D38" s="765">
        <v>59.0</v>
      </c>
      <c r="E38" s="766">
        <v>5.24</v>
      </c>
      <c r="F38" s="789">
        <f t="shared" si="13"/>
        <v>0.08881355932</v>
      </c>
      <c r="G38" s="769">
        <f t="shared" si="14"/>
        <v>53.76</v>
      </c>
      <c r="H38" s="768">
        <f t="shared" si="15"/>
        <v>10.25954198</v>
      </c>
      <c r="I38" s="759"/>
      <c r="J38" s="759"/>
      <c r="K38" s="759"/>
      <c r="L38" s="760"/>
      <c r="M38" s="760"/>
      <c r="N38" s="760"/>
      <c r="O38" s="760"/>
      <c r="P38" s="760"/>
      <c r="Q38" s="760"/>
      <c r="R38" s="760"/>
      <c r="S38" s="760"/>
      <c r="T38" s="760"/>
      <c r="U38" s="760"/>
      <c r="V38" s="760"/>
      <c r="W38" s="760"/>
      <c r="X38" s="760"/>
      <c r="Y38" s="760"/>
      <c r="Z38" s="760"/>
      <c r="AA38" s="760"/>
      <c r="AB38" s="760"/>
      <c r="AC38" s="760"/>
    </row>
    <row r="39" ht="15.0" customHeight="1">
      <c r="A39" s="593" t="s">
        <v>488</v>
      </c>
      <c r="B39" s="788"/>
      <c r="C39" s="764">
        <v>30.0</v>
      </c>
      <c r="D39" s="765">
        <v>59.0</v>
      </c>
      <c r="E39" s="766">
        <v>7.02</v>
      </c>
      <c r="F39" s="789">
        <f t="shared" si="13"/>
        <v>0.1189830508</v>
      </c>
      <c r="G39" s="769">
        <f t="shared" si="14"/>
        <v>51.98</v>
      </c>
      <c r="H39" s="768">
        <f t="shared" si="15"/>
        <v>7.404558405</v>
      </c>
      <c r="I39" s="759"/>
      <c r="J39" s="759"/>
      <c r="K39" s="759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760"/>
      <c r="AB39" s="760"/>
      <c r="AC39" s="760"/>
    </row>
    <row r="40" ht="15.0" customHeight="1">
      <c r="A40" s="593" t="s">
        <v>489</v>
      </c>
      <c r="B40" s="788"/>
      <c r="C40" s="764">
        <v>30.0</v>
      </c>
      <c r="D40" s="765">
        <v>59.0</v>
      </c>
      <c r="E40" s="766">
        <v>5.94</v>
      </c>
      <c r="F40" s="789">
        <f t="shared" si="13"/>
        <v>0.1006779661</v>
      </c>
      <c r="G40" s="769">
        <f t="shared" si="14"/>
        <v>53.06</v>
      </c>
      <c r="H40" s="768">
        <f t="shared" si="15"/>
        <v>8.932659933</v>
      </c>
      <c r="I40" s="759"/>
      <c r="J40" s="759"/>
      <c r="K40" s="759"/>
      <c r="L40" s="760"/>
      <c r="M40" s="760"/>
      <c r="N40" s="760"/>
      <c r="O40" s="760"/>
      <c r="P40" s="760"/>
      <c r="Q40" s="760"/>
      <c r="R40" s="760"/>
      <c r="S40" s="760"/>
      <c r="T40" s="760"/>
      <c r="U40" s="760"/>
      <c r="V40" s="760"/>
      <c r="W40" s="760"/>
      <c r="X40" s="760"/>
      <c r="Y40" s="760"/>
      <c r="Z40" s="760"/>
      <c r="AA40" s="760"/>
      <c r="AB40" s="760"/>
      <c r="AC40" s="760"/>
    </row>
    <row r="41" ht="15.0" customHeight="1">
      <c r="A41" s="593" t="s">
        <v>490</v>
      </c>
      <c r="B41" s="788"/>
      <c r="C41" s="764">
        <v>30.0</v>
      </c>
      <c r="D41" s="765">
        <v>59.0</v>
      </c>
      <c r="E41" s="766">
        <v>5.78</v>
      </c>
      <c r="F41" s="789">
        <f t="shared" si="13"/>
        <v>0.09796610169</v>
      </c>
      <c r="G41" s="769">
        <f t="shared" si="14"/>
        <v>53.22</v>
      </c>
      <c r="H41" s="768">
        <f t="shared" si="15"/>
        <v>9.207612457</v>
      </c>
      <c r="I41" s="759"/>
      <c r="J41" s="759"/>
      <c r="K41" s="759"/>
      <c r="L41" s="760"/>
      <c r="M41" s="760"/>
      <c r="N41" s="760"/>
      <c r="O41" s="760"/>
      <c r="P41" s="760"/>
      <c r="Q41" s="760"/>
      <c r="R41" s="760"/>
      <c r="S41" s="760"/>
      <c r="T41" s="760"/>
      <c r="U41" s="760"/>
      <c r="V41" s="760"/>
      <c r="W41" s="760"/>
      <c r="X41" s="760"/>
      <c r="Y41" s="760"/>
      <c r="Z41" s="760"/>
      <c r="AA41" s="760"/>
      <c r="AB41" s="760"/>
      <c r="AC41" s="760"/>
    </row>
    <row r="42" ht="15.0" customHeight="1">
      <c r="A42" s="593" t="s">
        <v>491</v>
      </c>
      <c r="B42" s="788"/>
      <c r="C42" s="764">
        <v>30.0</v>
      </c>
      <c r="D42" s="765">
        <v>59.0</v>
      </c>
      <c r="E42" s="766">
        <v>3.44</v>
      </c>
      <c r="F42" s="789">
        <f t="shared" si="13"/>
        <v>0.05830508475</v>
      </c>
      <c r="G42" s="769">
        <f t="shared" si="14"/>
        <v>55.56</v>
      </c>
      <c r="H42" s="768">
        <f t="shared" si="15"/>
        <v>16.15116279</v>
      </c>
      <c r="I42" s="759"/>
      <c r="J42" s="759"/>
      <c r="K42" s="759"/>
      <c r="L42" s="760"/>
      <c r="M42" s="760"/>
      <c r="N42" s="760"/>
      <c r="O42" s="760"/>
      <c r="P42" s="760"/>
      <c r="Q42" s="760"/>
      <c r="R42" s="760"/>
      <c r="S42" s="760"/>
      <c r="T42" s="760"/>
      <c r="U42" s="760"/>
      <c r="V42" s="760"/>
      <c r="W42" s="760"/>
      <c r="X42" s="760"/>
      <c r="Y42" s="760"/>
      <c r="Z42" s="760"/>
      <c r="AA42" s="760"/>
      <c r="AB42" s="760"/>
      <c r="AC42" s="760"/>
    </row>
    <row r="43" ht="15.0" customHeight="1">
      <c r="A43" s="593" t="s">
        <v>492</v>
      </c>
      <c r="B43" s="788"/>
      <c r="C43" s="764">
        <v>30.0</v>
      </c>
      <c r="D43" s="765">
        <v>59.0</v>
      </c>
      <c r="E43" s="766">
        <v>7.41</v>
      </c>
      <c r="F43" s="789">
        <f t="shared" si="13"/>
        <v>0.1255932203</v>
      </c>
      <c r="G43" s="769">
        <f t="shared" si="14"/>
        <v>51.59</v>
      </c>
      <c r="H43" s="768">
        <f t="shared" si="15"/>
        <v>6.962213225</v>
      </c>
      <c r="I43" s="759"/>
      <c r="J43" s="759"/>
      <c r="K43" s="759"/>
      <c r="L43" s="760"/>
      <c r="M43" s="760"/>
      <c r="N43" s="760"/>
      <c r="O43" s="760"/>
      <c r="P43" s="760"/>
      <c r="Q43" s="760"/>
      <c r="R43" s="760"/>
      <c r="S43" s="760"/>
      <c r="T43" s="760"/>
      <c r="U43" s="760"/>
      <c r="V43" s="760"/>
      <c r="W43" s="760"/>
      <c r="X43" s="760"/>
      <c r="Y43" s="760"/>
      <c r="Z43" s="760"/>
      <c r="AA43" s="760"/>
      <c r="AB43" s="760"/>
      <c r="AC43" s="760"/>
    </row>
    <row r="44" ht="15.0" customHeight="1">
      <c r="A44" s="590" t="s">
        <v>493</v>
      </c>
      <c r="B44" s="761"/>
      <c r="C44" s="761"/>
      <c r="D44" s="761"/>
      <c r="E44" s="761"/>
      <c r="F44" s="762">
        <f>AVERAGE(F45:F49)</f>
        <v>0.2178649586</v>
      </c>
      <c r="G44" s="783"/>
      <c r="H44" s="768"/>
      <c r="I44" s="759"/>
      <c r="J44" s="759"/>
      <c r="K44" s="759"/>
      <c r="L44" s="760"/>
      <c r="M44" s="760"/>
      <c r="N44" s="760"/>
      <c r="O44" s="760"/>
      <c r="P44" s="760"/>
      <c r="Q44" s="760"/>
      <c r="R44" s="760"/>
      <c r="S44" s="760"/>
      <c r="T44" s="760"/>
      <c r="U44" s="760"/>
      <c r="V44" s="760"/>
      <c r="W44" s="760"/>
      <c r="X44" s="760"/>
      <c r="Y44" s="760"/>
      <c r="Z44" s="760"/>
      <c r="AA44" s="760"/>
      <c r="AB44" s="760"/>
      <c r="AC44" s="760"/>
    </row>
    <row r="45" ht="15.0" customHeight="1">
      <c r="A45" s="259" t="s">
        <v>1259</v>
      </c>
      <c r="B45" s="787" t="s">
        <v>1315</v>
      </c>
      <c r="C45" s="764">
        <v>520.0</v>
      </c>
      <c r="D45" s="765">
        <v>599.0</v>
      </c>
      <c r="E45" s="766">
        <v>135.75</v>
      </c>
      <c r="F45" s="768">
        <f t="shared" ref="F45:F49" si="16">E45/D45</f>
        <v>0.2266277129</v>
      </c>
      <c r="G45" s="769">
        <f t="shared" ref="G45:G49" si="17">D45-E45</f>
        <v>463.25</v>
      </c>
      <c r="H45" s="768">
        <f t="shared" ref="H45:H49" si="18">D45/E45-1</f>
        <v>3.41252302</v>
      </c>
      <c r="I45" s="759"/>
      <c r="J45" s="759"/>
      <c r="K45" s="759"/>
      <c r="L45" s="760"/>
      <c r="M45" s="760"/>
      <c r="N45" s="760"/>
      <c r="O45" s="760"/>
      <c r="P45" s="760"/>
      <c r="Q45" s="760"/>
      <c r="R45" s="760"/>
      <c r="S45" s="760"/>
      <c r="T45" s="760"/>
      <c r="U45" s="760"/>
      <c r="V45" s="760"/>
      <c r="W45" s="760"/>
      <c r="X45" s="760"/>
      <c r="Y45" s="760"/>
      <c r="Z45" s="760"/>
      <c r="AA45" s="760"/>
      <c r="AB45" s="760"/>
      <c r="AC45" s="760"/>
    </row>
    <row r="46" ht="15.0" customHeight="1">
      <c r="A46" s="259" t="s">
        <v>1257</v>
      </c>
      <c r="B46" s="787"/>
      <c r="C46" s="764" t="s">
        <v>1316</v>
      </c>
      <c r="D46" s="765">
        <v>599.0</v>
      </c>
      <c r="E46" s="766">
        <v>135.75</v>
      </c>
      <c r="F46" s="768">
        <f t="shared" si="16"/>
        <v>0.2266277129</v>
      </c>
      <c r="G46" s="769">
        <f t="shared" si="17"/>
        <v>463.25</v>
      </c>
      <c r="H46" s="768">
        <f t="shared" si="18"/>
        <v>3.41252302</v>
      </c>
      <c r="I46" s="759"/>
      <c r="J46" s="759"/>
      <c r="K46" s="759"/>
      <c r="L46" s="760"/>
      <c r="M46" s="760"/>
      <c r="N46" s="760"/>
      <c r="O46" s="760"/>
      <c r="P46" s="760"/>
      <c r="Q46" s="760"/>
      <c r="R46" s="760"/>
      <c r="S46" s="760"/>
      <c r="T46" s="760"/>
      <c r="U46" s="760"/>
      <c r="V46" s="760"/>
      <c r="W46" s="760"/>
      <c r="X46" s="760"/>
      <c r="Y46" s="760"/>
      <c r="Z46" s="760"/>
      <c r="AA46" s="760"/>
      <c r="AB46" s="760"/>
      <c r="AC46" s="760"/>
    </row>
    <row r="47" ht="15.0" customHeight="1">
      <c r="A47" s="259" t="s">
        <v>332</v>
      </c>
      <c r="B47" s="787" t="s">
        <v>1317</v>
      </c>
      <c r="C47" s="764" t="s">
        <v>1318</v>
      </c>
      <c r="D47" s="765">
        <v>499.0</v>
      </c>
      <c r="E47" s="766">
        <v>98.68</v>
      </c>
      <c r="F47" s="768">
        <f t="shared" si="16"/>
        <v>0.197755511</v>
      </c>
      <c r="G47" s="769">
        <f t="shared" si="17"/>
        <v>400.32</v>
      </c>
      <c r="H47" s="768">
        <f t="shared" si="18"/>
        <v>4.056749088</v>
      </c>
      <c r="I47" s="759"/>
      <c r="J47" s="759"/>
      <c r="K47" s="759"/>
      <c r="L47" s="760"/>
      <c r="M47" s="760"/>
      <c r="N47" s="760"/>
      <c r="O47" s="760"/>
      <c r="P47" s="760"/>
      <c r="Q47" s="760"/>
      <c r="R47" s="760"/>
      <c r="S47" s="760"/>
      <c r="T47" s="760"/>
      <c r="U47" s="760"/>
      <c r="V47" s="760"/>
      <c r="W47" s="760"/>
      <c r="X47" s="760"/>
      <c r="Y47" s="760"/>
      <c r="Z47" s="760"/>
      <c r="AA47" s="760"/>
      <c r="AB47" s="760"/>
      <c r="AC47" s="760"/>
    </row>
    <row r="48" ht="15.0" customHeight="1">
      <c r="A48" s="259" t="s">
        <v>339</v>
      </c>
      <c r="B48" s="787"/>
      <c r="C48" s="764" t="s">
        <v>1319</v>
      </c>
      <c r="D48" s="765">
        <v>599.0</v>
      </c>
      <c r="E48" s="766">
        <v>126.8</v>
      </c>
      <c r="F48" s="768">
        <f t="shared" si="16"/>
        <v>0.2116861436</v>
      </c>
      <c r="G48" s="769">
        <f t="shared" si="17"/>
        <v>472.2</v>
      </c>
      <c r="H48" s="768">
        <f t="shared" si="18"/>
        <v>3.723974763</v>
      </c>
      <c r="I48" s="759"/>
      <c r="J48" s="759"/>
      <c r="K48" s="759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760"/>
      <c r="AB48" s="760"/>
      <c r="AC48" s="760"/>
    </row>
    <row r="49" ht="15.0" customHeight="1">
      <c r="A49" s="261" t="s">
        <v>342</v>
      </c>
      <c r="B49" s="763" t="s">
        <v>1320</v>
      </c>
      <c r="C49" s="764" t="s">
        <v>1321</v>
      </c>
      <c r="D49" s="765">
        <v>599.0</v>
      </c>
      <c r="E49" s="766">
        <v>135.75</v>
      </c>
      <c r="F49" s="768">
        <f t="shared" si="16"/>
        <v>0.2266277129</v>
      </c>
      <c r="G49" s="769">
        <f t="shared" si="17"/>
        <v>463.25</v>
      </c>
      <c r="H49" s="768">
        <f t="shared" si="18"/>
        <v>3.41252302</v>
      </c>
      <c r="I49" s="759"/>
      <c r="J49" s="759"/>
      <c r="K49" s="759"/>
      <c r="L49" s="760"/>
      <c r="M49" s="760"/>
      <c r="N49" s="760"/>
      <c r="O49" s="760"/>
      <c r="P49" s="760"/>
      <c r="Q49" s="760"/>
      <c r="R49" s="760"/>
      <c r="S49" s="760"/>
      <c r="T49" s="760"/>
      <c r="U49" s="760"/>
      <c r="V49" s="760"/>
      <c r="W49" s="760"/>
      <c r="X49" s="760"/>
      <c r="Y49" s="760"/>
      <c r="Z49" s="760"/>
      <c r="AA49" s="760"/>
      <c r="AB49" s="760"/>
      <c r="AC49" s="760"/>
    </row>
    <row r="50" ht="15.0" customHeight="1">
      <c r="A50" s="590" t="s">
        <v>495</v>
      </c>
      <c r="B50" s="761"/>
      <c r="C50" s="790"/>
      <c r="D50" s="761"/>
      <c r="E50" s="761"/>
      <c r="F50" s="762">
        <f>AVERAGE(F51:F53)</f>
        <v>0.350308068</v>
      </c>
      <c r="G50" s="783"/>
      <c r="H50" s="768"/>
      <c r="I50" s="759"/>
      <c r="J50" s="759"/>
      <c r="K50" s="759"/>
      <c r="L50" s="760"/>
      <c r="M50" s="760"/>
      <c r="N50" s="760"/>
      <c r="O50" s="760"/>
      <c r="P50" s="760"/>
      <c r="Q50" s="760"/>
      <c r="R50" s="760"/>
      <c r="S50" s="760"/>
      <c r="T50" s="760"/>
      <c r="U50" s="760"/>
      <c r="V50" s="760"/>
      <c r="W50" s="760"/>
      <c r="X50" s="760"/>
      <c r="Y50" s="760"/>
      <c r="Z50" s="760"/>
      <c r="AA50" s="760"/>
      <c r="AB50" s="760"/>
      <c r="AC50" s="760"/>
    </row>
    <row r="51" ht="15.0" customHeight="1">
      <c r="A51" s="270" t="s">
        <v>378</v>
      </c>
      <c r="B51" s="791" t="s">
        <v>1322</v>
      </c>
      <c r="C51" s="792">
        <v>135.0</v>
      </c>
      <c r="D51" s="765">
        <v>399.0</v>
      </c>
      <c r="E51" s="775">
        <v>163.3</v>
      </c>
      <c r="F51" s="768">
        <f t="shared" ref="F51:F53" si="19">E51/D51</f>
        <v>0.409273183</v>
      </c>
      <c r="G51" s="769">
        <f t="shared" ref="G51:G53" si="20">D51-E51</f>
        <v>235.7</v>
      </c>
      <c r="H51" s="768">
        <f t="shared" ref="H51:H53" si="21">D51/E51-1</f>
        <v>1.443355787</v>
      </c>
      <c r="I51" s="759"/>
      <c r="J51" s="759"/>
      <c r="K51" s="759"/>
      <c r="L51" s="760"/>
      <c r="M51" s="760"/>
      <c r="N51" s="760"/>
      <c r="O51" s="760"/>
      <c r="P51" s="760"/>
      <c r="Q51" s="760"/>
      <c r="R51" s="760"/>
      <c r="S51" s="760"/>
      <c r="T51" s="760"/>
      <c r="U51" s="760"/>
      <c r="V51" s="760"/>
      <c r="W51" s="760"/>
      <c r="X51" s="760"/>
      <c r="Y51" s="760"/>
      <c r="Z51" s="760"/>
      <c r="AA51" s="760"/>
      <c r="AB51" s="760"/>
      <c r="AC51" s="760"/>
    </row>
    <row r="52" ht="15.0" customHeight="1">
      <c r="A52" s="259" t="s">
        <v>375</v>
      </c>
      <c r="B52" s="793" t="s">
        <v>1130</v>
      </c>
      <c r="C52" s="792">
        <v>135.0</v>
      </c>
      <c r="D52" s="765">
        <v>389.0</v>
      </c>
      <c r="E52" s="766">
        <v>148.2</v>
      </c>
      <c r="F52" s="768">
        <f t="shared" si="19"/>
        <v>0.3809768638</v>
      </c>
      <c r="G52" s="769">
        <f t="shared" si="20"/>
        <v>240.8</v>
      </c>
      <c r="H52" s="768">
        <f t="shared" si="21"/>
        <v>1.624831309</v>
      </c>
      <c r="I52" s="759"/>
      <c r="J52" s="759"/>
      <c r="K52" s="759"/>
      <c r="L52" s="760"/>
      <c r="M52" s="760"/>
      <c r="N52" s="760"/>
      <c r="O52" s="760"/>
      <c r="P52" s="760"/>
      <c r="Q52" s="760"/>
      <c r="R52" s="760"/>
      <c r="S52" s="760"/>
      <c r="T52" s="760"/>
      <c r="U52" s="760"/>
      <c r="V52" s="760"/>
      <c r="W52" s="760"/>
      <c r="X52" s="760"/>
      <c r="Y52" s="760"/>
      <c r="Z52" s="760"/>
      <c r="AA52" s="760"/>
      <c r="AB52" s="760"/>
      <c r="AC52" s="760"/>
    </row>
    <row r="53" ht="15.0" customHeight="1">
      <c r="A53" s="259" t="s">
        <v>1323</v>
      </c>
      <c r="B53" s="787" t="s">
        <v>497</v>
      </c>
      <c r="C53" s="792">
        <v>60.0</v>
      </c>
      <c r="D53" s="769">
        <v>89.0</v>
      </c>
      <c r="E53" s="773">
        <v>23.2</v>
      </c>
      <c r="F53" s="768">
        <f t="shared" si="19"/>
        <v>0.2606741573</v>
      </c>
      <c r="G53" s="769">
        <f t="shared" si="20"/>
        <v>65.8</v>
      </c>
      <c r="H53" s="768">
        <f t="shared" si="21"/>
        <v>2.836206897</v>
      </c>
      <c r="I53" s="759"/>
      <c r="J53" s="759"/>
      <c r="K53" s="759"/>
      <c r="L53" s="760"/>
      <c r="M53" s="760"/>
      <c r="N53" s="760"/>
      <c r="O53" s="760"/>
      <c r="P53" s="760"/>
      <c r="Q53" s="760"/>
      <c r="R53" s="760"/>
      <c r="S53" s="760"/>
      <c r="T53" s="760"/>
      <c r="U53" s="760"/>
      <c r="V53" s="760"/>
      <c r="W53" s="760"/>
      <c r="X53" s="760"/>
      <c r="Y53" s="760"/>
      <c r="Z53" s="760"/>
      <c r="AA53" s="760"/>
      <c r="AB53" s="760"/>
      <c r="AC53" s="760"/>
    </row>
    <row r="54" ht="15.0" customHeight="1">
      <c r="A54" s="760"/>
      <c r="B54" s="760"/>
      <c r="C54" s="792"/>
      <c r="D54" s="760"/>
      <c r="E54" s="760"/>
      <c r="F54" s="759"/>
      <c r="G54" s="759"/>
      <c r="H54" s="759"/>
      <c r="I54" s="759"/>
      <c r="J54" s="759"/>
      <c r="K54" s="759"/>
      <c r="L54" s="760"/>
      <c r="M54" s="760"/>
      <c r="N54" s="760"/>
      <c r="O54" s="760"/>
      <c r="P54" s="760"/>
      <c r="Q54" s="760"/>
      <c r="R54" s="760"/>
      <c r="S54" s="760"/>
      <c r="T54" s="760"/>
      <c r="U54" s="760"/>
      <c r="V54" s="760"/>
      <c r="W54" s="760"/>
      <c r="X54" s="760"/>
      <c r="Y54" s="760"/>
      <c r="Z54" s="760"/>
      <c r="AA54" s="760"/>
      <c r="AB54" s="760"/>
      <c r="AC54" s="760"/>
    </row>
    <row r="55" ht="15.0" customHeight="1">
      <c r="A55" s="760"/>
      <c r="B55" s="760"/>
      <c r="C55" s="792"/>
      <c r="D55" s="760"/>
      <c r="E55" s="760"/>
      <c r="F55" s="759"/>
      <c r="G55" s="759"/>
      <c r="H55" s="759"/>
      <c r="I55" s="759"/>
      <c r="J55" s="759"/>
      <c r="K55" s="759"/>
      <c r="L55" s="760"/>
      <c r="M55" s="760"/>
      <c r="N55" s="760"/>
      <c r="O55" s="760"/>
      <c r="P55" s="760"/>
      <c r="Q55" s="760"/>
      <c r="R55" s="760"/>
      <c r="S55" s="760"/>
      <c r="T55" s="760"/>
      <c r="U55" s="760"/>
      <c r="V55" s="760"/>
      <c r="W55" s="760"/>
      <c r="X55" s="760"/>
      <c r="Y55" s="760"/>
      <c r="Z55" s="760"/>
      <c r="AA55" s="760"/>
      <c r="AB55" s="760"/>
      <c r="AC55" s="760"/>
    </row>
    <row r="56" ht="31.5" customHeight="1">
      <c r="A56" s="595" t="s">
        <v>498</v>
      </c>
      <c r="B56" s="595" t="s">
        <v>1324</v>
      </c>
      <c r="C56" s="595" t="s">
        <v>1015</v>
      </c>
      <c r="D56" s="595"/>
      <c r="E56" s="280" t="s">
        <v>96</v>
      </c>
      <c r="F56" s="300" t="s">
        <v>465</v>
      </c>
      <c r="G56" s="283" t="s">
        <v>99</v>
      </c>
      <c r="H56" s="284" t="s">
        <v>100</v>
      </c>
      <c r="I56" s="285" t="s">
        <v>466</v>
      </c>
      <c r="J56" s="286" t="s">
        <v>102</v>
      </c>
      <c r="K56" s="334" t="s">
        <v>505</v>
      </c>
      <c r="L56" s="285" t="s">
        <v>506</v>
      </c>
      <c r="M56" s="285" t="s">
        <v>507</v>
      </c>
      <c r="N56" s="794"/>
      <c r="O56" s="760"/>
      <c r="P56" s="794"/>
      <c r="Q56" s="794"/>
      <c r="R56" s="794"/>
      <c r="S56" s="794"/>
      <c r="T56" s="794"/>
      <c r="U56" s="794"/>
      <c r="V56" s="794"/>
      <c r="W56" s="794"/>
      <c r="X56" s="794"/>
      <c r="Y56" s="794"/>
      <c r="Z56" s="794"/>
      <c r="AA56" s="794"/>
      <c r="AB56" s="794"/>
      <c r="AC56" s="794"/>
    </row>
    <row r="57" ht="14.25" customHeight="1">
      <c r="A57" s="594" t="s">
        <v>1325</v>
      </c>
      <c r="B57" s="290"/>
      <c r="C57" s="290"/>
      <c r="D57" s="290"/>
      <c r="E57" s="293"/>
      <c r="F57" s="298"/>
      <c r="G57" s="296"/>
      <c r="H57" s="297">
        <f>AVERAGE(H59:H63)</f>
        <v>0.05813620072</v>
      </c>
      <c r="I57" s="298"/>
      <c r="J57" s="297"/>
      <c r="K57" s="298"/>
      <c r="L57" s="297"/>
      <c r="M57" s="297"/>
      <c r="N57" s="795"/>
      <c r="O57" s="760"/>
      <c r="P57" s="794"/>
      <c r="Q57" s="794"/>
      <c r="R57" s="794"/>
      <c r="S57" s="794"/>
      <c r="T57" s="794"/>
      <c r="U57" s="794"/>
      <c r="V57" s="794"/>
      <c r="W57" s="794"/>
      <c r="X57" s="794"/>
      <c r="Y57" s="794"/>
      <c r="Z57" s="794"/>
      <c r="AA57" s="794"/>
      <c r="AB57" s="794"/>
      <c r="AC57" s="794"/>
    </row>
    <row r="58" ht="14.25" customHeight="1">
      <c r="A58" s="594" t="s">
        <v>516</v>
      </c>
      <c r="B58" s="290"/>
      <c r="C58" s="290"/>
      <c r="D58" s="290"/>
      <c r="E58" s="293"/>
      <c r="F58" s="298"/>
      <c r="G58" s="296"/>
      <c r="H58" s="297"/>
      <c r="I58" s="298"/>
      <c r="J58" s="297"/>
      <c r="K58" s="298"/>
      <c r="L58" s="297"/>
      <c r="M58" s="297"/>
      <c r="N58" s="795"/>
      <c r="O58" s="760"/>
      <c r="P58" s="794"/>
      <c r="Q58" s="794"/>
      <c r="R58" s="794"/>
      <c r="S58" s="794"/>
      <c r="T58" s="794"/>
      <c r="U58" s="794"/>
      <c r="V58" s="794"/>
      <c r="W58" s="794"/>
      <c r="X58" s="794"/>
      <c r="Y58" s="794"/>
      <c r="Z58" s="794"/>
      <c r="AA58" s="794"/>
      <c r="AB58" s="794"/>
      <c r="AC58" s="794"/>
    </row>
    <row r="59" ht="14.25" customHeight="1" outlineLevel="1">
      <c r="A59" s="606" t="s">
        <v>1326</v>
      </c>
      <c r="B59" s="796"/>
      <c r="C59" s="606" t="s">
        <v>1004</v>
      </c>
      <c r="D59" s="606" t="s">
        <v>1327</v>
      </c>
      <c r="E59" s="310">
        <v>700.0</v>
      </c>
      <c r="F59" s="311">
        <v>279.0</v>
      </c>
      <c r="G59" s="313">
        <v>16.22</v>
      </c>
      <c r="H59" s="477">
        <f t="shared" ref="H59:H60" si="22">G59/F59</f>
        <v>0.05813620072</v>
      </c>
      <c r="I59" s="315">
        <f t="shared" ref="I59:I60" si="23">F59-G59</f>
        <v>262.78</v>
      </c>
      <c r="J59" s="316">
        <f t="shared" ref="J59:J60" si="24">F59/G59-1</f>
        <v>16.20098644</v>
      </c>
      <c r="K59" s="760"/>
      <c r="L59" s="318" t="s">
        <v>112</v>
      </c>
      <c r="M59" s="318" t="s">
        <v>112</v>
      </c>
      <c r="N59" s="795"/>
      <c r="O59" s="760"/>
      <c r="P59" s="794"/>
      <c r="Q59" s="794"/>
      <c r="R59" s="794"/>
      <c r="S59" s="794"/>
      <c r="T59" s="794"/>
      <c r="U59" s="794"/>
      <c r="V59" s="794"/>
      <c r="W59" s="794"/>
      <c r="X59" s="794"/>
      <c r="Y59" s="794"/>
      <c r="Z59" s="794"/>
      <c r="AA59" s="794"/>
      <c r="AB59" s="794"/>
      <c r="AC59" s="794"/>
    </row>
    <row r="60" ht="14.25" customHeight="1" outlineLevel="1">
      <c r="A60" s="606" t="s">
        <v>1328</v>
      </c>
      <c r="B60" s="796"/>
      <c r="C60" s="606" t="s">
        <v>1004</v>
      </c>
      <c r="D60" s="606" t="s">
        <v>1327</v>
      </c>
      <c r="E60" s="310">
        <v>700.0</v>
      </c>
      <c r="F60" s="311">
        <v>279.0</v>
      </c>
      <c r="G60" s="313">
        <v>16.22</v>
      </c>
      <c r="H60" s="477">
        <f t="shared" si="22"/>
        <v>0.05813620072</v>
      </c>
      <c r="I60" s="315">
        <f t="shared" si="23"/>
        <v>262.78</v>
      </c>
      <c r="J60" s="316">
        <f t="shared" si="24"/>
        <v>16.20098644</v>
      </c>
      <c r="K60" s="760"/>
      <c r="L60" s="318" t="s">
        <v>112</v>
      </c>
      <c r="M60" s="318" t="s">
        <v>112</v>
      </c>
      <c r="N60" s="795"/>
      <c r="O60" s="760"/>
      <c r="P60" s="794"/>
      <c r="Q60" s="794"/>
      <c r="R60" s="794"/>
      <c r="S60" s="794"/>
      <c r="T60" s="794"/>
      <c r="U60" s="794"/>
      <c r="V60" s="794"/>
      <c r="W60" s="794"/>
      <c r="X60" s="794"/>
      <c r="Y60" s="794"/>
      <c r="Z60" s="794"/>
      <c r="AA60" s="794"/>
      <c r="AB60" s="794"/>
      <c r="AC60" s="794"/>
    </row>
    <row r="61" ht="14.25" customHeight="1">
      <c r="A61" s="594" t="s">
        <v>522</v>
      </c>
      <c r="B61" s="290"/>
      <c r="C61" s="290"/>
      <c r="D61" s="290"/>
      <c r="E61" s="293"/>
      <c r="F61" s="298"/>
      <c r="G61" s="296"/>
      <c r="H61" s="297"/>
      <c r="I61" s="298"/>
      <c r="J61" s="297"/>
      <c r="K61" s="298"/>
      <c r="L61" s="290"/>
      <c r="M61" s="290"/>
      <c r="N61" s="794"/>
      <c r="O61" s="760"/>
      <c r="P61" s="794"/>
      <c r="Q61" s="794"/>
      <c r="R61" s="794"/>
      <c r="S61" s="794"/>
      <c r="T61" s="794"/>
      <c r="U61" s="794"/>
      <c r="V61" s="794"/>
      <c r="W61" s="794"/>
      <c r="X61" s="794"/>
      <c r="Y61" s="794"/>
      <c r="Z61" s="794"/>
      <c r="AA61" s="794"/>
      <c r="AB61" s="794"/>
      <c r="AC61" s="794"/>
    </row>
    <row r="62" ht="14.25" customHeight="1" outlineLevel="1">
      <c r="A62" s="606" t="s">
        <v>1329</v>
      </c>
      <c r="B62" s="796"/>
      <c r="C62" s="606" t="s">
        <v>1004</v>
      </c>
      <c r="D62" s="606" t="s">
        <v>1327</v>
      </c>
      <c r="E62" s="310">
        <v>700.0</v>
      </c>
      <c r="F62" s="311">
        <v>279.0</v>
      </c>
      <c r="G62" s="313">
        <v>16.22</v>
      </c>
      <c r="H62" s="477">
        <f t="shared" ref="H62:H63" si="25">G62/F62</f>
        <v>0.05813620072</v>
      </c>
      <c r="I62" s="315">
        <f t="shared" ref="I62:I63" si="26">F62-G62</f>
        <v>262.78</v>
      </c>
      <c r="J62" s="316">
        <f t="shared" ref="J62:J63" si="27">F62/G62-1</f>
        <v>16.20098644</v>
      </c>
      <c r="K62" s="760"/>
      <c r="L62" s="318" t="s">
        <v>112</v>
      </c>
      <c r="M62" s="318" t="s">
        <v>112</v>
      </c>
      <c r="N62" s="795"/>
      <c r="O62" s="760"/>
      <c r="P62" s="794"/>
      <c r="Q62" s="794"/>
      <c r="R62" s="794"/>
      <c r="S62" s="794"/>
      <c r="T62" s="794"/>
      <c r="U62" s="794"/>
      <c r="V62" s="794"/>
      <c r="W62" s="794"/>
      <c r="X62" s="794"/>
      <c r="Y62" s="794"/>
      <c r="Z62" s="794"/>
      <c r="AA62" s="794"/>
      <c r="AB62" s="794"/>
      <c r="AC62" s="794"/>
    </row>
    <row r="63" ht="14.25" customHeight="1" outlineLevel="1">
      <c r="A63" s="606" t="s">
        <v>526</v>
      </c>
      <c r="B63" s="796"/>
      <c r="C63" s="606" t="s">
        <v>1004</v>
      </c>
      <c r="D63" s="606" t="s">
        <v>1327</v>
      </c>
      <c r="E63" s="310">
        <v>700.0</v>
      </c>
      <c r="F63" s="311">
        <v>279.0</v>
      </c>
      <c r="G63" s="313">
        <v>16.22</v>
      </c>
      <c r="H63" s="477">
        <f t="shared" si="25"/>
        <v>0.05813620072</v>
      </c>
      <c r="I63" s="315">
        <f t="shared" si="26"/>
        <v>262.78</v>
      </c>
      <c r="J63" s="316">
        <f t="shared" si="27"/>
        <v>16.20098644</v>
      </c>
      <c r="K63" s="760"/>
      <c r="L63" s="318" t="s">
        <v>112</v>
      </c>
      <c r="M63" s="318" t="s">
        <v>112</v>
      </c>
      <c r="N63" s="795"/>
      <c r="O63" s="760"/>
      <c r="P63" s="794"/>
      <c r="Q63" s="794"/>
      <c r="R63" s="794"/>
      <c r="S63" s="794"/>
      <c r="T63" s="794"/>
      <c r="U63" s="794"/>
      <c r="V63" s="794"/>
      <c r="W63" s="794"/>
      <c r="X63" s="794"/>
      <c r="Y63" s="794"/>
      <c r="Z63" s="794"/>
      <c r="AA63" s="794"/>
      <c r="AB63" s="794"/>
      <c r="AC63" s="794"/>
    </row>
    <row r="64" ht="14.25" customHeight="1">
      <c r="A64" s="594" t="s">
        <v>528</v>
      </c>
      <c r="B64" s="290"/>
      <c r="C64" s="290"/>
      <c r="D64" s="290"/>
      <c r="E64" s="293"/>
      <c r="F64" s="298"/>
      <c r="G64" s="296"/>
      <c r="H64" s="297"/>
      <c r="I64" s="298"/>
      <c r="J64" s="297"/>
      <c r="K64" s="298"/>
      <c r="L64" s="297"/>
      <c r="M64" s="297"/>
      <c r="N64" s="795"/>
      <c r="O64" s="760"/>
      <c r="P64" s="794"/>
      <c r="Q64" s="794"/>
      <c r="R64" s="794"/>
      <c r="S64" s="794"/>
      <c r="T64" s="794"/>
      <c r="U64" s="794"/>
      <c r="V64" s="794"/>
      <c r="W64" s="794"/>
      <c r="X64" s="794"/>
      <c r="Y64" s="794"/>
      <c r="Z64" s="794"/>
      <c r="AA64" s="794"/>
      <c r="AB64" s="794"/>
      <c r="AC64" s="794"/>
    </row>
    <row r="65" ht="14.25" customHeight="1" outlineLevel="1">
      <c r="A65" s="595" t="s">
        <v>1330</v>
      </c>
      <c r="B65" s="595" t="s">
        <v>1331</v>
      </c>
      <c r="C65" s="595" t="s">
        <v>1332</v>
      </c>
      <c r="D65" s="595" t="s">
        <v>1327</v>
      </c>
      <c r="E65" s="337">
        <v>600.0</v>
      </c>
      <c r="F65" s="311">
        <v>339.0</v>
      </c>
      <c r="G65" s="364">
        <v>36.79</v>
      </c>
      <c r="H65" s="477">
        <f>G65/F65</f>
        <v>0.1085250737</v>
      </c>
      <c r="I65" s="315">
        <f t="shared" ref="I65:I66" si="28">F65-G65</f>
        <v>302.21</v>
      </c>
      <c r="J65" s="316">
        <f t="shared" ref="J65:J66" si="29">F65/G65-1</f>
        <v>8.214460451</v>
      </c>
      <c r="K65" s="760"/>
      <c r="L65" s="318" t="s">
        <v>112</v>
      </c>
      <c r="M65" s="318" t="s">
        <v>112</v>
      </c>
      <c r="N65" s="319">
        <v>289.0</v>
      </c>
      <c r="O65" s="760"/>
      <c r="P65" s="794"/>
      <c r="Q65" s="794"/>
      <c r="R65" s="794"/>
      <c r="S65" s="794"/>
      <c r="T65" s="794"/>
      <c r="U65" s="794"/>
      <c r="V65" s="794"/>
      <c r="W65" s="794"/>
      <c r="X65" s="794"/>
      <c r="Y65" s="794"/>
      <c r="Z65" s="794"/>
      <c r="AA65" s="794"/>
      <c r="AB65" s="794"/>
      <c r="AC65" s="794"/>
    </row>
    <row r="66" ht="14.25" customHeight="1" outlineLevel="1">
      <c r="A66" s="416" t="s">
        <v>1333</v>
      </c>
      <c r="B66" s="422" t="s">
        <v>1334</v>
      </c>
      <c r="C66" s="321" t="s">
        <v>1335</v>
      </c>
      <c r="D66" s="321"/>
      <c r="E66" s="426">
        <v>600.0</v>
      </c>
      <c r="F66" s="311">
        <v>339.0</v>
      </c>
      <c r="G66" s="427">
        <v>47.26</v>
      </c>
      <c r="H66" s="477" t="str">
        <f>G66/M66</f>
        <v>#VALUE!</v>
      </c>
      <c r="I66" s="315">
        <f t="shared" si="28"/>
        <v>291.74</v>
      </c>
      <c r="J66" s="316">
        <f t="shared" si="29"/>
        <v>6.173085061</v>
      </c>
      <c r="K66" s="760"/>
      <c r="L66" s="332" t="s">
        <v>112</v>
      </c>
      <c r="M66" s="332" t="s">
        <v>112</v>
      </c>
      <c r="N66" s="429">
        <v>279.0</v>
      </c>
      <c r="O66" s="760"/>
      <c r="P66" s="794"/>
      <c r="Q66" s="794"/>
      <c r="R66" s="794"/>
      <c r="S66" s="794"/>
      <c r="T66" s="794"/>
      <c r="U66" s="794"/>
      <c r="V66" s="794"/>
      <c r="W66" s="794"/>
      <c r="X66" s="794"/>
      <c r="Y66" s="794"/>
      <c r="Z66" s="794"/>
      <c r="AA66" s="794"/>
      <c r="AB66" s="794"/>
      <c r="AC66" s="794"/>
    </row>
    <row r="67" ht="14.25" customHeight="1">
      <c r="A67" s="594" t="s">
        <v>555</v>
      </c>
      <c r="B67" s="594"/>
      <c r="C67" s="290"/>
      <c r="D67" s="290"/>
      <c r="E67" s="293"/>
      <c r="F67" s="298"/>
      <c r="G67" s="296"/>
      <c r="H67" s="297"/>
      <c r="I67" s="298"/>
      <c r="J67" s="297"/>
      <c r="K67" s="298"/>
      <c r="L67" s="297"/>
      <c r="M67" s="297"/>
      <c r="N67" s="795"/>
      <c r="O67" s="760"/>
      <c r="P67" s="794"/>
      <c r="Q67" s="794"/>
      <c r="R67" s="794"/>
      <c r="S67" s="794"/>
      <c r="T67" s="794"/>
      <c r="U67" s="794"/>
      <c r="V67" s="794"/>
      <c r="W67" s="794"/>
      <c r="X67" s="794"/>
      <c r="Y67" s="794"/>
      <c r="Z67" s="794"/>
      <c r="AA67" s="794"/>
      <c r="AB67" s="794"/>
      <c r="AC67" s="794"/>
    </row>
    <row r="68" ht="14.25" customHeight="1" outlineLevel="1">
      <c r="A68" s="595" t="s">
        <v>560</v>
      </c>
      <c r="B68" s="416"/>
      <c r="C68" s="595" t="s">
        <v>993</v>
      </c>
      <c r="D68" s="595" t="s">
        <v>1336</v>
      </c>
      <c r="E68" s="339">
        <v>180.0</v>
      </c>
      <c r="F68" s="301">
        <v>159.0</v>
      </c>
      <c r="G68" s="335">
        <v>20.08</v>
      </c>
      <c r="H68" s="477">
        <f t="shared" ref="H68:H75" si="30">G68/F68</f>
        <v>0.1262893082</v>
      </c>
      <c r="I68" s="315">
        <f t="shared" ref="I68:I75" si="31">F68-G68</f>
        <v>138.92</v>
      </c>
      <c r="J68" s="316">
        <f t="shared" ref="J68:J75" si="32">F68/G68-1</f>
        <v>6.918326693</v>
      </c>
      <c r="K68" s="760"/>
      <c r="L68" s="318" t="s">
        <v>112</v>
      </c>
      <c r="M68" s="318" t="s">
        <v>112</v>
      </c>
      <c r="N68" s="300">
        <v>139.0</v>
      </c>
      <c r="O68" s="760"/>
      <c r="P68" s="794"/>
      <c r="Q68" s="794"/>
      <c r="R68" s="794"/>
      <c r="S68" s="794"/>
      <c r="T68" s="794"/>
      <c r="U68" s="794"/>
      <c r="V68" s="794"/>
      <c r="W68" s="794"/>
      <c r="X68" s="794"/>
      <c r="Y68" s="794"/>
      <c r="Z68" s="794"/>
      <c r="AA68" s="794"/>
      <c r="AB68" s="794"/>
      <c r="AC68" s="794"/>
    </row>
    <row r="69" ht="14.25" customHeight="1" outlineLevel="1">
      <c r="A69" s="595" t="s">
        <v>562</v>
      </c>
      <c r="B69" s="416"/>
      <c r="C69" s="595" t="s">
        <v>994</v>
      </c>
      <c r="D69" s="595" t="s">
        <v>1336</v>
      </c>
      <c r="E69" s="339">
        <v>340.0</v>
      </c>
      <c r="F69" s="301">
        <v>259.0</v>
      </c>
      <c r="G69" s="335">
        <v>28.05</v>
      </c>
      <c r="H69" s="477">
        <f t="shared" si="30"/>
        <v>0.1083011583</v>
      </c>
      <c r="I69" s="315">
        <f t="shared" si="31"/>
        <v>230.95</v>
      </c>
      <c r="J69" s="316">
        <f t="shared" si="32"/>
        <v>8.233511586</v>
      </c>
      <c r="K69" s="760"/>
      <c r="L69" s="318" t="s">
        <v>112</v>
      </c>
      <c r="M69" s="318" t="s">
        <v>112</v>
      </c>
      <c r="N69" s="300">
        <v>229.0</v>
      </c>
      <c r="O69" s="760"/>
      <c r="P69" s="794"/>
      <c r="Q69" s="794"/>
      <c r="R69" s="794"/>
      <c r="S69" s="794"/>
      <c r="T69" s="794"/>
      <c r="U69" s="794"/>
      <c r="V69" s="794"/>
      <c r="W69" s="794"/>
      <c r="X69" s="794"/>
      <c r="Y69" s="794"/>
      <c r="Z69" s="794"/>
      <c r="AA69" s="794"/>
      <c r="AB69" s="794"/>
      <c r="AC69" s="794"/>
    </row>
    <row r="70" ht="14.25" customHeight="1" outlineLevel="1">
      <c r="A70" s="595" t="s">
        <v>563</v>
      </c>
      <c r="B70" s="595" t="s">
        <v>564</v>
      </c>
      <c r="C70" s="595" t="s">
        <v>995</v>
      </c>
      <c r="D70" s="595" t="s">
        <v>1336</v>
      </c>
      <c r="E70" s="339">
        <v>200.0</v>
      </c>
      <c r="F70" s="301">
        <v>199.0</v>
      </c>
      <c r="G70" s="335">
        <v>35.61</v>
      </c>
      <c r="H70" s="477">
        <f t="shared" si="30"/>
        <v>0.1789447236</v>
      </c>
      <c r="I70" s="315">
        <f t="shared" si="31"/>
        <v>163.39</v>
      </c>
      <c r="J70" s="316">
        <f t="shared" si="32"/>
        <v>4.588317888</v>
      </c>
      <c r="K70" s="760"/>
      <c r="L70" s="318" t="s">
        <v>112</v>
      </c>
      <c r="M70" s="318" t="s">
        <v>112</v>
      </c>
      <c r="N70" s="300">
        <v>159.0</v>
      </c>
      <c r="O70" s="760"/>
      <c r="P70" s="794"/>
      <c r="Q70" s="794"/>
      <c r="R70" s="794"/>
      <c r="S70" s="794"/>
      <c r="T70" s="794"/>
      <c r="U70" s="794"/>
      <c r="V70" s="794"/>
      <c r="W70" s="794"/>
      <c r="X70" s="794"/>
      <c r="Y70" s="794"/>
      <c r="Z70" s="794"/>
      <c r="AA70" s="794"/>
      <c r="AB70" s="794"/>
      <c r="AC70" s="794"/>
    </row>
    <row r="71" ht="14.25" customHeight="1" outlineLevel="1">
      <c r="A71" s="595" t="s">
        <v>566</v>
      </c>
      <c r="B71" s="595" t="s">
        <v>567</v>
      </c>
      <c r="C71" s="595" t="s">
        <v>996</v>
      </c>
      <c r="D71" s="595" t="s">
        <v>1336</v>
      </c>
      <c r="E71" s="339">
        <v>340.0</v>
      </c>
      <c r="F71" s="301">
        <v>329.0</v>
      </c>
      <c r="G71" s="335">
        <v>48.91</v>
      </c>
      <c r="H71" s="477">
        <f t="shared" si="30"/>
        <v>0.148662614</v>
      </c>
      <c r="I71" s="315">
        <f t="shared" si="31"/>
        <v>280.09</v>
      </c>
      <c r="J71" s="316">
        <f t="shared" si="32"/>
        <v>5.726640769</v>
      </c>
      <c r="K71" s="760"/>
      <c r="L71" s="318" t="s">
        <v>112</v>
      </c>
      <c r="M71" s="318" t="s">
        <v>112</v>
      </c>
      <c r="N71" s="300">
        <v>289.0</v>
      </c>
      <c r="O71" s="760"/>
      <c r="P71" s="794"/>
      <c r="Q71" s="794"/>
      <c r="R71" s="794"/>
      <c r="S71" s="794"/>
      <c r="T71" s="794"/>
      <c r="U71" s="794"/>
      <c r="V71" s="794"/>
      <c r="W71" s="794"/>
      <c r="X71" s="794"/>
      <c r="Y71" s="794"/>
      <c r="Z71" s="794"/>
      <c r="AA71" s="794"/>
      <c r="AB71" s="794"/>
      <c r="AC71" s="794"/>
    </row>
    <row r="72" ht="14.25" customHeight="1" outlineLevel="1">
      <c r="A72" s="595" t="s">
        <v>568</v>
      </c>
      <c r="B72" s="416"/>
      <c r="C72" s="595" t="s">
        <v>995</v>
      </c>
      <c r="D72" s="595" t="s">
        <v>1336</v>
      </c>
      <c r="E72" s="339">
        <v>200.0</v>
      </c>
      <c r="F72" s="301">
        <v>199.0</v>
      </c>
      <c r="G72" s="335">
        <v>35.0</v>
      </c>
      <c r="H72" s="477">
        <f t="shared" si="30"/>
        <v>0.175879397</v>
      </c>
      <c r="I72" s="315">
        <f t="shared" si="31"/>
        <v>164</v>
      </c>
      <c r="J72" s="316">
        <f t="shared" si="32"/>
        <v>4.685714286</v>
      </c>
      <c r="K72" s="760"/>
      <c r="L72" s="318" t="s">
        <v>112</v>
      </c>
      <c r="M72" s="318" t="s">
        <v>112</v>
      </c>
      <c r="N72" s="300">
        <v>159.0</v>
      </c>
      <c r="O72" s="760"/>
      <c r="P72" s="794"/>
      <c r="Q72" s="794"/>
      <c r="R72" s="794"/>
      <c r="S72" s="794"/>
      <c r="T72" s="794"/>
      <c r="U72" s="794"/>
      <c r="V72" s="794"/>
      <c r="W72" s="794"/>
      <c r="X72" s="794"/>
      <c r="Y72" s="794"/>
      <c r="Z72" s="794"/>
      <c r="AA72" s="794"/>
      <c r="AB72" s="794"/>
      <c r="AC72" s="794"/>
    </row>
    <row r="73" ht="14.25" customHeight="1" outlineLevel="1">
      <c r="A73" s="595" t="s">
        <v>570</v>
      </c>
      <c r="B73" s="416"/>
      <c r="C73" s="595" t="s">
        <v>996</v>
      </c>
      <c r="D73" s="595" t="s">
        <v>1336</v>
      </c>
      <c r="E73" s="339">
        <v>400.0</v>
      </c>
      <c r="F73" s="301">
        <v>329.0</v>
      </c>
      <c r="G73" s="335">
        <v>52.53</v>
      </c>
      <c r="H73" s="477">
        <f t="shared" si="30"/>
        <v>0.1596656535</v>
      </c>
      <c r="I73" s="315">
        <f t="shared" si="31"/>
        <v>276.47</v>
      </c>
      <c r="J73" s="316">
        <f t="shared" si="32"/>
        <v>5.263087759</v>
      </c>
      <c r="K73" s="760"/>
      <c r="L73" s="318" t="s">
        <v>112</v>
      </c>
      <c r="M73" s="318" t="s">
        <v>112</v>
      </c>
      <c r="N73" s="300">
        <v>289.0</v>
      </c>
      <c r="O73" s="760"/>
      <c r="P73" s="794"/>
      <c r="Q73" s="794"/>
      <c r="R73" s="794"/>
      <c r="S73" s="794"/>
      <c r="T73" s="794"/>
      <c r="U73" s="794"/>
      <c r="V73" s="794"/>
      <c r="W73" s="794"/>
      <c r="X73" s="794"/>
      <c r="Y73" s="794"/>
      <c r="Z73" s="794"/>
      <c r="AA73" s="794"/>
      <c r="AB73" s="794"/>
      <c r="AC73" s="794"/>
    </row>
    <row r="74" ht="14.25" customHeight="1" outlineLevel="1">
      <c r="A74" s="595" t="s">
        <v>571</v>
      </c>
      <c r="B74" s="416"/>
      <c r="C74" s="595" t="s">
        <v>997</v>
      </c>
      <c r="D74" s="595" t="s">
        <v>1336</v>
      </c>
      <c r="E74" s="339">
        <v>200.0</v>
      </c>
      <c r="F74" s="301">
        <v>299.0</v>
      </c>
      <c r="G74" s="335">
        <v>53.49</v>
      </c>
      <c r="H74" s="477">
        <f t="shared" si="30"/>
        <v>0.1788963211</v>
      </c>
      <c r="I74" s="315">
        <f t="shared" si="31"/>
        <v>245.51</v>
      </c>
      <c r="J74" s="316">
        <f t="shared" si="32"/>
        <v>4.589829875</v>
      </c>
      <c r="K74" s="760"/>
      <c r="L74" s="318" t="s">
        <v>112</v>
      </c>
      <c r="M74" s="318" t="s">
        <v>112</v>
      </c>
      <c r="N74" s="300">
        <v>249.0</v>
      </c>
      <c r="O74" s="760"/>
      <c r="P74" s="794"/>
      <c r="Q74" s="794"/>
      <c r="R74" s="794"/>
      <c r="S74" s="794"/>
      <c r="T74" s="794"/>
      <c r="U74" s="794"/>
      <c r="V74" s="794"/>
      <c r="W74" s="794"/>
      <c r="X74" s="794"/>
      <c r="Y74" s="794"/>
      <c r="Z74" s="794"/>
      <c r="AA74" s="794"/>
      <c r="AB74" s="794"/>
      <c r="AC74" s="794"/>
    </row>
    <row r="75" ht="14.25" customHeight="1" outlineLevel="1">
      <c r="A75" s="595" t="s">
        <v>573</v>
      </c>
      <c r="B75" s="416"/>
      <c r="C75" s="595" t="s">
        <v>998</v>
      </c>
      <c r="D75" s="595" t="s">
        <v>1336</v>
      </c>
      <c r="E75" s="339">
        <v>400.0</v>
      </c>
      <c r="F75" s="311">
        <v>449.0</v>
      </c>
      <c r="G75" s="335">
        <v>94.14</v>
      </c>
      <c r="H75" s="332">
        <f t="shared" si="30"/>
        <v>0.2096659243</v>
      </c>
      <c r="I75" s="315">
        <f t="shared" si="31"/>
        <v>354.86</v>
      </c>
      <c r="J75" s="316">
        <f t="shared" si="32"/>
        <v>3.769492246</v>
      </c>
      <c r="K75" s="760"/>
      <c r="L75" s="318" t="s">
        <v>112</v>
      </c>
      <c r="M75" s="318" t="s">
        <v>112</v>
      </c>
      <c r="N75" s="319">
        <v>399.0</v>
      </c>
      <c r="O75" s="760"/>
      <c r="P75" s="794"/>
      <c r="Q75" s="794"/>
      <c r="R75" s="794"/>
      <c r="S75" s="794"/>
      <c r="T75" s="794"/>
      <c r="U75" s="794"/>
      <c r="V75" s="794"/>
      <c r="W75" s="794"/>
      <c r="X75" s="794"/>
      <c r="Y75" s="794"/>
      <c r="Z75" s="794"/>
      <c r="AA75" s="794"/>
      <c r="AB75" s="794"/>
      <c r="AC75" s="794"/>
    </row>
    <row r="76" ht="14.25" customHeight="1">
      <c r="A76" s="594" t="s">
        <v>917</v>
      </c>
      <c r="B76" s="290"/>
      <c r="C76" s="290"/>
      <c r="D76" s="290"/>
      <c r="E76" s="293"/>
      <c r="F76" s="298"/>
      <c r="G76" s="296"/>
      <c r="H76" s="297"/>
      <c r="I76" s="298"/>
      <c r="J76" s="297"/>
      <c r="K76" s="298"/>
      <c r="L76" s="290"/>
      <c r="M76" s="290"/>
      <c r="N76" s="795"/>
      <c r="O76" s="760"/>
      <c r="P76" s="794"/>
      <c r="Q76" s="794"/>
      <c r="R76" s="794"/>
      <c r="S76" s="794"/>
      <c r="T76" s="794"/>
      <c r="U76" s="794"/>
      <c r="V76" s="794"/>
      <c r="W76" s="794"/>
      <c r="X76" s="794"/>
      <c r="Y76" s="794"/>
      <c r="Z76" s="794"/>
      <c r="AA76" s="794"/>
      <c r="AB76" s="794"/>
      <c r="AC76" s="794"/>
    </row>
    <row r="77" ht="14.25" customHeight="1" outlineLevel="1">
      <c r="A77" s="595" t="s">
        <v>919</v>
      </c>
      <c r="B77" s="416"/>
      <c r="C77" s="595" t="s">
        <v>1337</v>
      </c>
      <c r="D77" s="416"/>
      <c r="E77" s="337">
        <v>1000.0</v>
      </c>
      <c r="F77" s="301">
        <v>429.0</v>
      </c>
      <c r="G77" s="364">
        <v>47.94</v>
      </c>
      <c r="H77" s="477">
        <f t="shared" ref="H77:H79" si="33">G77/F77</f>
        <v>0.1117482517</v>
      </c>
      <c r="I77" s="315">
        <f t="shared" ref="I77:I79" si="34">F77-G77</f>
        <v>381.06</v>
      </c>
      <c r="J77" s="316">
        <f t="shared" ref="J77:J79" si="35">F77/G77-1</f>
        <v>7.948685857</v>
      </c>
      <c r="K77" s="760"/>
      <c r="L77" s="318" t="s">
        <v>112</v>
      </c>
      <c r="M77" s="318" t="s">
        <v>112</v>
      </c>
      <c r="N77" s="300">
        <v>349.0</v>
      </c>
      <c r="O77" s="760"/>
      <c r="P77" s="457"/>
      <c r="Q77" s="457"/>
      <c r="R77" s="457"/>
      <c r="S77" s="457"/>
      <c r="T77" s="457"/>
      <c r="U77" s="457"/>
      <c r="V77" s="457"/>
      <c r="W77" s="457"/>
      <c r="X77" s="457"/>
      <c r="Y77" s="457"/>
      <c r="Z77" s="457"/>
      <c r="AA77" s="457"/>
      <c r="AB77" s="794"/>
      <c r="AC77" s="794"/>
    </row>
    <row r="78" ht="14.25" customHeight="1" outlineLevel="1">
      <c r="A78" s="595" t="s">
        <v>1338</v>
      </c>
      <c r="B78" s="416"/>
      <c r="C78" s="416"/>
      <c r="D78" s="416"/>
      <c r="E78" s="339">
        <v>1000.0</v>
      </c>
      <c r="F78" s="311">
        <v>429.0</v>
      </c>
      <c r="G78" s="335">
        <v>50.26</v>
      </c>
      <c r="H78" s="477">
        <f t="shared" si="33"/>
        <v>0.1171561772</v>
      </c>
      <c r="I78" s="315">
        <f t="shared" si="34"/>
        <v>378.74</v>
      </c>
      <c r="J78" s="316">
        <f t="shared" si="35"/>
        <v>7.535614803</v>
      </c>
      <c r="K78" s="760"/>
      <c r="L78" s="454"/>
      <c r="M78" s="454"/>
      <c r="N78" s="577"/>
      <c r="O78" s="760"/>
      <c r="P78" s="491"/>
      <c r="Q78" s="491"/>
      <c r="R78" s="491"/>
      <c r="S78" s="491"/>
      <c r="T78" s="491"/>
      <c r="U78" s="491"/>
      <c r="V78" s="491"/>
      <c r="W78" s="491"/>
      <c r="X78" s="491"/>
      <c r="Y78" s="491"/>
      <c r="Z78" s="491"/>
      <c r="AA78" s="491"/>
      <c r="AB78" s="794"/>
      <c r="AC78" s="794"/>
    </row>
    <row r="79" ht="14.25" customHeight="1" outlineLevel="1">
      <c r="A79" s="797" t="s">
        <v>920</v>
      </c>
      <c r="B79" s="416"/>
      <c r="C79" s="595" t="s">
        <v>1339</v>
      </c>
      <c r="D79" s="416"/>
      <c r="E79" s="339">
        <v>300.0</v>
      </c>
      <c r="F79" s="301">
        <v>289.0</v>
      </c>
      <c r="G79" s="335">
        <v>22.29</v>
      </c>
      <c r="H79" s="477">
        <f t="shared" si="33"/>
        <v>0.07712802768</v>
      </c>
      <c r="I79" s="315">
        <f t="shared" si="34"/>
        <v>266.71</v>
      </c>
      <c r="J79" s="316">
        <f t="shared" si="35"/>
        <v>11.96545536</v>
      </c>
      <c r="K79" s="760"/>
      <c r="L79" s="318" t="s">
        <v>112</v>
      </c>
      <c r="M79" s="343" t="s">
        <v>111</v>
      </c>
      <c r="N79" s="300">
        <v>269.0</v>
      </c>
      <c r="O79" s="760"/>
      <c r="P79" s="457"/>
      <c r="Q79" s="457"/>
      <c r="R79" s="457"/>
      <c r="S79" s="457"/>
      <c r="T79" s="457"/>
      <c r="U79" s="457"/>
      <c r="V79" s="457"/>
      <c r="W79" s="457"/>
      <c r="X79" s="457"/>
      <c r="Y79" s="457"/>
      <c r="Z79" s="457"/>
      <c r="AA79" s="457"/>
      <c r="AB79" s="794"/>
      <c r="AC79" s="794"/>
    </row>
    <row r="80" ht="14.25" customHeight="1">
      <c r="A80" s="594" t="s">
        <v>612</v>
      </c>
      <c r="B80" s="290"/>
      <c r="C80" s="290"/>
      <c r="D80" s="290"/>
      <c r="E80" s="293"/>
      <c r="F80" s="298"/>
      <c r="G80" s="296"/>
      <c r="H80" s="297"/>
      <c r="I80" s="298"/>
      <c r="J80" s="297"/>
      <c r="K80" s="298"/>
      <c r="L80" s="290"/>
      <c r="M80" s="290"/>
      <c r="N80" s="794"/>
      <c r="O80" s="760"/>
      <c r="P80" s="794"/>
      <c r="Q80" s="794"/>
      <c r="R80" s="794"/>
      <c r="S80" s="794"/>
      <c r="T80" s="794"/>
      <c r="U80" s="794"/>
      <c r="V80" s="794"/>
      <c r="W80" s="794"/>
      <c r="X80" s="794"/>
      <c r="Y80" s="794"/>
      <c r="Z80" s="794"/>
      <c r="AA80" s="794"/>
      <c r="AB80" s="794"/>
      <c r="AC80" s="794"/>
    </row>
    <row r="81" ht="12.75" customHeight="1" outlineLevel="1">
      <c r="A81" s="595" t="s">
        <v>1340</v>
      </c>
      <c r="B81" s="416"/>
      <c r="C81" s="416"/>
      <c r="D81" s="416"/>
      <c r="E81" s="339">
        <v>200.0</v>
      </c>
      <c r="F81" s="301">
        <v>89.0</v>
      </c>
      <c r="G81" s="335">
        <v>12.47</v>
      </c>
      <c r="H81" s="477">
        <f t="shared" ref="H81:H90" si="36">G81/F81</f>
        <v>0.1401123596</v>
      </c>
      <c r="I81" s="315">
        <f t="shared" ref="I81:I90" si="37">F81-G81</f>
        <v>76.53</v>
      </c>
      <c r="J81" s="316">
        <f t="shared" ref="J81:J90" si="38">F81/G81-1</f>
        <v>6.13712911</v>
      </c>
      <c r="K81" s="760"/>
      <c r="L81" s="343" t="s">
        <v>111</v>
      </c>
      <c r="M81" s="343" t="s">
        <v>111</v>
      </c>
      <c r="N81" s="300">
        <v>219.0</v>
      </c>
      <c r="O81" s="760"/>
      <c r="P81" s="457"/>
      <c r="Q81" s="457"/>
      <c r="R81" s="457"/>
      <c r="S81" s="457"/>
      <c r="T81" s="457"/>
      <c r="U81" s="457"/>
      <c r="V81" s="457"/>
      <c r="W81" s="457"/>
      <c r="X81" s="457"/>
      <c r="Y81" s="457"/>
      <c r="Z81" s="457"/>
      <c r="AA81" s="457"/>
      <c r="AB81" s="794"/>
      <c r="AC81" s="794"/>
    </row>
    <row r="82" ht="14.25" customHeight="1" outlineLevel="1">
      <c r="A82" s="595" t="s">
        <v>1341</v>
      </c>
      <c r="B82" s="416"/>
      <c r="C82" s="416"/>
      <c r="D82" s="416"/>
      <c r="E82" s="339">
        <v>1000.0</v>
      </c>
      <c r="F82" s="301">
        <v>389.0</v>
      </c>
      <c r="G82" s="335">
        <v>49.87</v>
      </c>
      <c r="H82" s="477">
        <f t="shared" si="36"/>
        <v>0.1282005141</v>
      </c>
      <c r="I82" s="315">
        <f t="shared" si="37"/>
        <v>339.13</v>
      </c>
      <c r="J82" s="316">
        <f t="shared" si="38"/>
        <v>6.80028073</v>
      </c>
      <c r="K82" s="760"/>
      <c r="L82" s="318" t="s">
        <v>112</v>
      </c>
      <c r="M82" s="343" t="s">
        <v>111</v>
      </c>
      <c r="N82" s="319">
        <v>239.0</v>
      </c>
      <c r="O82" s="760"/>
      <c r="P82" s="457"/>
      <c r="Q82" s="457"/>
      <c r="R82" s="457"/>
      <c r="S82" s="457"/>
      <c r="T82" s="457"/>
      <c r="U82" s="457"/>
      <c r="V82" s="457"/>
      <c r="W82" s="457"/>
      <c r="X82" s="457"/>
      <c r="Y82" s="457"/>
      <c r="Z82" s="457"/>
      <c r="AA82" s="457"/>
      <c r="AB82" s="794"/>
      <c r="AC82" s="794"/>
    </row>
    <row r="83" ht="14.25" customHeight="1" outlineLevel="1">
      <c r="A83" s="595" t="s">
        <v>1342</v>
      </c>
      <c r="B83" s="416"/>
      <c r="C83" s="416"/>
      <c r="D83" s="416"/>
      <c r="E83" s="339">
        <v>200.0</v>
      </c>
      <c r="F83" s="301">
        <v>99.0</v>
      </c>
      <c r="G83" s="335">
        <v>27.0</v>
      </c>
      <c r="H83" s="332">
        <f t="shared" si="36"/>
        <v>0.2727272727</v>
      </c>
      <c r="I83" s="315">
        <f t="shared" si="37"/>
        <v>72</v>
      </c>
      <c r="J83" s="316">
        <f t="shared" si="38"/>
        <v>2.666666667</v>
      </c>
      <c r="K83" s="760"/>
      <c r="L83" s="343" t="s">
        <v>111</v>
      </c>
      <c r="M83" s="343" t="s">
        <v>111</v>
      </c>
      <c r="N83" s="300">
        <v>219.0</v>
      </c>
      <c r="O83" s="760"/>
      <c r="P83" s="457"/>
      <c r="Q83" s="457"/>
      <c r="R83" s="457"/>
      <c r="S83" s="457"/>
      <c r="T83" s="457"/>
      <c r="U83" s="457"/>
      <c r="V83" s="457"/>
      <c r="W83" s="457"/>
      <c r="X83" s="457"/>
      <c r="Y83" s="457"/>
      <c r="Z83" s="457"/>
      <c r="AA83" s="457"/>
      <c r="AB83" s="794"/>
      <c r="AC83" s="794"/>
    </row>
    <row r="84" ht="14.25" customHeight="1" outlineLevel="1">
      <c r="A84" s="595" t="s">
        <v>1343</v>
      </c>
      <c r="B84" s="416"/>
      <c r="C84" s="416"/>
      <c r="D84" s="416"/>
      <c r="E84" s="339">
        <v>1000.0</v>
      </c>
      <c r="F84" s="301">
        <v>469.0</v>
      </c>
      <c r="G84" s="335">
        <v>138.64</v>
      </c>
      <c r="H84" s="332">
        <f t="shared" si="36"/>
        <v>0.2956076759</v>
      </c>
      <c r="I84" s="315">
        <f t="shared" si="37"/>
        <v>330.36</v>
      </c>
      <c r="J84" s="316">
        <f t="shared" si="38"/>
        <v>2.382862089</v>
      </c>
      <c r="K84" s="760"/>
      <c r="L84" s="318" t="s">
        <v>112</v>
      </c>
      <c r="M84" s="343" t="s">
        <v>111</v>
      </c>
      <c r="N84" s="319">
        <v>239.0</v>
      </c>
      <c r="O84" s="760"/>
      <c r="P84" s="457"/>
      <c r="Q84" s="457"/>
      <c r="R84" s="457"/>
      <c r="S84" s="457"/>
      <c r="T84" s="457"/>
      <c r="U84" s="457"/>
      <c r="V84" s="457"/>
      <c r="W84" s="457"/>
      <c r="X84" s="457"/>
      <c r="Y84" s="457"/>
      <c r="Z84" s="457"/>
      <c r="AA84" s="457"/>
      <c r="AB84" s="794"/>
      <c r="AC84" s="794"/>
    </row>
    <row r="85" ht="14.25" customHeight="1" outlineLevel="1">
      <c r="A85" s="595" t="s">
        <v>1344</v>
      </c>
      <c r="B85" s="416"/>
      <c r="C85" s="416"/>
      <c r="D85" s="416"/>
      <c r="E85" s="339">
        <v>250.0</v>
      </c>
      <c r="F85" s="301">
        <v>249.0</v>
      </c>
      <c r="G85" s="335">
        <v>56.12</v>
      </c>
      <c r="H85" s="332">
        <f t="shared" si="36"/>
        <v>0.2253815261</v>
      </c>
      <c r="I85" s="315">
        <f t="shared" si="37"/>
        <v>192.88</v>
      </c>
      <c r="J85" s="316">
        <f t="shared" si="38"/>
        <v>3.436920884</v>
      </c>
      <c r="K85" s="760"/>
      <c r="L85" s="318" t="s">
        <v>112</v>
      </c>
      <c r="M85" s="343" t="s">
        <v>111</v>
      </c>
      <c r="N85" s="300">
        <v>79.0</v>
      </c>
      <c r="O85" s="760"/>
      <c r="P85" s="457"/>
      <c r="Q85" s="457"/>
      <c r="R85" s="457"/>
      <c r="S85" s="457"/>
      <c r="T85" s="457"/>
      <c r="U85" s="457"/>
      <c r="V85" s="457"/>
      <c r="W85" s="457"/>
      <c r="X85" s="457"/>
      <c r="Y85" s="457"/>
      <c r="Z85" s="457"/>
      <c r="AA85" s="457"/>
      <c r="AB85" s="794"/>
      <c r="AC85" s="794"/>
    </row>
    <row r="86" ht="14.25" customHeight="1" outlineLevel="1">
      <c r="A86" s="595" t="s">
        <v>1345</v>
      </c>
      <c r="B86" s="416"/>
      <c r="C86" s="416"/>
      <c r="D86" s="416"/>
      <c r="E86" s="339">
        <v>500.0</v>
      </c>
      <c r="F86" s="311">
        <v>269.0</v>
      </c>
      <c r="G86" s="335">
        <v>63.05</v>
      </c>
      <c r="H86" s="332">
        <f t="shared" si="36"/>
        <v>0.2343866171</v>
      </c>
      <c r="I86" s="315">
        <f t="shared" si="37"/>
        <v>205.95</v>
      </c>
      <c r="J86" s="316">
        <f t="shared" si="38"/>
        <v>3.266455194</v>
      </c>
      <c r="K86" s="760"/>
      <c r="L86" s="343" t="s">
        <v>111</v>
      </c>
      <c r="M86" s="343" t="s">
        <v>111</v>
      </c>
      <c r="N86" s="300">
        <v>369.0</v>
      </c>
      <c r="O86" s="760"/>
      <c r="P86" s="798">
        <f>F86/4</f>
        <v>67.25</v>
      </c>
      <c r="Q86" s="457"/>
      <c r="R86" s="457"/>
      <c r="S86" s="457"/>
      <c r="T86" s="457"/>
      <c r="U86" s="457"/>
      <c r="V86" s="457"/>
      <c r="W86" s="457"/>
      <c r="X86" s="457"/>
      <c r="Y86" s="457"/>
      <c r="Z86" s="457"/>
      <c r="AA86" s="457"/>
      <c r="AB86" s="794"/>
      <c r="AC86" s="794"/>
    </row>
    <row r="87" ht="14.25" customHeight="1" outlineLevel="1">
      <c r="A87" s="595" t="s">
        <v>1346</v>
      </c>
      <c r="B87" s="416"/>
      <c r="C87" s="416"/>
      <c r="D87" s="416"/>
      <c r="E87" s="339">
        <v>250.0</v>
      </c>
      <c r="F87" s="301">
        <v>249.0</v>
      </c>
      <c r="G87" s="335">
        <v>56.12</v>
      </c>
      <c r="H87" s="332">
        <f t="shared" si="36"/>
        <v>0.2253815261</v>
      </c>
      <c r="I87" s="315">
        <f t="shared" si="37"/>
        <v>192.88</v>
      </c>
      <c r="J87" s="316">
        <f t="shared" si="38"/>
        <v>3.436920884</v>
      </c>
      <c r="K87" s="760"/>
      <c r="L87" s="318" t="s">
        <v>112</v>
      </c>
      <c r="M87" s="343" t="s">
        <v>111</v>
      </c>
      <c r="N87" s="300">
        <v>99.0</v>
      </c>
      <c r="O87" s="760"/>
      <c r="P87" s="457"/>
      <c r="Q87" s="457"/>
      <c r="R87" s="457"/>
      <c r="S87" s="457"/>
      <c r="T87" s="457"/>
      <c r="U87" s="457"/>
      <c r="V87" s="457"/>
      <c r="W87" s="457"/>
      <c r="X87" s="457"/>
      <c r="Y87" s="457"/>
      <c r="Z87" s="457"/>
      <c r="AA87" s="457"/>
      <c r="AB87" s="794"/>
      <c r="AC87" s="794"/>
    </row>
    <row r="88" ht="14.25" customHeight="1" outlineLevel="1">
      <c r="A88" s="595" t="s">
        <v>1347</v>
      </c>
      <c r="B88" s="416"/>
      <c r="C88" s="416"/>
      <c r="D88" s="416"/>
      <c r="E88" s="339">
        <v>500.0</v>
      </c>
      <c r="F88" s="311">
        <v>269.0</v>
      </c>
      <c r="G88" s="335">
        <v>63.05</v>
      </c>
      <c r="H88" s="332">
        <f t="shared" si="36"/>
        <v>0.2343866171</v>
      </c>
      <c r="I88" s="315">
        <f t="shared" si="37"/>
        <v>205.95</v>
      </c>
      <c r="J88" s="316">
        <f t="shared" si="38"/>
        <v>3.266455194</v>
      </c>
      <c r="K88" s="760"/>
      <c r="L88" s="343" t="s">
        <v>111</v>
      </c>
      <c r="M88" s="343" t="s">
        <v>111</v>
      </c>
      <c r="N88" s="300">
        <v>459.0</v>
      </c>
      <c r="O88" s="760"/>
      <c r="P88" s="457"/>
      <c r="Q88" s="457"/>
      <c r="R88" s="457"/>
      <c r="S88" s="457"/>
      <c r="T88" s="457"/>
      <c r="U88" s="457"/>
      <c r="V88" s="457"/>
      <c r="W88" s="457"/>
      <c r="X88" s="457"/>
      <c r="Y88" s="457"/>
      <c r="Z88" s="457"/>
      <c r="AA88" s="457"/>
      <c r="AB88" s="794"/>
      <c r="AC88" s="794"/>
    </row>
    <row r="89" ht="14.25" customHeight="1" outlineLevel="1">
      <c r="A89" s="595" t="s">
        <v>1348</v>
      </c>
      <c r="B89" s="416"/>
      <c r="C89" s="416"/>
      <c r="D89" s="416"/>
      <c r="E89" s="339">
        <v>250.0</v>
      </c>
      <c r="F89" s="301">
        <v>249.0</v>
      </c>
      <c r="G89" s="335">
        <v>56.12</v>
      </c>
      <c r="H89" s="332">
        <f t="shared" si="36"/>
        <v>0.2253815261</v>
      </c>
      <c r="I89" s="315">
        <f t="shared" si="37"/>
        <v>192.88</v>
      </c>
      <c r="J89" s="316">
        <f t="shared" si="38"/>
        <v>3.436920884</v>
      </c>
      <c r="K89" s="760"/>
      <c r="L89" s="343" t="s">
        <v>111</v>
      </c>
      <c r="M89" s="343" t="s">
        <v>111</v>
      </c>
      <c r="N89" s="300">
        <v>199.0</v>
      </c>
      <c r="O89" s="760"/>
      <c r="P89" s="457"/>
      <c r="Q89" s="457"/>
      <c r="R89" s="457"/>
      <c r="S89" s="457"/>
      <c r="T89" s="457"/>
      <c r="U89" s="457"/>
      <c r="V89" s="457"/>
      <c r="W89" s="457"/>
      <c r="X89" s="457"/>
      <c r="Y89" s="457"/>
      <c r="Z89" s="457"/>
      <c r="AA89" s="457"/>
      <c r="AB89" s="794"/>
      <c r="AC89" s="794"/>
    </row>
    <row r="90" ht="14.25" customHeight="1" outlineLevel="1">
      <c r="A90" s="595" t="s">
        <v>1349</v>
      </c>
      <c r="B90" s="595" t="s">
        <v>1350</v>
      </c>
      <c r="C90" s="595"/>
      <c r="D90" s="416"/>
      <c r="E90" s="339">
        <v>500.0</v>
      </c>
      <c r="F90" s="301">
        <v>259.0</v>
      </c>
      <c r="G90" s="335">
        <v>56.97</v>
      </c>
      <c r="H90" s="332">
        <f t="shared" si="36"/>
        <v>0.21996139</v>
      </c>
      <c r="I90" s="315">
        <f t="shared" si="37"/>
        <v>202.03</v>
      </c>
      <c r="J90" s="316">
        <f t="shared" si="38"/>
        <v>3.546252414</v>
      </c>
      <c r="K90" s="760"/>
      <c r="L90" s="343" t="s">
        <v>111</v>
      </c>
      <c r="M90" s="343" t="s">
        <v>111</v>
      </c>
      <c r="N90" s="300">
        <v>139.0</v>
      </c>
      <c r="O90" s="760"/>
      <c r="P90" s="457"/>
      <c r="Q90" s="457"/>
      <c r="R90" s="457"/>
      <c r="S90" s="457"/>
      <c r="T90" s="457"/>
      <c r="U90" s="457"/>
      <c r="V90" s="457"/>
      <c r="W90" s="457"/>
      <c r="X90" s="457"/>
      <c r="Y90" s="457"/>
      <c r="Z90" s="457"/>
      <c r="AA90" s="457"/>
      <c r="AB90" s="794"/>
      <c r="AC90" s="794"/>
    </row>
    <row r="91" ht="14.25" customHeight="1" outlineLevel="1">
      <c r="A91" s="594" t="s">
        <v>635</v>
      </c>
      <c r="B91" s="353"/>
      <c r="C91" s="353"/>
      <c r="D91" s="353"/>
      <c r="E91" s="799"/>
      <c r="F91" s="348"/>
      <c r="G91" s="800"/>
      <c r="H91" s="350"/>
      <c r="I91" s="351"/>
      <c r="J91" s="349"/>
      <c r="K91" s="351"/>
      <c r="L91" s="353"/>
      <c r="M91" s="800"/>
      <c r="N91" s="300"/>
      <c r="O91" s="760"/>
      <c r="P91" s="457"/>
      <c r="Q91" s="457"/>
      <c r="R91" s="457"/>
      <c r="S91" s="457"/>
      <c r="T91" s="457"/>
      <c r="U91" s="457"/>
      <c r="V91" s="457"/>
      <c r="W91" s="457"/>
      <c r="X91" s="457"/>
      <c r="Y91" s="457"/>
      <c r="Z91" s="457"/>
      <c r="AA91" s="457"/>
      <c r="AB91" s="794"/>
      <c r="AC91" s="794"/>
    </row>
    <row r="92" ht="14.25" customHeight="1" outlineLevel="1">
      <c r="A92" s="595" t="s">
        <v>1351</v>
      </c>
      <c r="B92" s="595" t="s">
        <v>1352</v>
      </c>
      <c r="C92" s="595" t="s">
        <v>1353</v>
      </c>
      <c r="D92" s="801"/>
      <c r="E92" s="339">
        <v>330.0</v>
      </c>
      <c r="F92" s="311">
        <v>299.0</v>
      </c>
      <c r="G92" s="335">
        <v>63.18</v>
      </c>
      <c r="H92" s="332">
        <f t="shared" ref="H92:H94" si="39">G92/F92</f>
        <v>0.2113043478</v>
      </c>
      <c r="I92" s="315">
        <f t="shared" ref="I92:I94" si="40">F92-G92</f>
        <v>235.82</v>
      </c>
      <c r="J92" s="316">
        <f t="shared" ref="J92:J94" si="41">F92/G92-1</f>
        <v>3.732510288</v>
      </c>
      <c r="K92" s="318" t="s">
        <v>112</v>
      </c>
      <c r="L92" s="319">
        <v>299.0</v>
      </c>
      <c r="N92" s="300"/>
      <c r="O92" s="760"/>
      <c r="P92" s="457"/>
      <c r="Q92" s="457"/>
      <c r="R92" s="457"/>
      <c r="S92" s="457"/>
      <c r="T92" s="457"/>
      <c r="U92" s="457"/>
      <c r="V92" s="457"/>
      <c r="W92" s="457"/>
      <c r="X92" s="457"/>
      <c r="Y92" s="457"/>
      <c r="Z92" s="457"/>
      <c r="AA92" s="457"/>
      <c r="AB92" s="794"/>
      <c r="AC92" s="794"/>
    </row>
    <row r="93" ht="14.25" customHeight="1" outlineLevel="1">
      <c r="A93" s="595" t="s">
        <v>639</v>
      </c>
      <c r="B93" s="801" t="s">
        <v>1354</v>
      </c>
      <c r="C93" s="801"/>
      <c r="D93" s="801"/>
      <c r="E93" s="339">
        <v>500.0</v>
      </c>
      <c r="F93" s="301">
        <v>149.0</v>
      </c>
      <c r="G93" s="335">
        <v>32.98</v>
      </c>
      <c r="H93" s="332">
        <f t="shared" si="39"/>
        <v>0.2213422819</v>
      </c>
      <c r="I93" s="315">
        <f t="shared" si="40"/>
        <v>116.02</v>
      </c>
      <c r="J93" s="316">
        <f t="shared" si="41"/>
        <v>3.51788963</v>
      </c>
      <c r="K93" s="343" t="s">
        <v>111</v>
      </c>
      <c r="L93" s="300">
        <v>139.0</v>
      </c>
      <c r="N93" s="300"/>
      <c r="O93" s="760"/>
      <c r="P93" s="457"/>
      <c r="Q93" s="457"/>
      <c r="R93" s="457"/>
      <c r="S93" s="457"/>
      <c r="T93" s="457"/>
      <c r="U93" s="457"/>
      <c r="V93" s="457"/>
      <c r="W93" s="457"/>
      <c r="X93" s="457"/>
      <c r="Y93" s="457"/>
      <c r="Z93" s="457"/>
      <c r="AA93" s="457"/>
      <c r="AB93" s="794"/>
      <c r="AC93" s="794"/>
    </row>
    <row r="94" ht="14.25" customHeight="1" outlineLevel="1">
      <c r="A94" s="390" t="s">
        <v>1355</v>
      </c>
      <c r="B94" s="802" t="s">
        <v>1354</v>
      </c>
      <c r="C94" s="801"/>
      <c r="D94" s="801"/>
      <c r="E94" s="339">
        <v>500.0</v>
      </c>
      <c r="F94" s="301">
        <v>139.0</v>
      </c>
      <c r="G94" s="335">
        <v>21.0</v>
      </c>
      <c r="H94" s="332">
        <f t="shared" si="39"/>
        <v>0.1510791367</v>
      </c>
      <c r="I94" s="315">
        <f t="shared" si="40"/>
        <v>118</v>
      </c>
      <c r="J94" s="316">
        <f t="shared" si="41"/>
        <v>5.619047619</v>
      </c>
      <c r="K94" s="343"/>
      <c r="L94" s="300"/>
      <c r="N94" s="300"/>
      <c r="O94" s="760"/>
      <c r="P94" s="457"/>
      <c r="Q94" s="457"/>
      <c r="R94" s="457"/>
      <c r="S94" s="457"/>
      <c r="T94" s="457"/>
      <c r="U94" s="457"/>
      <c r="V94" s="457"/>
      <c r="W94" s="457"/>
      <c r="X94" s="457"/>
      <c r="Y94" s="457"/>
      <c r="Z94" s="457"/>
      <c r="AA94" s="457"/>
      <c r="AB94" s="794"/>
      <c r="AC94" s="794"/>
    </row>
    <row r="95" ht="14.25" customHeight="1">
      <c r="A95" s="594" t="s">
        <v>1356</v>
      </c>
      <c r="B95" s="290"/>
      <c r="C95" s="290"/>
      <c r="D95" s="290"/>
      <c r="E95" s="293"/>
      <c r="F95" s="298"/>
      <c r="G95" s="296"/>
      <c r="H95" s="297"/>
      <c r="I95" s="298"/>
      <c r="J95" s="297"/>
      <c r="K95" s="298"/>
      <c r="L95" s="297"/>
      <c r="M95" s="297"/>
      <c r="N95" s="795"/>
      <c r="O95" s="760"/>
      <c r="P95" s="794"/>
      <c r="Q95" s="794"/>
      <c r="R95" s="794"/>
      <c r="S95" s="794"/>
      <c r="T95" s="794"/>
      <c r="U95" s="794"/>
      <c r="V95" s="794"/>
      <c r="W95" s="794"/>
      <c r="X95" s="794"/>
      <c r="Y95" s="794"/>
      <c r="Z95" s="794"/>
      <c r="AA95" s="794"/>
      <c r="AB95" s="794"/>
      <c r="AC95" s="794"/>
    </row>
    <row r="96" ht="14.25" customHeight="1" outlineLevel="1">
      <c r="A96" s="606" t="s">
        <v>1357</v>
      </c>
      <c r="B96" s="796"/>
      <c r="C96" s="796"/>
      <c r="D96" s="796"/>
      <c r="E96" s="310">
        <v>250.0</v>
      </c>
      <c r="F96" s="301">
        <v>249.0</v>
      </c>
      <c r="G96" s="313">
        <v>60.14</v>
      </c>
      <c r="H96" s="332">
        <f t="shared" ref="H96:H99" si="42">G96/F96</f>
        <v>0.2415261044</v>
      </c>
      <c r="I96" s="315">
        <f t="shared" ref="I96:I99" si="43">F96-G96</f>
        <v>188.86</v>
      </c>
      <c r="J96" s="316">
        <f t="shared" ref="J96:J99" si="44">F96/G96-1</f>
        <v>3.140339209</v>
      </c>
      <c r="K96" s="760"/>
      <c r="L96" s="343" t="s">
        <v>112</v>
      </c>
      <c r="M96" s="318" t="s">
        <v>112</v>
      </c>
      <c r="N96" s="300">
        <v>229.0</v>
      </c>
      <c r="O96" s="760"/>
      <c r="P96" s="794"/>
      <c r="Q96" s="794"/>
      <c r="R96" s="794"/>
      <c r="S96" s="794"/>
      <c r="T96" s="794"/>
      <c r="U96" s="794"/>
      <c r="V96" s="794"/>
      <c r="W96" s="794"/>
      <c r="X96" s="794"/>
      <c r="Y96" s="794"/>
      <c r="Z96" s="794"/>
      <c r="AA96" s="794"/>
      <c r="AB96" s="794"/>
      <c r="AC96" s="794"/>
    </row>
    <row r="97" ht="14.25" customHeight="1" outlineLevel="1">
      <c r="A97" s="606" t="s">
        <v>1358</v>
      </c>
      <c r="B97" s="796"/>
      <c r="C97" s="796"/>
      <c r="D97" s="796"/>
      <c r="E97" s="310">
        <v>250.0</v>
      </c>
      <c r="F97" s="301">
        <v>249.0</v>
      </c>
      <c r="G97" s="313">
        <v>60.14</v>
      </c>
      <c r="H97" s="332">
        <f t="shared" si="42"/>
        <v>0.2415261044</v>
      </c>
      <c r="I97" s="315">
        <f t="shared" si="43"/>
        <v>188.86</v>
      </c>
      <c r="J97" s="316">
        <f t="shared" si="44"/>
        <v>3.140339209</v>
      </c>
      <c r="K97" s="760"/>
      <c r="L97" s="343" t="s">
        <v>112</v>
      </c>
      <c r="M97" s="318" t="s">
        <v>112</v>
      </c>
      <c r="N97" s="300">
        <v>229.0</v>
      </c>
      <c r="O97" s="760"/>
      <c r="P97" s="794"/>
      <c r="Q97" s="794"/>
      <c r="R97" s="794"/>
      <c r="S97" s="794"/>
      <c r="T97" s="794"/>
      <c r="U97" s="794"/>
      <c r="V97" s="794"/>
      <c r="W97" s="794"/>
      <c r="X97" s="794"/>
      <c r="Y97" s="794"/>
      <c r="Z97" s="794"/>
      <c r="AA97" s="794"/>
      <c r="AB97" s="794"/>
      <c r="AC97" s="794"/>
    </row>
    <row r="98" ht="14.25" customHeight="1" outlineLevel="1">
      <c r="A98" s="606" t="s">
        <v>1359</v>
      </c>
      <c r="B98" s="796"/>
      <c r="C98" s="796"/>
      <c r="D98" s="796"/>
      <c r="E98" s="310">
        <v>250.0</v>
      </c>
      <c r="F98" s="301">
        <v>249.0</v>
      </c>
      <c r="G98" s="313">
        <v>60.14</v>
      </c>
      <c r="H98" s="332">
        <f t="shared" si="42"/>
        <v>0.2415261044</v>
      </c>
      <c r="I98" s="315">
        <f t="shared" si="43"/>
        <v>188.86</v>
      </c>
      <c r="J98" s="316">
        <f t="shared" si="44"/>
        <v>3.140339209</v>
      </c>
      <c r="K98" s="760"/>
      <c r="L98" s="343" t="s">
        <v>112</v>
      </c>
      <c r="M98" s="318" t="s">
        <v>112</v>
      </c>
      <c r="N98" s="300">
        <v>229.0</v>
      </c>
      <c r="O98" s="760"/>
      <c r="P98" s="794"/>
      <c r="Q98" s="794"/>
      <c r="R98" s="794"/>
      <c r="S98" s="794"/>
      <c r="T98" s="794"/>
      <c r="U98" s="794"/>
      <c r="V98" s="794"/>
      <c r="W98" s="794"/>
      <c r="X98" s="794"/>
      <c r="Y98" s="794"/>
      <c r="Z98" s="794"/>
      <c r="AA98" s="794"/>
      <c r="AB98" s="794"/>
      <c r="AC98" s="794"/>
    </row>
    <row r="99" ht="14.25" customHeight="1" outlineLevel="1">
      <c r="A99" s="595" t="s">
        <v>1360</v>
      </c>
      <c r="B99" s="416"/>
      <c r="C99" s="416"/>
      <c r="D99" s="416"/>
      <c r="E99" s="310">
        <v>250.0</v>
      </c>
      <c r="F99" s="301">
        <v>249.0</v>
      </c>
      <c r="G99" s="313">
        <v>60.14</v>
      </c>
      <c r="H99" s="332">
        <f t="shared" si="42"/>
        <v>0.2415261044</v>
      </c>
      <c r="I99" s="315">
        <f t="shared" si="43"/>
        <v>188.86</v>
      </c>
      <c r="J99" s="316">
        <f t="shared" si="44"/>
        <v>3.140339209</v>
      </c>
      <c r="K99" s="760"/>
      <c r="L99" s="343" t="s">
        <v>112</v>
      </c>
      <c r="M99" s="318"/>
      <c r="N99" s="300">
        <v>229.0</v>
      </c>
      <c r="O99" s="760"/>
      <c r="P99" s="794"/>
      <c r="Q99" s="794"/>
      <c r="R99" s="794"/>
      <c r="S99" s="794"/>
      <c r="T99" s="794"/>
      <c r="U99" s="794"/>
      <c r="V99" s="794"/>
      <c r="W99" s="794"/>
      <c r="X99" s="794"/>
      <c r="Y99" s="794"/>
      <c r="Z99" s="794"/>
      <c r="AA99" s="794"/>
      <c r="AB99" s="794"/>
      <c r="AC99" s="794"/>
    </row>
    <row r="100" ht="14.25" customHeight="1">
      <c r="A100" s="594" t="s">
        <v>643</v>
      </c>
      <c r="B100" s="594" t="s">
        <v>1361</v>
      </c>
      <c r="C100" s="290"/>
      <c r="D100" s="290"/>
      <c r="E100" s="293"/>
      <c r="F100" s="298"/>
      <c r="G100" s="296"/>
      <c r="H100" s="297"/>
      <c r="I100" s="803"/>
      <c r="J100" s="297"/>
      <c r="K100" s="298"/>
      <c r="L100" s="290"/>
      <c r="M100" s="290"/>
      <c r="N100" s="794"/>
      <c r="O100" s="760"/>
      <c r="P100" s="794"/>
      <c r="Q100" s="794"/>
      <c r="R100" s="794"/>
      <c r="S100" s="794"/>
      <c r="T100" s="794"/>
      <c r="U100" s="794"/>
      <c r="V100" s="794"/>
      <c r="W100" s="794"/>
      <c r="X100" s="794"/>
      <c r="Y100" s="794"/>
      <c r="Z100" s="794"/>
      <c r="AA100" s="794"/>
      <c r="AB100" s="794"/>
      <c r="AC100" s="794"/>
    </row>
    <row r="101" ht="14.25" customHeight="1" outlineLevel="1">
      <c r="A101" s="595" t="s">
        <v>1362</v>
      </c>
      <c r="B101" s="595" t="s">
        <v>652</v>
      </c>
      <c r="C101" s="416"/>
      <c r="D101" s="416"/>
      <c r="E101" s="339">
        <v>500.0</v>
      </c>
      <c r="F101" s="576">
        <v>299.0</v>
      </c>
      <c r="G101" s="335">
        <v>45.12</v>
      </c>
      <c r="H101" s="332">
        <f t="shared" ref="H101:H102" si="45">G101/F101</f>
        <v>0.15090301</v>
      </c>
      <c r="I101" s="315">
        <f t="shared" ref="I101:I102" si="46">F101-G101</f>
        <v>253.88</v>
      </c>
      <c r="J101" s="316">
        <f t="shared" ref="J101:J102" si="47">F101/G101-1</f>
        <v>5.62677305</v>
      </c>
      <c r="K101" s="760"/>
      <c r="L101" s="318" t="s">
        <v>112</v>
      </c>
      <c r="M101" s="318" t="s">
        <v>112</v>
      </c>
      <c r="N101" s="319">
        <v>329.0</v>
      </c>
      <c r="O101" s="760"/>
      <c r="P101" s="760"/>
      <c r="Q101" s="794"/>
      <c r="R101" s="794"/>
      <c r="S101" s="794"/>
      <c r="T101" s="794"/>
      <c r="U101" s="794"/>
      <c r="V101" s="794"/>
      <c r="W101" s="794"/>
      <c r="X101" s="794"/>
      <c r="Y101" s="794"/>
      <c r="Z101" s="794"/>
      <c r="AA101" s="794"/>
      <c r="AB101" s="794"/>
      <c r="AC101" s="794"/>
    </row>
    <row r="102" ht="14.25" customHeight="1" outlineLevel="1">
      <c r="A102" s="595" t="s">
        <v>1363</v>
      </c>
      <c r="B102" s="595" t="s">
        <v>661</v>
      </c>
      <c r="C102" s="416"/>
      <c r="D102" s="416"/>
      <c r="E102" s="339">
        <v>500.0</v>
      </c>
      <c r="F102" s="311">
        <v>359.0</v>
      </c>
      <c r="G102" s="335">
        <v>85.75</v>
      </c>
      <c r="H102" s="332">
        <f t="shared" si="45"/>
        <v>0.2388579387</v>
      </c>
      <c r="I102" s="315">
        <f t="shared" si="46"/>
        <v>273.25</v>
      </c>
      <c r="J102" s="316">
        <f t="shared" si="47"/>
        <v>3.186588921</v>
      </c>
      <c r="K102" s="760"/>
      <c r="L102" s="318" t="s">
        <v>112</v>
      </c>
      <c r="M102" s="318" t="s">
        <v>112</v>
      </c>
      <c r="N102" s="319">
        <v>329.0</v>
      </c>
      <c r="O102" s="760"/>
      <c r="P102" s="457"/>
      <c r="Q102" s="457"/>
      <c r="R102" s="457"/>
      <c r="S102" s="457"/>
      <c r="T102" s="457"/>
      <c r="U102" s="457"/>
      <c r="V102" s="457"/>
      <c r="W102" s="457"/>
      <c r="X102" s="457"/>
      <c r="Y102" s="457"/>
      <c r="Z102" s="457"/>
      <c r="AA102" s="457"/>
      <c r="AB102" s="794"/>
      <c r="AC102" s="794"/>
    </row>
    <row r="103" ht="14.25" customHeight="1" outlineLevel="1">
      <c r="A103" s="594" t="s">
        <v>683</v>
      </c>
      <c r="B103" s="418"/>
      <c r="C103" s="594"/>
      <c r="D103" s="418"/>
      <c r="E103" s="804"/>
      <c r="F103" s="357"/>
      <c r="G103" s="805"/>
      <c r="H103" s="324"/>
      <c r="I103" s="357"/>
      <c r="J103" s="324"/>
      <c r="K103" s="806"/>
      <c r="L103" s="807"/>
      <c r="M103" s="807"/>
      <c r="N103" s="357"/>
      <c r="O103" s="760"/>
      <c r="P103" s="457"/>
      <c r="Q103" s="457"/>
      <c r="R103" s="457"/>
      <c r="S103" s="457"/>
      <c r="T103" s="457"/>
      <c r="U103" s="457"/>
      <c r="V103" s="457"/>
      <c r="W103" s="457"/>
      <c r="X103" s="457"/>
      <c r="Y103" s="457"/>
      <c r="Z103" s="457"/>
      <c r="AA103" s="457"/>
      <c r="AB103" s="794"/>
      <c r="AC103" s="794"/>
    </row>
    <row r="104" ht="14.25" customHeight="1" outlineLevel="1">
      <c r="A104" s="595" t="s">
        <v>1364</v>
      </c>
      <c r="B104" s="595" t="s">
        <v>690</v>
      </c>
      <c r="C104" s="416"/>
      <c r="D104" s="416"/>
      <c r="E104" s="339">
        <v>445.0</v>
      </c>
      <c r="F104" s="311">
        <v>599.0</v>
      </c>
      <c r="G104" s="335">
        <v>253.78</v>
      </c>
      <c r="H104" s="332">
        <f t="shared" ref="H104:H108" si="48">G104/F104</f>
        <v>0.423672788</v>
      </c>
      <c r="I104" s="315">
        <f t="shared" ref="I104:I108" si="49">F104-G104</f>
        <v>345.22</v>
      </c>
      <c r="J104" s="316">
        <f t="shared" ref="J104:J108" si="50">F104/G104-1</f>
        <v>1.360312081</v>
      </c>
      <c r="K104" s="760"/>
      <c r="L104" s="318" t="s">
        <v>112</v>
      </c>
      <c r="M104" s="318" t="s">
        <v>112</v>
      </c>
      <c r="N104" s="359">
        <v>599.0</v>
      </c>
      <c r="O104" s="760"/>
      <c r="P104" s="457"/>
      <c r="Q104" s="457"/>
      <c r="R104" s="457"/>
      <c r="S104" s="457"/>
      <c r="T104" s="457"/>
      <c r="U104" s="457"/>
      <c r="V104" s="457"/>
      <c r="W104" s="457"/>
      <c r="X104" s="457"/>
      <c r="Y104" s="457"/>
      <c r="Z104" s="457"/>
      <c r="AA104" s="457"/>
      <c r="AB104" s="794"/>
      <c r="AC104" s="794"/>
    </row>
    <row r="105" ht="14.25" customHeight="1" outlineLevel="1">
      <c r="A105" s="595" t="s">
        <v>1365</v>
      </c>
      <c r="B105" s="595"/>
      <c r="C105" s="595"/>
      <c r="D105" s="416"/>
      <c r="E105" s="337">
        <v>450.0</v>
      </c>
      <c r="F105" s="311">
        <v>269.0</v>
      </c>
      <c r="G105" s="364">
        <v>52.0</v>
      </c>
      <c r="H105" s="332">
        <f t="shared" si="48"/>
        <v>0.1933085502</v>
      </c>
      <c r="I105" s="315">
        <f t="shared" si="49"/>
        <v>217</v>
      </c>
      <c r="J105" s="316">
        <f t="shared" si="50"/>
        <v>4.173076923</v>
      </c>
      <c r="K105" s="760"/>
      <c r="L105" s="318" t="s">
        <v>112</v>
      </c>
      <c r="M105" s="808" t="s">
        <v>112</v>
      </c>
      <c r="N105" s="577"/>
      <c r="O105" s="760"/>
      <c r="P105" s="457"/>
      <c r="Q105" s="809"/>
      <c r="R105" s="457"/>
      <c r="S105" s="457"/>
      <c r="T105" s="457"/>
      <c r="U105" s="457"/>
      <c r="V105" s="457"/>
      <c r="W105" s="457"/>
      <c r="X105" s="457"/>
      <c r="Y105" s="457"/>
      <c r="Z105" s="457"/>
      <c r="AA105" s="457"/>
      <c r="AB105" s="794"/>
      <c r="AC105" s="794"/>
    </row>
    <row r="106" ht="14.25" customHeight="1" outlineLevel="1">
      <c r="A106" s="595" t="s">
        <v>1366</v>
      </c>
      <c r="B106" s="595" t="s">
        <v>696</v>
      </c>
      <c r="C106" s="595" t="s">
        <v>1367</v>
      </c>
      <c r="D106" s="416"/>
      <c r="E106" s="337">
        <v>450.0</v>
      </c>
      <c r="F106" s="311">
        <v>369.0</v>
      </c>
      <c r="G106" s="364">
        <v>105.85</v>
      </c>
      <c r="H106" s="332">
        <f t="shared" si="48"/>
        <v>0.2868563686</v>
      </c>
      <c r="I106" s="315">
        <f t="shared" si="49"/>
        <v>263.15</v>
      </c>
      <c r="J106" s="316">
        <f t="shared" si="50"/>
        <v>2.486065187</v>
      </c>
      <c r="K106" s="760"/>
      <c r="L106" s="318"/>
      <c r="M106" s="808"/>
      <c r="N106" s="577"/>
      <c r="O106" s="760"/>
      <c r="P106" s="457"/>
      <c r="Q106" s="809"/>
      <c r="R106" s="457"/>
      <c r="S106" s="457"/>
      <c r="T106" s="457"/>
      <c r="U106" s="457"/>
      <c r="V106" s="457"/>
      <c r="W106" s="457"/>
      <c r="X106" s="457"/>
      <c r="Y106" s="457"/>
      <c r="Z106" s="457"/>
      <c r="AA106" s="457"/>
      <c r="AB106" s="794"/>
      <c r="AC106" s="794"/>
    </row>
    <row r="107" ht="14.25" customHeight="1" outlineLevel="1">
      <c r="A107" s="595" t="s">
        <v>1368</v>
      </c>
      <c r="B107" s="416" t="s">
        <v>1369</v>
      </c>
      <c r="C107" s="416"/>
      <c r="D107" s="416"/>
      <c r="E107" s="337">
        <v>330.0</v>
      </c>
      <c r="F107" s="311">
        <v>239.0</v>
      </c>
      <c r="G107" s="364">
        <v>41.97</v>
      </c>
      <c r="H107" s="477">
        <f t="shared" si="48"/>
        <v>0.1756066946</v>
      </c>
      <c r="I107" s="315">
        <f t="shared" si="49"/>
        <v>197.03</v>
      </c>
      <c r="J107" s="316">
        <f t="shared" si="50"/>
        <v>4.694543722</v>
      </c>
      <c r="K107" s="760"/>
      <c r="L107" s="454"/>
      <c r="M107" s="810"/>
      <c r="N107" s="577"/>
      <c r="O107" s="760"/>
      <c r="P107" s="457"/>
      <c r="Q107" s="809"/>
      <c r="R107" s="457"/>
      <c r="S107" s="457"/>
      <c r="T107" s="457"/>
      <c r="U107" s="457"/>
      <c r="V107" s="457"/>
      <c r="W107" s="457"/>
      <c r="X107" s="457"/>
      <c r="Y107" s="457"/>
      <c r="Z107" s="457"/>
      <c r="AA107" s="457"/>
      <c r="AB107" s="794"/>
      <c r="AC107" s="794"/>
    </row>
    <row r="108" ht="14.25" customHeight="1" outlineLevel="1">
      <c r="A108" s="595" t="s">
        <v>1370</v>
      </c>
      <c r="B108" s="595" t="s">
        <v>1371</v>
      </c>
      <c r="C108" s="595" t="s">
        <v>957</v>
      </c>
      <c r="D108" s="416"/>
      <c r="E108" s="337">
        <v>330.0</v>
      </c>
      <c r="F108" s="301">
        <v>399.0</v>
      </c>
      <c r="G108" s="364">
        <v>128.83</v>
      </c>
      <c r="H108" s="332">
        <f t="shared" si="48"/>
        <v>0.3228822055</v>
      </c>
      <c r="I108" s="315">
        <f t="shared" si="49"/>
        <v>270.17</v>
      </c>
      <c r="J108" s="316">
        <f t="shared" si="50"/>
        <v>2.097104712</v>
      </c>
      <c r="K108" s="760"/>
      <c r="L108" s="454"/>
      <c r="M108" s="810"/>
      <c r="N108" s="577"/>
      <c r="O108" s="760"/>
      <c r="P108" s="457"/>
      <c r="Q108" s="809"/>
      <c r="R108" s="457"/>
      <c r="S108" s="457"/>
      <c r="T108" s="457"/>
      <c r="U108" s="457"/>
      <c r="V108" s="457"/>
      <c r="W108" s="457"/>
      <c r="X108" s="457"/>
      <c r="Y108" s="457"/>
      <c r="Z108" s="457"/>
      <c r="AA108" s="457"/>
      <c r="AB108" s="794"/>
      <c r="AC108" s="794"/>
    </row>
    <row r="109" ht="14.25" customHeight="1">
      <c r="A109" s="594" t="s">
        <v>1372</v>
      </c>
      <c r="B109" s="290"/>
      <c r="C109" s="290"/>
      <c r="D109" s="290"/>
      <c r="E109" s="811"/>
      <c r="F109" s="812"/>
      <c r="G109" s="408"/>
      <c r="H109" s="296"/>
      <c r="I109" s="297">
        <f>AVERAGE(H110:H114)</f>
        <v>0.2311033986</v>
      </c>
      <c r="J109" s="298"/>
      <c r="K109" s="303"/>
      <c r="L109" s="290"/>
      <c r="M109" s="290"/>
      <c r="N109" s="794"/>
      <c r="O109" s="760"/>
      <c r="P109" s="794"/>
      <c r="Q109" s="794"/>
      <c r="R109" s="794"/>
      <c r="S109" s="794"/>
      <c r="T109" s="794"/>
      <c r="U109" s="794"/>
      <c r="V109" s="794"/>
      <c r="W109" s="794"/>
      <c r="X109" s="794"/>
      <c r="Y109" s="794"/>
      <c r="Z109" s="794"/>
      <c r="AA109" s="794"/>
      <c r="AB109" s="794"/>
      <c r="AC109" s="794"/>
    </row>
    <row r="110" ht="14.25" customHeight="1" outlineLevel="1">
      <c r="A110" s="595" t="s">
        <v>1373</v>
      </c>
      <c r="B110" s="416"/>
      <c r="C110" s="595" t="s">
        <v>737</v>
      </c>
      <c r="D110" s="416"/>
      <c r="E110" s="337">
        <v>750.0</v>
      </c>
      <c r="F110" s="301">
        <v>2999.0</v>
      </c>
      <c r="G110" s="364">
        <v>770.0</v>
      </c>
      <c r="H110" s="332">
        <f t="shared" ref="H110:H117" si="51">G110/F110</f>
        <v>0.2567522508</v>
      </c>
      <c r="I110" s="315">
        <f t="shared" ref="I110:I117" si="52">F110-G110</f>
        <v>2229</v>
      </c>
      <c r="J110" s="316">
        <f t="shared" ref="J110:J117" si="53">F110/G110-1</f>
        <v>2.894805195</v>
      </c>
      <c r="K110" s="760"/>
      <c r="L110" s="318" t="s">
        <v>112</v>
      </c>
      <c r="M110" s="318" t="s">
        <v>112</v>
      </c>
      <c r="N110" s="319">
        <v>229.0</v>
      </c>
      <c r="O110" s="760"/>
      <c r="P110" s="457"/>
      <c r="Q110" s="457"/>
      <c r="R110" s="457"/>
      <c r="S110" s="457"/>
      <c r="T110" s="457"/>
      <c r="U110" s="457"/>
      <c r="V110" s="457"/>
      <c r="W110" s="457"/>
      <c r="X110" s="457"/>
      <c r="Y110" s="457"/>
      <c r="Z110" s="457"/>
      <c r="AA110" s="457"/>
      <c r="AB110" s="794"/>
      <c r="AC110" s="794"/>
    </row>
    <row r="111" ht="14.25" customHeight="1" outlineLevel="1">
      <c r="A111" s="595" t="s">
        <v>1374</v>
      </c>
      <c r="B111" s="416"/>
      <c r="C111" s="595" t="s">
        <v>737</v>
      </c>
      <c r="D111" s="416"/>
      <c r="E111" s="339">
        <v>125.0</v>
      </c>
      <c r="F111" s="311">
        <v>499.0</v>
      </c>
      <c r="G111" s="335">
        <v>128.0</v>
      </c>
      <c r="H111" s="332">
        <f t="shared" si="51"/>
        <v>0.2565130261</v>
      </c>
      <c r="I111" s="315">
        <f t="shared" si="52"/>
        <v>371</v>
      </c>
      <c r="J111" s="316">
        <f t="shared" si="53"/>
        <v>2.8984375</v>
      </c>
      <c r="K111" s="760"/>
      <c r="L111" s="318" t="s">
        <v>112</v>
      </c>
      <c r="M111" s="318" t="s">
        <v>112</v>
      </c>
      <c r="N111" s="319">
        <v>399.0</v>
      </c>
      <c r="O111" s="760"/>
      <c r="P111" s="457"/>
      <c r="Q111" s="457"/>
      <c r="R111" s="457"/>
      <c r="S111" s="457"/>
      <c r="T111" s="457"/>
      <c r="U111" s="457"/>
      <c r="V111" s="457"/>
      <c r="W111" s="457"/>
      <c r="X111" s="457"/>
      <c r="Y111" s="457"/>
      <c r="Z111" s="457"/>
      <c r="AA111" s="457"/>
      <c r="AB111" s="794"/>
      <c r="AC111" s="794"/>
    </row>
    <row r="112" ht="14.25" customHeight="1" outlineLevel="1">
      <c r="A112" s="595" t="s">
        <v>1375</v>
      </c>
      <c r="B112" s="416"/>
      <c r="C112" s="595" t="s">
        <v>1376</v>
      </c>
      <c r="D112" s="416"/>
      <c r="E112" s="337">
        <v>750.0</v>
      </c>
      <c r="F112" s="301">
        <v>2399.0</v>
      </c>
      <c r="G112" s="364">
        <v>518.0</v>
      </c>
      <c r="H112" s="332">
        <f t="shared" si="51"/>
        <v>0.2159233014</v>
      </c>
      <c r="I112" s="315">
        <f t="shared" si="52"/>
        <v>1881</v>
      </c>
      <c r="J112" s="316">
        <f t="shared" si="53"/>
        <v>3.631274131</v>
      </c>
      <c r="K112" s="760"/>
      <c r="L112" s="318" t="s">
        <v>112</v>
      </c>
      <c r="M112" s="318" t="s">
        <v>112</v>
      </c>
      <c r="N112" s="577"/>
      <c r="O112" s="760"/>
      <c r="P112" s="457"/>
      <c r="Q112" s="457"/>
      <c r="R112" s="457"/>
      <c r="S112" s="457"/>
      <c r="T112" s="457"/>
      <c r="U112" s="457"/>
      <c r="V112" s="457"/>
      <c r="W112" s="457"/>
      <c r="X112" s="457"/>
      <c r="Y112" s="457"/>
      <c r="Z112" s="457"/>
      <c r="AA112" s="457"/>
      <c r="AB112" s="794"/>
      <c r="AC112" s="794"/>
    </row>
    <row r="113" ht="14.25" customHeight="1" outlineLevel="1">
      <c r="A113" s="595" t="s">
        <v>1375</v>
      </c>
      <c r="B113" s="416"/>
      <c r="C113" s="595" t="s">
        <v>1376</v>
      </c>
      <c r="D113" s="416"/>
      <c r="E113" s="339">
        <v>125.0</v>
      </c>
      <c r="F113" s="311">
        <v>399.0</v>
      </c>
      <c r="G113" s="335">
        <v>86.0</v>
      </c>
      <c r="H113" s="332">
        <f t="shared" si="51"/>
        <v>0.2155388471</v>
      </c>
      <c r="I113" s="315">
        <f t="shared" si="52"/>
        <v>313</v>
      </c>
      <c r="J113" s="316">
        <f t="shared" si="53"/>
        <v>3.639534884</v>
      </c>
      <c r="K113" s="760"/>
      <c r="L113" s="318" t="s">
        <v>112</v>
      </c>
      <c r="M113" s="318" t="s">
        <v>112</v>
      </c>
      <c r="N113" s="577"/>
      <c r="O113" s="760"/>
      <c r="P113" s="457"/>
      <c r="Q113" s="457"/>
      <c r="R113" s="457"/>
      <c r="S113" s="457"/>
      <c r="T113" s="457"/>
      <c r="U113" s="457"/>
      <c r="V113" s="457"/>
      <c r="W113" s="457"/>
      <c r="X113" s="457"/>
      <c r="Y113" s="457"/>
      <c r="Z113" s="457"/>
      <c r="AA113" s="457"/>
      <c r="AB113" s="794"/>
      <c r="AC113" s="794"/>
    </row>
    <row r="114" ht="14.25" customHeight="1">
      <c r="A114" s="595" t="s">
        <v>1377</v>
      </c>
      <c r="B114" s="416"/>
      <c r="C114" s="595" t="s">
        <v>1378</v>
      </c>
      <c r="D114" s="416"/>
      <c r="E114" s="337">
        <v>750.0</v>
      </c>
      <c r="F114" s="301">
        <v>2799.0</v>
      </c>
      <c r="G114" s="364">
        <v>590.0</v>
      </c>
      <c r="H114" s="332">
        <f t="shared" si="51"/>
        <v>0.2107895677</v>
      </c>
      <c r="I114" s="315">
        <f t="shared" si="52"/>
        <v>2209</v>
      </c>
      <c r="J114" s="316">
        <f t="shared" si="53"/>
        <v>3.744067797</v>
      </c>
      <c r="K114" s="760"/>
      <c r="L114" s="290"/>
      <c r="M114" s="290"/>
      <c r="N114" s="794"/>
      <c r="O114" s="760"/>
      <c r="P114" s="794"/>
      <c r="Q114" s="794"/>
      <c r="R114" s="794"/>
      <c r="S114" s="794"/>
      <c r="T114" s="794"/>
      <c r="U114" s="794"/>
      <c r="V114" s="794"/>
      <c r="W114" s="794"/>
      <c r="X114" s="794"/>
      <c r="Y114" s="794"/>
      <c r="Z114" s="794"/>
      <c r="AA114" s="794"/>
      <c r="AB114" s="794"/>
      <c r="AC114" s="794"/>
    </row>
    <row r="115" ht="14.25" customHeight="1" outlineLevel="1">
      <c r="A115" s="595" t="s">
        <v>1379</v>
      </c>
      <c r="B115" s="416"/>
      <c r="C115" s="595" t="s">
        <v>1378</v>
      </c>
      <c r="D115" s="416"/>
      <c r="E115" s="339">
        <v>125.0</v>
      </c>
      <c r="F115" s="311">
        <v>469.0</v>
      </c>
      <c r="G115" s="335">
        <v>98.0</v>
      </c>
      <c r="H115" s="332">
        <f t="shared" si="51"/>
        <v>0.2089552239</v>
      </c>
      <c r="I115" s="315">
        <f t="shared" si="52"/>
        <v>371</v>
      </c>
      <c r="J115" s="316">
        <f t="shared" si="53"/>
        <v>3.785714286</v>
      </c>
      <c r="K115" s="760"/>
      <c r="L115" s="318" t="s">
        <v>112</v>
      </c>
      <c r="M115" s="318" t="s">
        <v>112</v>
      </c>
      <c r="N115" s="319">
        <v>229.0</v>
      </c>
      <c r="O115" s="760"/>
      <c r="P115" s="457"/>
      <c r="Q115" s="457"/>
      <c r="R115" s="457"/>
      <c r="S115" s="457"/>
      <c r="T115" s="457"/>
      <c r="U115" s="457"/>
      <c r="V115" s="457"/>
      <c r="W115" s="457"/>
      <c r="X115" s="457"/>
      <c r="Y115" s="457"/>
      <c r="Z115" s="457"/>
      <c r="AA115" s="457"/>
      <c r="AB115" s="457"/>
      <c r="AC115" s="457"/>
    </row>
    <row r="116" ht="14.25" customHeight="1" outlineLevel="1">
      <c r="A116" s="595" t="s">
        <v>1380</v>
      </c>
      <c r="B116" s="416"/>
      <c r="C116" s="595" t="s">
        <v>1381</v>
      </c>
      <c r="D116" s="416"/>
      <c r="E116" s="337">
        <v>750.0</v>
      </c>
      <c r="F116" s="301">
        <v>2699.0</v>
      </c>
      <c r="G116" s="364">
        <v>554.0</v>
      </c>
      <c r="H116" s="332">
        <f t="shared" si="51"/>
        <v>0.2052612079</v>
      </c>
      <c r="I116" s="315">
        <f t="shared" si="52"/>
        <v>2145</v>
      </c>
      <c r="J116" s="316">
        <f t="shared" si="53"/>
        <v>3.871841155</v>
      </c>
      <c r="K116" s="760"/>
      <c r="L116" s="318" t="s">
        <v>112</v>
      </c>
      <c r="M116" s="318" t="s">
        <v>112</v>
      </c>
      <c r="N116" s="319">
        <v>399.0</v>
      </c>
      <c r="O116" s="760"/>
      <c r="P116" s="457"/>
      <c r="Q116" s="457"/>
      <c r="R116" s="457"/>
      <c r="S116" s="457"/>
      <c r="T116" s="457"/>
      <c r="U116" s="457"/>
      <c r="V116" s="457"/>
      <c r="W116" s="457"/>
      <c r="X116" s="457"/>
      <c r="Y116" s="457"/>
      <c r="Z116" s="457"/>
      <c r="AA116" s="457"/>
      <c r="AB116" s="794"/>
      <c r="AC116" s="794"/>
    </row>
    <row r="117" ht="14.25" customHeight="1" outlineLevel="1">
      <c r="A117" s="595" t="s">
        <v>1382</v>
      </c>
      <c r="B117" s="416"/>
      <c r="C117" s="595" t="s">
        <v>1381</v>
      </c>
      <c r="D117" s="416"/>
      <c r="E117" s="339">
        <v>125.0</v>
      </c>
      <c r="F117" s="311">
        <v>449.0</v>
      </c>
      <c r="G117" s="335">
        <v>92.0</v>
      </c>
      <c r="H117" s="332">
        <f t="shared" si="51"/>
        <v>0.2048997773</v>
      </c>
      <c r="I117" s="315">
        <f t="shared" si="52"/>
        <v>357</v>
      </c>
      <c r="J117" s="316">
        <f t="shared" si="53"/>
        <v>3.880434783</v>
      </c>
      <c r="K117" s="760"/>
      <c r="L117" s="318" t="s">
        <v>112</v>
      </c>
      <c r="M117" s="318" t="s">
        <v>112</v>
      </c>
      <c r="N117" s="577"/>
      <c r="O117" s="760"/>
      <c r="P117" s="457"/>
      <c r="Q117" s="457"/>
      <c r="R117" s="457"/>
      <c r="S117" s="457"/>
      <c r="T117" s="457"/>
      <c r="U117" s="457"/>
      <c r="V117" s="457"/>
      <c r="W117" s="457"/>
      <c r="X117" s="457"/>
      <c r="Y117" s="457"/>
      <c r="Z117" s="457"/>
      <c r="AA117" s="457"/>
      <c r="AB117" s="794"/>
      <c r="AC117" s="794"/>
    </row>
    <row r="118" ht="14.25" customHeight="1" outlineLevel="1">
      <c r="A118" s="594" t="s">
        <v>1383</v>
      </c>
      <c r="B118" s="290"/>
      <c r="C118" s="290"/>
      <c r="D118" s="290"/>
      <c r="E118" s="812"/>
      <c r="F118" s="813"/>
      <c r="G118" s="296"/>
      <c r="H118" s="297">
        <f>AVERAGE(H119:H123)</f>
        <v>0.2311033986</v>
      </c>
      <c r="I118" s="298"/>
      <c r="J118" s="303"/>
      <c r="K118" s="760"/>
      <c r="L118" s="318" t="s">
        <v>112</v>
      </c>
      <c r="M118" s="318" t="s">
        <v>112</v>
      </c>
      <c r="N118" s="577"/>
      <c r="O118" s="760"/>
      <c r="P118" s="457"/>
      <c r="Q118" s="457"/>
      <c r="R118" s="457"/>
      <c r="S118" s="457"/>
      <c r="T118" s="457"/>
      <c r="U118" s="457"/>
      <c r="V118" s="457"/>
      <c r="W118" s="457"/>
      <c r="X118" s="457"/>
      <c r="Y118" s="457"/>
      <c r="Z118" s="457"/>
      <c r="AA118" s="457"/>
      <c r="AB118" s="794"/>
      <c r="AC118" s="794"/>
    </row>
    <row r="119" ht="14.25" customHeight="1">
      <c r="A119" s="595" t="s">
        <v>1384</v>
      </c>
      <c r="B119" s="416"/>
      <c r="C119" s="595" t="s">
        <v>737</v>
      </c>
      <c r="D119" s="416"/>
      <c r="E119" s="339">
        <v>750.0</v>
      </c>
      <c r="F119" s="311">
        <v>2999.0</v>
      </c>
      <c r="G119" s="335">
        <v>770.0</v>
      </c>
      <c r="H119" s="332">
        <f t="shared" ref="H119:H126" si="54">G119/F119</f>
        <v>0.2567522508</v>
      </c>
      <c r="I119" s="315">
        <f t="shared" ref="I119:I126" si="55">F119-G119</f>
        <v>2229</v>
      </c>
      <c r="J119" s="316">
        <f t="shared" ref="J119:J126" si="56">F119/G119-1</f>
        <v>2.894805195</v>
      </c>
      <c r="K119" s="760"/>
      <c r="L119" s="290"/>
      <c r="M119" s="290"/>
      <c r="N119" s="795"/>
      <c r="O119" s="760"/>
      <c r="P119" s="794"/>
      <c r="Q119" s="794"/>
      <c r="R119" s="794"/>
      <c r="S119" s="794"/>
      <c r="T119" s="794"/>
      <c r="U119" s="794"/>
      <c r="V119" s="794"/>
      <c r="W119" s="794"/>
      <c r="X119" s="794"/>
      <c r="Y119" s="794"/>
      <c r="Z119" s="794"/>
      <c r="AA119" s="794"/>
      <c r="AB119" s="794"/>
      <c r="AC119" s="794"/>
    </row>
    <row r="120" ht="14.25" customHeight="1" outlineLevel="1">
      <c r="A120" s="595" t="s">
        <v>1385</v>
      </c>
      <c r="B120" s="416"/>
      <c r="C120" s="595" t="s">
        <v>737</v>
      </c>
      <c r="D120" s="416"/>
      <c r="E120" s="339">
        <v>125.0</v>
      </c>
      <c r="F120" s="311">
        <v>499.0</v>
      </c>
      <c r="G120" s="335">
        <v>128.0</v>
      </c>
      <c r="H120" s="332">
        <f t="shared" si="54"/>
        <v>0.2565130261</v>
      </c>
      <c r="I120" s="315">
        <f t="shared" si="55"/>
        <v>371</v>
      </c>
      <c r="J120" s="316">
        <f t="shared" si="56"/>
        <v>2.8984375</v>
      </c>
      <c r="K120" s="760"/>
      <c r="L120" s="318" t="s">
        <v>112</v>
      </c>
      <c r="M120" s="318" t="s">
        <v>112</v>
      </c>
      <c r="N120" s="319">
        <v>399.0</v>
      </c>
      <c r="O120" s="760"/>
      <c r="P120" s="794"/>
      <c r="Q120" s="794"/>
      <c r="R120" s="794"/>
      <c r="S120" s="794"/>
      <c r="T120" s="794"/>
      <c r="U120" s="794"/>
      <c r="V120" s="794"/>
      <c r="W120" s="794"/>
      <c r="X120" s="794"/>
      <c r="Y120" s="794"/>
      <c r="Z120" s="794"/>
      <c r="AA120" s="794"/>
      <c r="AB120" s="814"/>
      <c r="AC120" s="814"/>
    </row>
    <row r="121" ht="14.25" customHeight="1">
      <c r="A121" s="595" t="s">
        <v>1375</v>
      </c>
      <c r="B121" s="416"/>
      <c r="C121" s="595" t="s">
        <v>1386</v>
      </c>
      <c r="D121" s="416"/>
      <c r="E121" s="339">
        <v>750.0</v>
      </c>
      <c r="F121" s="311">
        <v>2399.0</v>
      </c>
      <c r="G121" s="335">
        <v>518.0</v>
      </c>
      <c r="H121" s="332">
        <f t="shared" si="54"/>
        <v>0.2159233014</v>
      </c>
      <c r="I121" s="315">
        <f t="shared" si="55"/>
        <v>1881</v>
      </c>
      <c r="J121" s="316">
        <f t="shared" si="56"/>
        <v>3.631274131</v>
      </c>
      <c r="K121" s="760"/>
      <c r="L121" s="318" t="s">
        <v>112</v>
      </c>
      <c r="M121" s="318" t="s">
        <v>112</v>
      </c>
      <c r="N121" s="795"/>
      <c r="O121" s="760"/>
      <c r="P121" s="794"/>
      <c r="Q121" s="794"/>
      <c r="R121" s="794"/>
      <c r="S121" s="794"/>
      <c r="T121" s="794"/>
      <c r="U121" s="794"/>
      <c r="V121" s="794"/>
      <c r="W121" s="794"/>
      <c r="X121" s="794"/>
      <c r="Y121" s="794"/>
      <c r="Z121" s="794"/>
      <c r="AA121" s="794"/>
      <c r="AB121" s="794"/>
      <c r="AC121" s="794"/>
    </row>
    <row r="122" ht="14.25" customHeight="1" outlineLevel="1">
      <c r="A122" s="595" t="s">
        <v>1375</v>
      </c>
      <c r="B122" s="416"/>
      <c r="C122" s="595" t="s">
        <v>1386</v>
      </c>
      <c r="D122" s="416"/>
      <c r="E122" s="339">
        <v>125.0</v>
      </c>
      <c r="F122" s="311">
        <v>399.0</v>
      </c>
      <c r="G122" s="335">
        <v>86.0</v>
      </c>
      <c r="H122" s="332">
        <f t="shared" si="54"/>
        <v>0.2155388471</v>
      </c>
      <c r="I122" s="315">
        <f t="shared" si="55"/>
        <v>313</v>
      </c>
      <c r="J122" s="316">
        <f t="shared" si="56"/>
        <v>3.639534884</v>
      </c>
      <c r="K122" s="760"/>
      <c r="L122" s="318" t="s">
        <v>112</v>
      </c>
      <c r="M122" s="318" t="s">
        <v>112</v>
      </c>
      <c r="N122" s="577"/>
      <c r="O122" s="760"/>
      <c r="P122" s="491"/>
      <c r="Q122" s="491"/>
      <c r="R122" s="491"/>
      <c r="S122" s="491"/>
      <c r="T122" s="491"/>
      <c r="U122" s="491"/>
      <c r="V122" s="491"/>
      <c r="W122" s="491"/>
      <c r="X122" s="491"/>
      <c r="Y122" s="491"/>
      <c r="Z122" s="491"/>
      <c r="AA122" s="491"/>
      <c r="AB122" s="814"/>
      <c r="AC122" s="814"/>
    </row>
    <row r="123" ht="14.25" customHeight="1" outlineLevel="1">
      <c r="A123" s="595" t="s">
        <v>1387</v>
      </c>
      <c r="B123" s="416"/>
      <c r="C123" s="595" t="s">
        <v>1378</v>
      </c>
      <c r="D123" s="416"/>
      <c r="E123" s="339">
        <v>750.0</v>
      </c>
      <c r="F123" s="301">
        <v>2799.0</v>
      </c>
      <c r="G123" s="335">
        <v>590.0</v>
      </c>
      <c r="H123" s="477">
        <f t="shared" si="54"/>
        <v>0.2107895677</v>
      </c>
      <c r="I123" s="315">
        <f t="shared" si="55"/>
        <v>2209</v>
      </c>
      <c r="J123" s="316">
        <f t="shared" si="56"/>
        <v>3.744067797</v>
      </c>
      <c r="K123" s="760"/>
      <c r="L123" s="318" t="s">
        <v>112</v>
      </c>
      <c r="M123" s="318" t="s">
        <v>112</v>
      </c>
      <c r="N123" s="577"/>
      <c r="O123" s="760"/>
      <c r="P123" s="491"/>
      <c r="Q123" s="491"/>
      <c r="R123" s="491"/>
      <c r="S123" s="491"/>
      <c r="T123" s="491"/>
      <c r="U123" s="491"/>
      <c r="V123" s="491"/>
      <c r="W123" s="491"/>
      <c r="X123" s="491"/>
      <c r="Y123" s="491"/>
      <c r="Z123" s="491"/>
      <c r="AA123" s="491"/>
      <c r="AB123" s="814"/>
      <c r="AC123" s="814"/>
    </row>
    <row r="124" ht="14.25" customHeight="1" outlineLevel="1">
      <c r="A124" s="595" t="s">
        <v>1388</v>
      </c>
      <c r="B124" s="416"/>
      <c r="C124" s="595" t="s">
        <v>1378</v>
      </c>
      <c r="D124" s="416"/>
      <c r="E124" s="339">
        <v>125.0</v>
      </c>
      <c r="F124" s="311">
        <v>469.0</v>
      </c>
      <c r="G124" s="335">
        <v>98.0</v>
      </c>
      <c r="H124" s="332">
        <f t="shared" si="54"/>
        <v>0.2089552239</v>
      </c>
      <c r="I124" s="315">
        <f t="shared" si="55"/>
        <v>371</v>
      </c>
      <c r="J124" s="316">
        <f t="shared" si="56"/>
        <v>3.785714286</v>
      </c>
      <c r="K124" s="760"/>
      <c r="L124" s="318" t="s">
        <v>112</v>
      </c>
      <c r="M124" s="318" t="s">
        <v>112</v>
      </c>
      <c r="N124" s="577"/>
      <c r="O124" s="760"/>
      <c r="P124" s="491"/>
      <c r="Q124" s="491"/>
      <c r="R124" s="491"/>
      <c r="S124" s="491"/>
      <c r="T124" s="491"/>
      <c r="U124" s="491"/>
      <c r="V124" s="491"/>
      <c r="W124" s="491"/>
      <c r="X124" s="491"/>
      <c r="Y124" s="491"/>
      <c r="Z124" s="491"/>
      <c r="AA124" s="491"/>
      <c r="AB124" s="814"/>
      <c r="AC124" s="814"/>
    </row>
    <row r="125" ht="14.25" customHeight="1" outlineLevel="1">
      <c r="A125" s="595" t="s">
        <v>1389</v>
      </c>
      <c r="B125" s="416"/>
      <c r="C125" s="595" t="s">
        <v>1381</v>
      </c>
      <c r="D125" s="416"/>
      <c r="E125" s="339">
        <v>750.0</v>
      </c>
      <c r="F125" s="301">
        <v>2699.0</v>
      </c>
      <c r="G125" s="335">
        <v>554.0</v>
      </c>
      <c r="H125" s="477">
        <f t="shared" si="54"/>
        <v>0.2052612079</v>
      </c>
      <c r="I125" s="315">
        <f t="shared" si="55"/>
        <v>2145</v>
      </c>
      <c r="J125" s="316">
        <f t="shared" si="56"/>
        <v>3.871841155</v>
      </c>
      <c r="K125" s="760"/>
      <c r="L125" s="318" t="s">
        <v>112</v>
      </c>
      <c r="M125" s="318" t="s">
        <v>112</v>
      </c>
      <c r="N125" s="577"/>
      <c r="O125" s="760"/>
      <c r="P125" s="491"/>
      <c r="Q125" s="491"/>
      <c r="R125" s="491"/>
      <c r="S125" s="491"/>
      <c r="T125" s="491"/>
      <c r="U125" s="491"/>
      <c r="V125" s="491"/>
      <c r="W125" s="491"/>
      <c r="X125" s="491"/>
      <c r="Y125" s="491"/>
      <c r="Z125" s="491"/>
      <c r="AA125" s="491"/>
      <c r="AB125" s="814"/>
      <c r="AC125" s="814"/>
    </row>
    <row r="126" ht="14.25" customHeight="1" outlineLevel="1">
      <c r="A126" s="595" t="s">
        <v>1390</v>
      </c>
      <c r="B126" s="416"/>
      <c r="C126" s="595" t="s">
        <v>1381</v>
      </c>
      <c r="D126" s="416"/>
      <c r="E126" s="339">
        <v>125.0</v>
      </c>
      <c r="F126" s="311">
        <v>449.0</v>
      </c>
      <c r="G126" s="335">
        <v>92.0</v>
      </c>
      <c r="H126" s="332">
        <f t="shared" si="54"/>
        <v>0.2048997773</v>
      </c>
      <c r="I126" s="315">
        <f t="shared" si="55"/>
        <v>357</v>
      </c>
      <c r="J126" s="316">
        <f t="shared" si="56"/>
        <v>3.880434783</v>
      </c>
      <c r="K126" s="760"/>
      <c r="L126" s="318" t="s">
        <v>112</v>
      </c>
      <c r="M126" s="318" t="s">
        <v>112</v>
      </c>
      <c r="N126" s="577"/>
      <c r="O126" s="760"/>
      <c r="P126" s="491"/>
      <c r="Q126" s="491"/>
      <c r="R126" s="491"/>
      <c r="S126" s="491"/>
      <c r="T126" s="491"/>
      <c r="U126" s="491"/>
      <c r="V126" s="491"/>
      <c r="W126" s="491"/>
      <c r="X126" s="491"/>
      <c r="Y126" s="491"/>
      <c r="Z126" s="491"/>
      <c r="AA126" s="491"/>
      <c r="AB126" s="814"/>
      <c r="AC126" s="814"/>
    </row>
    <row r="127" ht="14.25" customHeight="1" outlineLevel="1">
      <c r="A127" s="594" t="s">
        <v>1391</v>
      </c>
      <c r="B127" s="290"/>
      <c r="C127" s="290"/>
      <c r="D127" s="290"/>
      <c r="E127" s="812"/>
      <c r="F127" s="813"/>
      <c r="G127" s="296"/>
      <c r="H127" s="297">
        <f>AVERAGE(H128)</f>
        <v>0.1809913597</v>
      </c>
      <c r="I127" s="303"/>
      <c r="J127" s="303"/>
      <c r="K127" s="760"/>
      <c r="L127" s="318" t="s">
        <v>112</v>
      </c>
      <c r="M127" s="318" t="s">
        <v>112</v>
      </c>
      <c r="N127" s="577"/>
      <c r="O127" s="760"/>
      <c r="P127" s="491"/>
      <c r="Q127" s="491"/>
      <c r="R127" s="491"/>
      <c r="S127" s="491"/>
      <c r="T127" s="491"/>
      <c r="U127" s="491"/>
      <c r="V127" s="491"/>
      <c r="W127" s="491"/>
      <c r="X127" s="491"/>
      <c r="Y127" s="491"/>
      <c r="Z127" s="491"/>
      <c r="AA127" s="491"/>
      <c r="AB127" s="814"/>
      <c r="AC127" s="814"/>
    </row>
    <row r="128" ht="14.25" customHeight="1" outlineLevel="1">
      <c r="A128" s="595" t="s">
        <v>1392</v>
      </c>
      <c r="B128" s="796"/>
      <c r="C128" s="595" t="s">
        <v>1393</v>
      </c>
      <c r="D128" s="796"/>
      <c r="E128" s="310">
        <v>750.0</v>
      </c>
      <c r="F128" s="301">
        <v>2199.0</v>
      </c>
      <c r="G128" s="313">
        <v>398.0</v>
      </c>
      <c r="H128" s="332">
        <f t="shared" ref="H128:H131" si="57">G128/F128</f>
        <v>0.1809913597</v>
      </c>
      <c r="I128" s="315">
        <f t="shared" ref="I128:I131" si="58">F128-G128</f>
        <v>1801</v>
      </c>
      <c r="J128" s="316">
        <f t="shared" ref="J128:J131" si="59">F128/G128-1</f>
        <v>4.525125628</v>
      </c>
      <c r="K128" s="760"/>
      <c r="L128" s="318" t="s">
        <v>112</v>
      </c>
      <c r="M128" s="318" t="s">
        <v>112</v>
      </c>
      <c r="N128" s="577"/>
      <c r="O128" s="760"/>
      <c r="P128" s="491"/>
      <c r="Q128" s="491"/>
      <c r="R128" s="491"/>
      <c r="S128" s="491"/>
      <c r="T128" s="491"/>
      <c r="U128" s="491"/>
      <c r="V128" s="491"/>
      <c r="W128" s="491"/>
      <c r="X128" s="491"/>
      <c r="Y128" s="491"/>
      <c r="Z128" s="491"/>
      <c r="AA128" s="491"/>
      <c r="AB128" s="814"/>
      <c r="AC128" s="814"/>
    </row>
    <row r="129" ht="14.25" customHeight="1" outlineLevel="1">
      <c r="A129" s="595" t="s">
        <v>1392</v>
      </c>
      <c r="B129" s="796"/>
      <c r="C129" s="606" t="s">
        <v>1393</v>
      </c>
      <c r="D129" s="796"/>
      <c r="E129" s="310">
        <v>125.0</v>
      </c>
      <c r="F129" s="311">
        <v>369.0</v>
      </c>
      <c r="G129" s="313">
        <v>67.0</v>
      </c>
      <c r="H129" s="332">
        <f t="shared" si="57"/>
        <v>0.1815718157</v>
      </c>
      <c r="I129" s="315">
        <f t="shared" si="58"/>
        <v>302</v>
      </c>
      <c r="J129" s="316">
        <f t="shared" si="59"/>
        <v>4.507462687</v>
      </c>
      <c r="K129" s="760"/>
      <c r="L129" s="318" t="s">
        <v>112</v>
      </c>
      <c r="M129" s="318" t="s">
        <v>112</v>
      </c>
      <c r="N129" s="577"/>
      <c r="O129" s="760"/>
      <c r="P129" s="491"/>
      <c r="Q129" s="491"/>
      <c r="R129" s="491"/>
      <c r="S129" s="491"/>
      <c r="T129" s="491"/>
      <c r="U129" s="491"/>
      <c r="V129" s="491"/>
      <c r="W129" s="491"/>
      <c r="X129" s="491"/>
      <c r="Y129" s="491"/>
      <c r="Z129" s="491"/>
      <c r="AA129" s="491"/>
      <c r="AB129" s="814"/>
      <c r="AC129" s="814"/>
    </row>
    <row r="130" ht="14.25" customHeight="1" outlineLevel="1">
      <c r="A130" s="595" t="s">
        <v>1394</v>
      </c>
      <c r="B130" s="796"/>
      <c r="C130" s="595" t="s">
        <v>1393</v>
      </c>
      <c r="D130" s="796"/>
      <c r="E130" s="310">
        <v>750.0</v>
      </c>
      <c r="F130" s="301">
        <v>2199.0</v>
      </c>
      <c r="G130" s="313">
        <v>398.0</v>
      </c>
      <c r="H130" s="332">
        <f t="shared" si="57"/>
        <v>0.1809913597</v>
      </c>
      <c r="I130" s="315">
        <f t="shared" si="58"/>
        <v>1801</v>
      </c>
      <c r="J130" s="316">
        <f t="shared" si="59"/>
        <v>4.525125628</v>
      </c>
      <c r="K130" s="760"/>
      <c r="L130" s="318" t="s">
        <v>112</v>
      </c>
      <c r="M130" s="318" t="s">
        <v>112</v>
      </c>
      <c r="N130" s="577"/>
      <c r="O130" s="760"/>
      <c r="P130" s="491"/>
      <c r="Q130" s="491"/>
      <c r="R130" s="491"/>
      <c r="S130" s="491"/>
      <c r="T130" s="491"/>
      <c r="U130" s="491"/>
      <c r="V130" s="491"/>
      <c r="W130" s="491"/>
      <c r="X130" s="491"/>
      <c r="Y130" s="491"/>
      <c r="Z130" s="491"/>
      <c r="AA130" s="491"/>
      <c r="AB130" s="814"/>
      <c r="AC130" s="814"/>
    </row>
    <row r="131" ht="14.25" customHeight="1" outlineLevel="1">
      <c r="A131" s="595" t="s">
        <v>1394</v>
      </c>
      <c r="B131" s="796"/>
      <c r="C131" s="606" t="s">
        <v>1393</v>
      </c>
      <c r="D131" s="796"/>
      <c r="E131" s="310">
        <v>125.0</v>
      </c>
      <c r="F131" s="311">
        <v>369.0</v>
      </c>
      <c r="G131" s="313">
        <v>67.0</v>
      </c>
      <c r="H131" s="332">
        <f t="shared" si="57"/>
        <v>0.1815718157</v>
      </c>
      <c r="I131" s="315">
        <f t="shared" si="58"/>
        <v>302</v>
      </c>
      <c r="J131" s="316">
        <f t="shared" si="59"/>
        <v>4.507462687</v>
      </c>
      <c r="K131" s="760"/>
      <c r="L131" s="318" t="s">
        <v>112</v>
      </c>
      <c r="M131" s="318" t="s">
        <v>112</v>
      </c>
      <c r="N131" s="577"/>
      <c r="O131" s="760"/>
      <c r="P131" s="491"/>
      <c r="Q131" s="491"/>
      <c r="R131" s="491"/>
      <c r="S131" s="491"/>
      <c r="T131" s="491"/>
      <c r="U131" s="491"/>
      <c r="V131" s="491"/>
      <c r="W131" s="491"/>
      <c r="X131" s="491"/>
      <c r="Y131" s="491"/>
      <c r="Z131" s="491"/>
      <c r="AA131" s="491"/>
      <c r="AB131" s="814"/>
      <c r="AC131" s="814"/>
    </row>
    <row r="132" ht="14.25" customHeight="1" outlineLevel="1">
      <c r="A132" s="594" t="s">
        <v>1395</v>
      </c>
      <c r="B132" s="290"/>
      <c r="C132" s="815" t="s">
        <v>729</v>
      </c>
      <c r="D132" s="290"/>
      <c r="E132" s="812"/>
      <c r="F132" s="813"/>
      <c r="G132" s="296"/>
      <c r="H132" s="303"/>
      <c r="I132" s="298"/>
      <c r="J132" s="303"/>
      <c r="K132" s="760"/>
      <c r="L132" s="318" t="s">
        <v>112</v>
      </c>
      <c r="M132" s="318" t="s">
        <v>112</v>
      </c>
      <c r="N132" s="577"/>
      <c r="O132" s="760"/>
      <c r="P132" s="491"/>
      <c r="Q132" s="491"/>
      <c r="R132" s="491"/>
      <c r="S132" s="491"/>
      <c r="T132" s="491"/>
      <c r="U132" s="491"/>
      <c r="V132" s="491"/>
      <c r="W132" s="491"/>
      <c r="X132" s="491"/>
      <c r="Y132" s="491"/>
      <c r="Z132" s="491"/>
      <c r="AA132" s="491"/>
      <c r="AB132" s="814"/>
      <c r="AC132" s="814"/>
    </row>
    <row r="133" ht="14.25" customHeight="1" outlineLevel="1">
      <c r="A133" s="595" t="s">
        <v>1396</v>
      </c>
      <c r="B133" s="416"/>
      <c r="C133" s="816" t="s">
        <v>733</v>
      </c>
      <c r="D133" s="416"/>
      <c r="E133" s="339">
        <v>750.0</v>
      </c>
      <c r="F133" s="311">
        <v>1699.0</v>
      </c>
      <c r="G133" s="335">
        <v>332.78</v>
      </c>
      <c r="H133" s="477">
        <f t="shared" ref="H133:H134" si="60">G133/F133</f>
        <v>0.1958681577</v>
      </c>
      <c r="I133" s="315">
        <f t="shared" ref="I133:I134" si="61">F133-G133</f>
        <v>1366.22</v>
      </c>
      <c r="J133" s="316">
        <f t="shared" ref="J133:J134" si="62">F133/G133-1</f>
        <v>4.105475089</v>
      </c>
      <c r="K133" s="760"/>
      <c r="L133" s="318" t="s">
        <v>112</v>
      </c>
      <c r="M133" s="318" t="s">
        <v>112</v>
      </c>
      <c r="N133" s="577"/>
      <c r="O133" s="760"/>
      <c r="P133" s="491"/>
      <c r="Q133" s="491"/>
      <c r="R133" s="491"/>
      <c r="S133" s="491"/>
      <c r="T133" s="491"/>
      <c r="U133" s="491"/>
      <c r="V133" s="491"/>
      <c r="W133" s="491"/>
      <c r="X133" s="491"/>
      <c r="Y133" s="491"/>
      <c r="Z133" s="491"/>
      <c r="AA133" s="491"/>
      <c r="AB133" s="814"/>
      <c r="AC133" s="814"/>
    </row>
    <row r="134" ht="14.25" customHeight="1" outlineLevel="1">
      <c r="A134" s="595" t="s">
        <v>1397</v>
      </c>
      <c r="B134" s="416"/>
      <c r="C134" s="816" t="s">
        <v>731</v>
      </c>
      <c r="D134" s="416"/>
      <c r="E134" s="339">
        <v>750.0</v>
      </c>
      <c r="F134" s="311">
        <v>1699.0</v>
      </c>
      <c r="G134" s="335">
        <v>273.91</v>
      </c>
      <c r="H134" s="477">
        <f t="shared" si="60"/>
        <v>0.1612183637</v>
      </c>
      <c r="I134" s="315">
        <f t="shared" si="61"/>
        <v>1425.09</v>
      </c>
      <c r="J134" s="316">
        <f t="shared" si="62"/>
        <v>5.202767332</v>
      </c>
      <c r="K134" s="760"/>
      <c r="L134" s="318" t="s">
        <v>112</v>
      </c>
      <c r="M134" s="318" t="s">
        <v>112</v>
      </c>
      <c r="N134" s="577"/>
      <c r="O134" s="760"/>
      <c r="P134" s="491"/>
      <c r="Q134" s="491"/>
      <c r="R134" s="491"/>
      <c r="S134" s="491"/>
      <c r="T134" s="491"/>
      <c r="U134" s="491"/>
      <c r="V134" s="491"/>
      <c r="W134" s="491"/>
      <c r="X134" s="491"/>
      <c r="Y134" s="491"/>
      <c r="Z134" s="491"/>
      <c r="AA134" s="491"/>
      <c r="AB134" s="814"/>
      <c r="AC134" s="814"/>
    </row>
    <row r="135" ht="14.25" customHeight="1">
      <c r="A135" s="594" t="s">
        <v>1398</v>
      </c>
      <c r="B135" s="290"/>
      <c r="C135" s="290"/>
      <c r="D135" s="290"/>
      <c r="E135" s="293"/>
      <c r="F135" s="298"/>
      <c r="G135" s="296"/>
      <c r="H135" s="297"/>
      <c r="I135" s="298"/>
      <c r="J135" s="297"/>
      <c r="K135" s="298"/>
      <c r="L135" s="297"/>
      <c r="M135" s="297"/>
      <c r="N135" s="795"/>
      <c r="O135" s="760"/>
      <c r="P135" s="794"/>
      <c r="Q135" s="794"/>
      <c r="R135" s="794"/>
      <c r="S135" s="794"/>
      <c r="T135" s="794"/>
      <c r="U135" s="794"/>
      <c r="V135" s="794"/>
      <c r="W135" s="794"/>
      <c r="X135" s="794"/>
      <c r="Y135" s="794"/>
      <c r="Z135" s="794"/>
      <c r="AA135" s="794"/>
      <c r="AB135" s="794"/>
      <c r="AC135" s="794"/>
    </row>
    <row r="136" ht="14.25" customHeight="1" outlineLevel="1">
      <c r="A136" s="595" t="s">
        <v>753</v>
      </c>
      <c r="B136" s="595" t="s">
        <v>1399</v>
      </c>
      <c r="C136" s="595" t="s">
        <v>1400</v>
      </c>
      <c r="D136" s="416"/>
      <c r="E136" s="339">
        <v>200.0</v>
      </c>
      <c r="F136" s="576">
        <v>439.0</v>
      </c>
      <c r="G136" s="335">
        <v>82.51</v>
      </c>
      <c r="H136" s="332">
        <f t="shared" ref="H136:H143" si="63">G136/F136</f>
        <v>0.1879498861</v>
      </c>
      <c r="I136" s="315">
        <f t="shared" ref="I136:I143" si="64">F136-G136</f>
        <v>356.49</v>
      </c>
      <c r="J136" s="316">
        <f t="shared" ref="J136:J143" si="65">F136/G136-1</f>
        <v>4.320567204</v>
      </c>
      <c r="K136" s="760"/>
      <c r="L136" s="318" t="s">
        <v>112</v>
      </c>
      <c r="M136" s="318" t="s">
        <v>112</v>
      </c>
      <c r="N136" s="319">
        <v>319.0</v>
      </c>
      <c r="O136" s="760"/>
      <c r="P136" s="491"/>
      <c r="Q136" s="491"/>
      <c r="R136" s="491"/>
      <c r="S136" s="491"/>
      <c r="T136" s="491"/>
      <c r="U136" s="491"/>
      <c r="V136" s="491"/>
      <c r="W136" s="491"/>
      <c r="X136" s="491"/>
      <c r="Y136" s="491"/>
      <c r="Z136" s="491"/>
      <c r="AA136" s="491"/>
      <c r="AB136" s="814"/>
      <c r="AC136" s="814"/>
    </row>
    <row r="137" ht="14.25" customHeight="1" outlineLevel="1">
      <c r="A137" s="595" t="s">
        <v>755</v>
      </c>
      <c r="B137" s="416"/>
      <c r="C137" s="595" t="s">
        <v>1401</v>
      </c>
      <c r="D137" s="416"/>
      <c r="E137" s="339">
        <v>200.0</v>
      </c>
      <c r="F137" s="576">
        <v>439.0</v>
      </c>
      <c r="G137" s="335">
        <v>63.69</v>
      </c>
      <c r="H137" s="477">
        <f t="shared" si="63"/>
        <v>0.1450797267</v>
      </c>
      <c r="I137" s="315">
        <f t="shared" si="64"/>
        <v>375.31</v>
      </c>
      <c r="J137" s="316">
        <f t="shared" si="65"/>
        <v>5.892761815</v>
      </c>
      <c r="K137" s="760"/>
      <c r="L137" s="318" t="s">
        <v>112</v>
      </c>
      <c r="M137" s="318" t="s">
        <v>112</v>
      </c>
      <c r="N137" s="300">
        <v>349.0</v>
      </c>
      <c r="O137" s="760"/>
      <c r="P137" s="457"/>
      <c r="Q137" s="457"/>
      <c r="R137" s="457"/>
      <c r="S137" s="457"/>
      <c r="T137" s="457"/>
      <c r="U137" s="457"/>
      <c r="V137" s="457"/>
      <c r="W137" s="457"/>
      <c r="X137" s="457"/>
      <c r="Y137" s="457"/>
      <c r="Z137" s="457"/>
      <c r="AA137" s="457"/>
      <c r="AB137" s="794"/>
      <c r="AC137" s="794"/>
    </row>
    <row r="138" ht="14.25" customHeight="1" outlineLevel="1">
      <c r="A138" s="595" t="s">
        <v>598</v>
      </c>
      <c r="B138" s="595" t="s">
        <v>938</v>
      </c>
      <c r="C138" s="595" t="s">
        <v>1402</v>
      </c>
      <c r="D138" s="595" t="s">
        <v>1403</v>
      </c>
      <c r="E138" s="339">
        <v>300.0</v>
      </c>
      <c r="F138" s="301">
        <v>429.0</v>
      </c>
      <c r="G138" s="335">
        <v>69.38</v>
      </c>
      <c r="H138" s="477">
        <f t="shared" si="63"/>
        <v>0.1617249417</v>
      </c>
      <c r="I138" s="315">
        <f t="shared" si="64"/>
        <v>359.62</v>
      </c>
      <c r="J138" s="316">
        <f t="shared" si="65"/>
        <v>5.183338138</v>
      </c>
      <c r="K138" s="760"/>
      <c r="L138" s="318" t="s">
        <v>112</v>
      </c>
      <c r="M138" s="318" t="s">
        <v>112</v>
      </c>
      <c r="N138" s="300">
        <v>329.0</v>
      </c>
      <c r="O138" s="760"/>
      <c r="P138" s="457"/>
      <c r="Q138" s="457"/>
      <c r="R138" s="457"/>
      <c r="S138" s="457"/>
      <c r="T138" s="457"/>
      <c r="U138" s="457"/>
      <c r="V138" s="457"/>
      <c r="W138" s="457"/>
      <c r="X138" s="457"/>
      <c r="Y138" s="457"/>
      <c r="Z138" s="457"/>
      <c r="AA138" s="457"/>
      <c r="AB138" s="794"/>
      <c r="AC138" s="794"/>
    </row>
    <row r="139" ht="14.25" customHeight="1" outlineLevel="1">
      <c r="A139" s="390" t="s">
        <v>1404</v>
      </c>
      <c r="B139" s="801" t="s">
        <v>933</v>
      </c>
      <c r="C139" s="801"/>
      <c r="D139" s="801"/>
      <c r="E139" s="337">
        <v>300.0</v>
      </c>
      <c r="F139" s="597">
        <v>379.0</v>
      </c>
      <c r="G139" s="364">
        <v>76.0</v>
      </c>
      <c r="H139" s="332">
        <f t="shared" si="63"/>
        <v>0.2005277045</v>
      </c>
      <c r="I139" s="315">
        <f t="shared" si="64"/>
        <v>303</v>
      </c>
      <c r="J139" s="316">
        <f t="shared" si="65"/>
        <v>3.986842105</v>
      </c>
      <c r="L139" s="318" t="s">
        <v>112</v>
      </c>
      <c r="M139" s="318" t="s">
        <v>112</v>
      </c>
      <c r="N139" s="319">
        <v>329.0</v>
      </c>
      <c r="O139" s="760"/>
      <c r="P139" s="457"/>
      <c r="Q139" s="457"/>
      <c r="R139" s="457"/>
      <c r="S139" s="457"/>
      <c r="T139" s="457"/>
      <c r="U139" s="457"/>
      <c r="V139" s="457"/>
      <c r="W139" s="457"/>
      <c r="X139" s="457"/>
      <c r="Y139" s="457"/>
      <c r="Z139" s="457"/>
      <c r="AA139" s="457"/>
      <c r="AB139" s="794"/>
      <c r="AC139" s="794"/>
    </row>
    <row r="140" ht="14.25" customHeight="1" outlineLevel="1">
      <c r="A140" s="390" t="s">
        <v>769</v>
      </c>
      <c r="B140" s="801" t="s">
        <v>1405</v>
      </c>
      <c r="C140" s="801"/>
      <c r="D140" s="801"/>
      <c r="E140" s="337">
        <v>300.0</v>
      </c>
      <c r="F140" s="597">
        <v>389.0</v>
      </c>
      <c r="G140" s="364">
        <v>72.0</v>
      </c>
      <c r="H140" s="332">
        <f t="shared" si="63"/>
        <v>0.1850899743</v>
      </c>
      <c r="I140" s="315">
        <f t="shared" si="64"/>
        <v>317</v>
      </c>
      <c r="J140" s="316">
        <f t="shared" si="65"/>
        <v>4.402777778</v>
      </c>
      <c r="L140" s="318" t="s">
        <v>112</v>
      </c>
      <c r="M140" s="318" t="s">
        <v>112</v>
      </c>
      <c r="N140" s="300">
        <v>549.0</v>
      </c>
      <c r="O140" s="760"/>
      <c r="P140" s="457"/>
      <c r="Q140" s="457"/>
      <c r="R140" s="457"/>
      <c r="S140" s="457"/>
      <c r="T140" s="457"/>
      <c r="U140" s="457"/>
      <c r="V140" s="457"/>
      <c r="W140" s="457"/>
      <c r="X140" s="457"/>
      <c r="Y140" s="457"/>
      <c r="Z140" s="457"/>
      <c r="AA140" s="457"/>
      <c r="AB140" s="794"/>
      <c r="AC140" s="794"/>
    </row>
    <row r="141" ht="14.25" customHeight="1" outlineLevel="1">
      <c r="A141" s="595" t="s">
        <v>763</v>
      </c>
      <c r="B141" s="595" t="s">
        <v>1406</v>
      </c>
      <c r="C141" s="595" t="s">
        <v>1407</v>
      </c>
      <c r="D141" s="416"/>
      <c r="E141" s="339">
        <v>300.0</v>
      </c>
      <c r="F141" s="301">
        <v>599.0</v>
      </c>
      <c r="G141" s="335">
        <v>95.17</v>
      </c>
      <c r="H141" s="477">
        <f t="shared" si="63"/>
        <v>0.1588814691</v>
      </c>
      <c r="I141" s="315">
        <f t="shared" si="64"/>
        <v>503.83</v>
      </c>
      <c r="J141" s="316">
        <f t="shared" si="65"/>
        <v>5.29400021</v>
      </c>
      <c r="K141" s="760"/>
      <c r="L141" s="318" t="s">
        <v>112</v>
      </c>
      <c r="M141" s="318" t="s">
        <v>112</v>
      </c>
      <c r="N141" s="319">
        <v>499.0</v>
      </c>
      <c r="O141" s="760"/>
      <c r="P141" s="457"/>
      <c r="Q141" s="457"/>
      <c r="R141" s="457"/>
      <c r="S141" s="457"/>
      <c r="T141" s="457"/>
      <c r="U141" s="457"/>
      <c r="V141" s="457"/>
      <c r="W141" s="457"/>
      <c r="X141" s="457"/>
      <c r="Y141" s="457"/>
      <c r="Z141" s="457"/>
      <c r="AA141" s="457"/>
      <c r="AB141" s="794"/>
      <c r="AC141" s="794"/>
    </row>
    <row r="142" ht="14.25" customHeight="1" outlineLevel="1">
      <c r="A142" s="595" t="s">
        <v>766</v>
      </c>
      <c r="B142" s="595" t="s">
        <v>1408</v>
      </c>
      <c r="C142" s="595" t="s">
        <v>1409</v>
      </c>
      <c r="D142" s="416"/>
      <c r="E142" s="337">
        <v>300.0</v>
      </c>
      <c r="F142" s="311">
        <v>549.0</v>
      </c>
      <c r="G142" s="364">
        <v>118.58</v>
      </c>
      <c r="H142" s="332">
        <f t="shared" si="63"/>
        <v>0.215992714</v>
      </c>
      <c r="I142" s="315">
        <f t="shared" si="64"/>
        <v>430.42</v>
      </c>
      <c r="J142" s="316">
        <f t="shared" si="65"/>
        <v>3.629785799</v>
      </c>
      <c r="K142" s="760"/>
      <c r="L142" s="318" t="s">
        <v>112</v>
      </c>
      <c r="M142" s="318" t="s">
        <v>112</v>
      </c>
      <c r="N142" s="300">
        <v>359.0</v>
      </c>
      <c r="O142" s="760"/>
      <c r="P142" s="457"/>
      <c r="Q142" s="457"/>
      <c r="R142" s="457"/>
      <c r="S142" s="457"/>
      <c r="T142" s="457"/>
      <c r="U142" s="457"/>
      <c r="V142" s="457"/>
      <c r="W142" s="457"/>
      <c r="X142" s="457"/>
      <c r="Y142" s="457"/>
      <c r="Z142" s="457"/>
      <c r="AA142" s="457"/>
      <c r="AB142" s="794"/>
      <c r="AC142" s="794"/>
    </row>
    <row r="143" ht="14.25" customHeight="1" outlineLevel="1">
      <c r="A143" s="595" t="s">
        <v>930</v>
      </c>
      <c r="B143" s="595" t="s">
        <v>931</v>
      </c>
      <c r="C143" s="595" t="s">
        <v>1410</v>
      </c>
      <c r="D143" s="416"/>
      <c r="E143" s="339">
        <v>250.0</v>
      </c>
      <c r="F143" s="301">
        <v>389.0</v>
      </c>
      <c r="G143" s="335">
        <v>62.83</v>
      </c>
      <c r="H143" s="477">
        <f t="shared" si="63"/>
        <v>0.1615167095</v>
      </c>
      <c r="I143" s="315">
        <f t="shared" si="64"/>
        <v>326.17</v>
      </c>
      <c r="J143" s="316">
        <f t="shared" si="65"/>
        <v>5.191309884</v>
      </c>
      <c r="K143" s="760"/>
      <c r="L143" s="318" t="s">
        <v>112</v>
      </c>
      <c r="M143" s="318" t="s">
        <v>112</v>
      </c>
      <c r="N143" s="300">
        <v>329.0</v>
      </c>
      <c r="O143" s="760"/>
      <c r="P143" s="457"/>
      <c r="Q143" s="457"/>
      <c r="R143" s="457"/>
      <c r="S143" s="457"/>
      <c r="T143" s="457"/>
      <c r="U143" s="457"/>
      <c r="V143" s="457"/>
      <c r="W143" s="457"/>
      <c r="X143" s="457"/>
      <c r="Y143" s="457"/>
      <c r="Z143" s="457"/>
      <c r="AA143" s="457"/>
      <c r="AB143" s="794"/>
      <c r="AC143" s="794"/>
    </row>
    <row r="144" ht="14.25" customHeight="1">
      <c r="A144" s="594" t="s">
        <v>798</v>
      </c>
      <c r="B144" s="290"/>
      <c r="C144" s="290"/>
      <c r="D144" s="290"/>
      <c r="E144" s="293"/>
      <c r="F144" s="298"/>
      <c r="G144" s="296"/>
      <c r="H144" s="297"/>
      <c r="I144" s="298"/>
      <c r="J144" s="297"/>
      <c r="K144" s="298"/>
      <c r="L144" s="290"/>
      <c r="M144" s="290"/>
      <c r="N144" s="795"/>
      <c r="O144" s="760"/>
      <c r="P144" s="794"/>
      <c r="Q144" s="794"/>
      <c r="R144" s="794"/>
      <c r="S144" s="794"/>
      <c r="T144" s="794"/>
      <c r="U144" s="794"/>
      <c r="V144" s="794"/>
      <c r="W144" s="794"/>
      <c r="X144" s="794"/>
      <c r="Y144" s="794"/>
      <c r="Z144" s="794"/>
      <c r="AA144" s="794"/>
      <c r="AB144" s="794"/>
      <c r="AC144" s="794"/>
    </row>
    <row r="145" ht="14.25" customHeight="1" outlineLevel="1">
      <c r="A145" s="595" t="s">
        <v>801</v>
      </c>
      <c r="B145" s="416"/>
      <c r="C145" s="416"/>
      <c r="D145" s="416"/>
      <c r="E145" s="339">
        <v>50.0</v>
      </c>
      <c r="F145" s="311">
        <v>229.0</v>
      </c>
      <c r="G145" s="335">
        <v>20.64</v>
      </c>
      <c r="H145" s="477">
        <f t="shared" ref="H145:H153" si="66">G145/F145</f>
        <v>0.09013100437</v>
      </c>
      <c r="I145" s="315">
        <f t="shared" ref="I145:I153" si="67">F145-G145</f>
        <v>208.36</v>
      </c>
      <c r="J145" s="316">
        <f t="shared" ref="J145:J153" si="68">F145/G145-1</f>
        <v>10.09496124</v>
      </c>
      <c r="K145" s="760"/>
      <c r="L145" s="318" t="s">
        <v>112</v>
      </c>
      <c r="M145" s="318" t="s">
        <v>112</v>
      </c>
      <c r="N145" s="319">
        <v>189.0</v>
      </c>
      <c r="O145" s="760"/>
      <c r="P145" s="794"/>
      <c r="Q145" s="794"/>
      <c r="R145" s="794"/>
      <c r="S145" s="794"/>
      <c r="T145" s="794"/>
      <c r="U145" s="794"/>
      <c r="V145" s="794"/>
      <c r="W145" s="794"/>
      <c r="X145" s="794"/>
      <c r="Y145" s="794"/>
      <c r="Z145" s="794"/>
      <c r="AA145" s="794"/>
      <c r="AB145" s="794"/>
      <c r="AC145" s="794"/>
    </row>
    <row r="146" ht="14.25" customHeight="1" outlineLevel="1">
      <c r="A146" s="595" t="s">
        <v>803</v>
      </c>
      <c r="B146" s="416"/>
      <c r="C146" s="416"/>
      <c r="D146" s="416"/>
      <c r="E146" s="339">
        <v>50.0</v>
      </c>
      <c r="F146" s="311">
        <v>229.0</v>
      </c>
      <c r="G146" s="335">
        <v>22.15</v>
      </c>
      <c r="H146" s="477">
        <f t="shared" si="66"/>
        <v>0.09672489083</v>
      </c>
      <c r="I146" s="315">
        <f t="shared" si="67"/>
        <v>206.85</v>
      </c>
      <c r="J146" s="316">
        <f t="shared" si="68"/>
        <v>9.338600451</v>
      </c>
      <c r="K146" s="760"/>
      <c r="L146" s="373" t="s">
        <v>112</v>
      </c>
      <c r="M146" s="373" t="s">
        <v>112</v>
      </c>
      <c r="N146" s="319">
        <v>189.0</v>
      </c>
      <c r="O146" s="760"/>
      <c r="P146" s="794"/>
      <c r="Q146" s="794"/>
      <c r="R146" s="794"/>
      <c r="S146" s="794"/>
      <c r="T146" s="794"/>
      <c r="U146" s="794"/>
      <c r="V146" s="794"/>
      <c r="W146" s="794"/>
      <c r="X146" s="794"/>
      <c r="Y146" s="794"/>
      <c r="Z146" s="794"/>
      <c r="AA146" s="794"/>
      <c r="AB146" s="794"/>
      <c r="AC146" s="794"/>
    </row>
    <row r="147" ht="14.25" customHeight="1" outlineLevel="1">
      <c r="A147" s="595" t="s">
        <v>808</v>
      </c>
      <c r="B147" s="416"/>
      <c r="C147" s="416"/>
      <c r="D147" s="416"/>
      <c r="E147" s="339">
        <v>50.0</v>
      </c>
      <c r="F147" s="311">
        <v>229.0</v>
      </c>
      <c r="G147" s="335">
        <v>20.47</v>
      </c>
      <c r="H147" s="477">
        <f t="shared" si="66"/>
        <v>0.08938864629</v>
      </c>
      <c r="I147" s="315">
        <f t="shared" si="67"/>
        <v>208.53</v>
      </c>
      <c r="J147" s="316">
        <f t="shared" si="68"/>
        <v>10.18710308</v>
      </c>
      <c r="K147" s="760"/>
      <c r="L147" s="318" t="s">
        <v>112</v>
      </c>
      <c r="M147" s="318" t="s">
        <v>112</v>
      </c>
      <c r="N147" s="319">
        <v>189.0</v>
      </c>
      <c r="O147" s="760"/>
      <c r="P147" s="794"/>
      <c r="Q147" s="794"/>
      <c r="R147" s="794"/>
      <c r="S147" s="794"/>
      <c r="T147" s="794"/>
      <c r="U147" s="794"/>
      <c r="V147" s="794"/>
      <c r="W147" s="794"/>
      <c r="X147" s="794"/>
      <c r="Y147" s="794"/>
      <c r="Z147" s="794"/>
      <c r="AA147" s="794"/>
      <c r="AB147" s="794"/>
      <c r="AC147" s="794"/>
    </row>
    <row r="148" ht="14.25" customHeight="1" outlineLevel="1">
      <c r="A148" s="595" t="s">
        <v>804</v>
      </c>
      <c r="B148" s="416"/>
      <c r="C148" s="416"/>
      <c r="D148" s="416"/>
      <c r="E148" s="339">
        <v>50.0</v>
      </c>
      <c r="F148" s="311">
        <v>229.0</v>
      </c>
      <c r="G148" s="335">
        <v>34.55</v>
      </c>
      <c r="H148" s="477">
        <f t="shared" si="66"/>
        <v>0.1508733624</v>
      </c>
      <c r="I148" s="315">
        <f t="shared" si="67"/>
        <v>194.45</v>
      </c>
      <c r="J148" s="316">
        <f t="shared" si="68"/>
        <v>5.628075253</v>
      </c>
      <c r="K148" s="760"/>
      <c r="L148" s="318" t="s">
        <v>112</v>
      </c>
      <c r="M148" s="318" t="s">
        <v>112</v>
      </c>
      <c r="N148" s="319">
        <v>189.0</v>
      </c>
      <c r="O148" s="760"/>
      <c r="P148" s="794"/>
      <c r="Q148" s="794"/>
      <c r="R148" s="794"/>
      <c r="S148" s="794"/>
      <c r="T148" s="794"/>
      <c r="U148" s="794"/>
      <c r="V148" s="794"/>
      <c r="W148" s="794"/>
      <c r="X148" s="794"/>
      <c r="Y148" s="794"/>
      <c r="Z148" s="794"/>
      <c r="AA148" s="794"/>
      <c r="AB148" s="794"/>
      <c r="AC148" s="794"/>
    </row>
    <row r="149" ht="14.25" customHeight="1" outlineLevel="1">
      <c r="A149" s="595" t="s">
        <v>805</v>
      </c>
      <c r="B149" s="416"/>
      <c r="C149" s="416"/>
      <c r="D149" s="416"/>
      <c r="E149" s="339">
        <v>50.0</v>
      </c>
      <c r="F149" s="311">
        <v>229.0</v>
      </c>
      <c r="G149" s="335">
        <v>26.64</v>
      </c>
      <c r="H149" s="477">
        <f t="shared" si="66"/>
        <v>0.1163318777</v>
      </c>
      <c r="I149" s="315">
        <f t="shared" si="67"/>
        <v>202.36</v>
      </c>
      <c r="J149" s="316">
        <f t="shared" si="68"/>
        <v>7.596096096</v>
      </c>
      <c r="K149" s="760"/>
      <c r="L149" s="318" t="s">
        <v>112</v>
      </c>
      <c r="M149" s="318" t="s">
        <v>112</v>
      </c>
      <c r="N149" s="319">
        <v>189.0</v>
      </c>
      <c r="O149" s="760"/>
      <c r="P149" s="794"/>
      <c r="Q149" s="794"/>
      <c r="R149" s="794"/>
      <c r="S149" s="794"/>
      <c r="T149" s="794"/>
      <c r="U149" s="794"/>
      <c r="V149" s="794"/>
      <c r="W149" s="794"/>
      <c r="X149" s="794"/>
      <c r="Y149" s="794"/>
      <c r="Z149" s="794"/>
      <c r="AA149" s="794"/>
      <c r="AB149" s="794"/>
      <c r="AC149" s="794"/>
    </row>
    <row r="150" ht="14.25" customHeight="1" outlineLevel="1">
      <c r="A150" s="817" t="s">
        <v>806</v>
      </c>
      <c r="B150" s="416"/>
      <c r="C150" s="416"/>
      <c r="D150" s="416"/>
      <c r="E150" s="339">
        <v>50.0</v>
      </c>
      <c r="F150" s="311">
        <v>229.0</v>
      </c>
      <c r="G150" s="335">
        <v>26.86</v>
      </c>
      <c r="H150" s="477">
        <f t="shared" si="66"/>
        <v>0.1172925764</v>
      </c>
      <c r="I150" s="315">
        <f t="shared" si="67"/>
        <v>202.14</v>
      </c>
      <c r="J150" s="316">
        <f t="shared" si="68"/>
        <v>7.525688757</v>
      </c>
      <c r="K150" s="760"/>
      <c r="L150" s="318" t="s">
        <v>112</v>
      </c>
      <c r="M150" s="318" t="s">
        <v>112</v>
      </c>
      <c r="N150" s="319">
        <v>189.0</v>
      </c>
      <c r="O150" s="760"/>
      <c r="P150" s="794"/>
      <c r="Q150" s="794"/>
      <c r="R150" s="794"/>
      <c r="S150" s="794"/>
      <c r="T150" s="794"/>
      <c r="U150" s="794"/>
      <c r="V150" s="794"/>
      <c r="W150" s="794"/>
      <c r="X150" s="794"/>
      <c r="Y150" s="794"/>
      <c r="Z150" s="794"/>
      <c r="AA150" s="794"/>
      <c r="AB150" s="794"/>
      <c r="AC150" s="794"/>
    </row>
    <row r="151" ht="14.25" customHeight="1" outlineLevel="1">
      <c r="A151" s="321" t="s">
        <v>809</v>
      </c>
      <c r="B151" s="321"/>
      <c r="C151" s="321"/>
      <c r="D151" s="321"/>
      <c r="E151" s="337">
        <v>50.0</v>
      </c>
      <c r="F151" s="311">
        <v>229.0</v>
      </c>
      <c r="G151" s="364">
        <v>39.41</v>
      </c>
      <c r="H151" s="477">
        <f t="shared" si="66"/>
        <v>0.1720960699</v>
      </c>
      <c r="I151" s="315">
        <f t="shared" si="67"/>
        <v>189.59</v>
      </c>
      <c r="J151" s="316">
        <f t="shared" si="68"/>
        <v>4.810707942</v>
      </c>
      <c r="K151" s="760"/>
      <c r="L151" s="318" t="s">
        <v>112</v>
      </c>
      <c r="M151" s="318" t="s">
        <v>112</v>
      </c>
      <c r="N151" s="319">
        <v>189.0</v>
      </c>
      <c r="O151" s="760"/>
      <c r="P151" s="794"/>
      <c r="Q151" s="794"/>
      <c r="R151" s="794"/>
      <c r="S151" s="794"/>
      <c r="T151" s="794"/>
      <c r="U151" s="794"/>
      <c r="V151" s="794"/>
      <c r="W151" s="794"/>
      <c r="X151" s="794"/>
      <c r="Y151" s="794"/>
      <c r="Z151" s="794"/>
      <c r="AA151" s="794"/>
      <c r="AB151" s="794"/>
      <c r="AC151" s="794"/>
    </row>
    <row r="152" ht="14.25" customHeight="1" outlineLevel="1">
      <c r="A152" s="321" t="s">
        <v>810</v>
      </c>
      <c r="B152" s="321"/>
      <c r="C152" s="321"/>
      <c r="D152" s="321"/>
      <c r="E152" s="337">
        <v>50.0</v>
      </c>
      <c r="F152" s="311">
        <v>229.0</v>
      </c>
      <c r="G152" s="364">
        <v>30.94</v>
      </c>
      <c r="H152" s="477">
        <f t="shared" si="66"/>
        <v>0.1351091703</v>
      </c>
      <c r="I152" s="315">
        <f t="shared" si="67"/>
        <v>198.06</v>
      </c>
      <c r="J152" s="316">
        <f t="shared" si="68"/>
        <v>6.401422107</v>
      </c>
      <c r="K152" s="760"/>
      <c r="L152" s="318"/>
      <c r="M152" s="318"/>
      <c r="N152" s="319"/>
      <c r="O152" s="760"/>
      <c r="P152" s="794"/>
      <c r="Q152" s="794"/>
      <c r="R152" s="794"/>
      <c r="S152" s="794"/>
      <c r="T152" s="794"/>
      <c r="U152" s="794"/>
      <c r="V152" s="794"/>
      <c r="W152" s="794"/>
      <c r="X152" s="794"/>
      <c r="Y152" s="794"/>
      <c r="Z152" s="794"/>
      <c r="AA152" s="794"/>
      <c r="AB152" s="794"/>
      <c r="AC152" s="794"/>
    </row>
    <row r="153" ht="14.25" customHeight="1" outlineLevel="1">
      <c r="A153" s="606" t="s">
        <v>807</v>
      </c>
      <c r="B153" s="796"/>
      <c r="C153" s="796"/>
      <c r="D153" s="796"/>
      <c r="E153" s="310">
        <v>50.0</v>
      </c>
      <c r="F153" s="311">
        <v>229.0</v>
      </c>
      <c r="G153" s="313">
        <v>41.74</v>
      </c>
      <c r="H153" s="332">
        <f t="shared" si="66"/>
        <v>0.1822707424</v>
      </c>
      <c r="I153" s="315">
        <f t="shared" si="67"/>
        <v>187.26</v>
      </c>
      <c r="J153" s="316">
        <f t="shared" si="68"/>
        <v>4.486344034</v>
      </c>
      <c r="K153" s="760"/>
      <c r="L153" s="318"/>
      <c r="M153" s="318"/>
      <c r="N153" s="319"/>
      <c r="O153" s="760"/>
      <c r="P153" s="794"/>
      <c r="Q153" s="794"/>
      <c r="R153" s="794"/>
      <c r="S153" s="794"/>
      <c r="T153" s="794"/>
      <c r="U153" s="794"/>
      <c r="V153" s="794"/>
      <c r="W153" s="794"/>
      <c r="X153" s="794"/>
      <c r="Y153" s="794"/>
      <c r="Z153" s="794"/>
      <c r="AA153" s="794"/>
      <c r="AB153" s="794"/>
      <c r="AC153" s="794"/>
    </row>
    <row r="154" ht="14.25" customHeight="1">
      <c r="A154" s="818" t="s">
        <v>843</v>
      </c>
      <c r="B154" s="290" t="s">
        <v>1411</v>
      </c>
      <c r="C154" s="290"/>
      <c r="D154" s="290"/>
      <c r="E154" s="293"/>
      <c r="F154" s="298"/>
      <c r="G154" s="296"/>
      <c r="H154" s="297"/>
      <c r="I154" s="298"/>
      <c r="J154" s="297"/>
      <c r="K154" s="298"/>
      <c r="L154" s="297"/>
      <c r="M154" s="297"/>
      <c r="N154" s="795"/>
      <c r="O154" s="760"/>
      <c r="P154" s="794"/>
      <c r="Q154" s="794"/>
      <c r="R154" s="794"/>
      <c r="S154" s="794"/>
      <c r="T154" s="794"/>
      <c r="U154" s="794"/>
      <c r="V154" s="794"/>
      <c r="W154" s="794"/>
      <c r="X154" s="794"/>
      <c r="Y154" s="794"/>
      <c r="Z154" s="794"/>
      <c r="AA154" s="794"/>
      <c r="AB154" s="794"/>
      <c r="AC154" s="794"/>
    </row>
    <row r="155" ht="14.25" customHeight="1" outlineLevel="1">
      <c r="A155" s="595" t="s">
        <v>845</v>
      </c>
      <c r="B155" s="416"/>
      <c r="C155" s="416"/>
      <c r="D155" s="416"/>
      <c r="E155" s="339">
        <v>50.0</v>
      </c>
      <c r="F155" s="311">
        <v>199.0</v>
      </c>
      <c r="G155" s="335">
        <v>33.82</v>
      </c>
      <c r="H155" s="477">
        <f t="shared" ref="H155:H159" si="69">G155/F155</f>
        <v>0.1699497487</v>
      </c>
      <c r="I155" s="315">
        <f t="shared" ref="I155:I159" si="70">F155-G155</f>
        <v>165.18</v>
      </c>
      <c r="J155" s="316">
        <f t="shared" ref="J155:J159" si="71">F155/G155-1</f>
        <v>4.884092253</v>
      </c>
      <c r="K155" s="760"/>
      <c r="L155" s="318" t="s">
        <v>112</v>
      </c>
      <c r="M155" s="318" t="s">
        <v>112</v>
      </c>
      <c r="N155" s="319">
        <v>159.0</v>
      </c>
      <c r="O155" s="760"/>
      <c r="P155" s="491"/>
      <c r="Q155" s="491"/>
      <c r="R155" s="491"/>
      <c r="S155" s="491"/>
      <c r="T155" s="491"/>
      <c r="U155" s="491"/>
      <c r="V155" s="491"/>
      <c r="W155" s="491"/>
      <c r="X155" s="491"/>
      <c r="Y155" s="491"/>
      <c r="Z155" s="491"/>
      <c r="AA155" s="491"/>
      <c r="AB155" s="285"/>
      <c r="AC155" s="285"/>
    </row>
    <row r="156" ht="14.25" customHeight="1" outlineLevel="1">
      <c r="A156" s="817" t="s">
        <v>1412</v>
      </c>
      <c r="B156" s="416"/>
      <c r="C156" s="416"/>
      <c r="D156" s="416"/>
      <c r="E156" s="339">
        <v>50.0</v>
      </c>
      <c r="F156" s="311">
        <v>279.0</v>
      </c>
      <c r="G156" s="335">
        <v>43.47</v>
      </c>
      <c r="H156" s="477">
        <f t="shared" si="69"/>
        <v>0.1558064516</v>
      </c>
      <c r="I156" s="315">
        <f t="shared" si="70"/>
        <v>235.53</v>
      </c>
      <c r="J156" s="316">
        <f t="shared" si="71"/>
        <v>5.418219462</v>
      </c>
      <c r="K156" s="760"/>
      <c r="L156" s="318" t="s">
        <v>112</v>
      </c>
      <c r="M156" s="318" t="s">
        <v>112</v>
      </c>
      <c r="N156" s="319">
        <v>239.0</v>
      </c>
      <c r="O156" s="760"/>
      <c r="P156" s="491"/>
      <c r="Q156" s="491"/>
      <c r="R156" s="491"/>
      <c r="S156" s="491"/>
      <c r="T156" s="491"/>
      <c r="U156" s="491"/>
      <c r="V156" s="491"/>
      <c r="W156" s="491"/>
      <c r="X156" s="491"/>
      <c r="Y156" s="491"/>
      <c r="Z156" s="491"/>
      <c r="AA156" s="491"/>
      <c r="AB156" s="814"/>
      <c r="AC156" s="814"/>
    </row>
    <row r="157" ht="14.25" customHeight="1" outlineLevel="1">
      <c r="A157" s="817" t="s">
        <v>1413</v>
      </c>
      <c r="B157" s="416"/>
      <c r="C157" s="416"/>
      <c r="D157" s="416"/>
      <c r="E157" s="339">
        <v>50.0</v>
      </c>
      <c r="F157" s="311">
        <v>259.0</v>
      </c>
      <c r="G157" s="335">
        <v>45.8</v>
      </c>
      <c r="H157" s="477">
        <f t="shared" si="69"/>
        <v>0.1768339768</v>
      </c>
      <c r="I157" s="315">
        <f t="shared" si="70"/>
        <v>213.2</v>
      </c>
      <c r="J157" s="316">
        <f t="shared" si="71"/>
        <v>4.655021834</v>
      </c>
      <c r="K157" s="760"/>
      <c r="L157" s="318" t="s">
        <v>112</v>
      </c>
      <c r="M157" s="318" t="s">
        <v>112</v>
      </c>
      <c r="N157" s="319">
        <v>229.0</v>
      </c>
      <c r="O157" s="760"/>
      <c r="P157" s="491"/>
      <c r="Q157" s="491"/>
      <c r="R157" s="491"/>
      <c r="S157" s="491"/>
      <c r="T157" s="491"/>
      <c r="U157" s="491"/>
      <c r="V157" s="491"/>
      <c r="W157" s="491"/>
      <c r="X157" s="491"/>
      <c r="Y157" s="491"/>
      <c r="Z157" s="491"/>
      <c r="AA157" s="491"/>
      <c r="AB157" s="814"/>
      <c r="AC157" s="814"/>
    </row>
    <row r="158" ht="14.25" customHeight="1" outlineLevel="1">
      <c r="A158" s="817" t="s">
        <v>1414</v>
      </c>
      <c r="B158" s="416"/>
      <c r="C158" s="416"/>
      <c r="D158" s="416"/>
      <c r="E158" s="339">
        <v>50.0</v>
      </c>
      <c r="F158" s="311">
        <v>279.0</v>
      </c>
      <c r="G158" s="335">
        <v>46.31</v>
      </c>
      <c r="H158" s="477">
        <f t="shared" si="69"/>
        <v>0.1659856631</v>
      </c>
      <c r="I158" s="315">
        <f t="shared" si="70"/>
        <v>232.69</v>
      </c>
      <c r="J158" s="316">
        <f t="shared" si="71"/>
        <v>5.024616713</v>
      </c>
      <c r="K158" s="760"/>
      <c r="L158" s="491"/>
      <c r="M158" s="491"/>
      <c r="N158" s="577"/>
      <c r="O158" s="760"/>
      <c r="P158" s="491"/>
      <c r="Q158" s="491"/>
      <c r="R158" s="491"/>
      <c r="S158" s="491"/>
      <c r="T158" s="491"/>
      <c r="U158" s="491"/>
      <c r="V158" s="491"/>
      <c r="W158" s="491"/>
      <c r="X158" s="491"/>
      <c r="Y158" s="491"/>
      <c r="Z158" s="491"/>
      <c r="AA158" s="491"/>
      <c r="AB158" s="814"/>
      <c r="AC158" s="814"/>
    </row>
    <row r="159" ht="14.25" customHeight="1" outlineLevel="1">
      <c r="A159" s="817" t="s">
        <v>1415</v>
      </c>
      <c r="B159" s="416"/>
      <c r="C159" s="416"/>
      <c r="D159" s="416"/>
      <c r="E159" s="339">
        <v>50.0</v>
      </c>
      <c r="F159" s="311">
        <v>279.0</v>
      </c>
      <c r="G159" s="335">
        <v>46.31</v>
      </c>
      <c r="H159" s="477">
        <f t="shared" si="69"/>
        <v>0.1659856631</v>
      </c>
      <c r="I159" s="315">
        <f t="shared" si="70"/>
        <v>232.69</v>
      </c>
      <c r="J159" s="316">
        <f t="shared" si="71"/>
        <v>5.024616713</v>
      </c>
      <c r="K159" s="760"/>
      <c r="L159" s="491"/>
      <c r="M159" s="491"/>
      <c r="N159" s="577"/>
      <c r="O159" s="760"/>
      <c r="P159" s="491"/>
      <c r="Q159" s="491"/>
      <c r="R159" s="491"/>
      <c r="S159" s="491"/>
      <c r="T159" s="491"/>
      <c r="U159" s="491"/>
      <c r="V159" s="491"/>
      <c r="W159" s="491"/>
      <c r="X159" s="491"/>
      <c r="Y159" s="491"/>
      <c r="Z159" s="491"/>
      <c r="AA159" s="491"/>
      <c r="AB159" s="814"/>
      <c r="AC159" s="814"/>
    </row>
    <row r="160" ht="14.25" customHeight="1">
      <c r="A160" s="819" t="s">
        <v>1416</v>
      </c>
      <c r="B160" s="290"/>
      <c r="C160" s="290"/>
      <c r="D160" s="290"/>
      <c r="E160" s="293"/>
      <c r="F160" s="298"/>
      <c r="G160" s="296"/>
      <c r="H160" s="297"/>
      <c r="I160" s="298"/>
      <c r="J160" s="297"/>
      <c r="K160" s="298"/>
      <c r="L160" s="297"/>
      <c r="M160" s="297"/>
      <c r="N160" s="795"/>
      <c r="O160" s="760"/>
      <c r="P160" s="794"/>
      <c r="Q160" s="794"/>
      <c r="R160" s="794"/>
      <c r="S160" s="794"/>
      <c r="T160" s="794"/>
      <c r="U160" s="794"/>
      <c r="V160" s="794"/>
      <c r="W160" s="794"/>
      <c r="X160" s="794"/>
      <c r="Y160" s="794"/>
      <c r="Z160" s="794"/>
      <c r="AA160" s="794"/>
      <c r="AB160" s="794"/>
      <c r="AC160" s="794"/>
    </row>
    <row r="161" ht="14.25" customHeight="1" outlineLevel="1">
      <c r="A161" s="820" t="s">
        <v>1417</v>
      </c>
      <c r="B161" s="416"/>
      <c r="C161" s="416"/>
      <c r="D161" s="416"/>
      <c r="E161" s="339">
        <v>50.0</v>
      </c>
      <c r="F161" s="311">
        <v>599.0</v>
      </c>
      <c r="G161" s="335">
        <v>177.83</v>
      </c>
      <c r="H161" s="332">
        <f>G161/F161</f>
        <v>0.2968781302</v>
      </c>
      <c r="I161" s="315">
        <f>F161-G161</f>
        <v>421.17</v>
      </c>
      <c r="J161" s="316">
        <f>F161/G161-1</f>
        <v>2.368385537</v>
      </c>
      <c r="K161" s="760"/>
      <c r="L161" s="285" t="s">
        <v>112</v>
      </c>
      <c r="M161" s="285" t="s">
        <v>112</v>
      </c>
      <c r="N161" s="319">
        <v>549.0</v>
      </c>
      <c r="O161" s="760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B161" s="285"/>
      <c r="AC161" s="285"/>
    </row>
    <row r="162" ht="14.25" customHeight="1">
      <c r="A162" s="594" t="s">
        <v>1418</v>
      </c>
      <c r="B162" s="290" t="s">
        <v>1419</v>
      </c>
      <c r="C162" s="290"/>
      <c r="D162" s="290"/>
      <c r="E162" s="293"/>
      <c r="F162" s="298"/>
      <c r="G162" s="296"/>
      <c r="H162" s="297">
        <f>AVERAGE(H163:H165)</f>
        <v>0.2652718169</v>
      </c>
      <c r="I162" s="298"/>
      <c r="J162" s="297"/>
      <c r="K162" s="298"/>
      <c r="L162" s="290"/>
      <c r="M162" s="290"/>
      <c r="N162" s="795"/>
      <c r="O162" s="760"/>
      <c r="P162" s="794"/>
      <c r="Q162" s="794"/>
      <c r="R162" s="794"/>
      <c r="S162" s="794"/>
      <c r="T162" s="794"/>
      <c r="U162" s="794"/>
      <c r="V162" s="794"/>
      <c r="W162" s="794"/>
      <c r="X162" s="794"/>
      <c r="Y162" s="794"/>
      <c r="Z162" s="794"/>
      <c r="AA162" s="794"/>
      <c r="AB162" s="794"/>
      <c r="AC162" s="794"/>
    </row>
    <row r="163" ht="14.25" customHeight="1" outlineLevel="1">
      <c r="A163" s="595" t="s">
        <v>1420</v>
      </c>
      <c r="B163" s="416"/>
      <c r="C163" s="416"/>
      <c r="D163" s="416"/>
      <c r="E163" s="337">
        <v>50.0</v>
      </c>
      <c r="F163" s="301">
        <v>699.0</v>
      </c>
      <c r="G163" s="364">
        <v>182.85</v>
      </c>
      <c r="H163" s="332">
        <f t="shared" ref="H163:H164" si="72">G163/F163</f>
        <v>0.2615879828</v>
      </c>
      <c r="I163" s="315">
        <f t="shared" ref="I163:I164" si="73">F163-G163</f>
        <v>516.15</v>
      </c>
      <c r="J163" s="316">
        <f t="shared" ref="J163:J164" si="74">F163/G163-1</f>
        <v>2.822805578</v>
      </c>
      <c r="K163" s="760"/>
      <c r="L163" s="454"/>
      <c r="M163" s="454"/>
      <c r="N163" s="577"/>
      <c r="O163" s="760"/>
      <c r="P163" s="457"/>
      <c r="Q163" s="457"/>
      <c r="R163" s="457"/>
      <c r="S163" s="457"/>
      <c r="T163" s="457"/>
      <c r="U163" s="457"/>
      <c r="V163" s="457"/>
      <c r="W163" s="457"/>
      <c r="X163" s="457"/>
      <c r="Y163" s="457"/>
      <c r="Z163" s="457"/>
      <c r="AA163" s="457"/>
      <c r="AB163" s="794"/>
      <c r="AC163" s="794"/>
    </row>
    <row r="164" ht="14.25" customHeight="1" outlineLevel="1">
      <c r="A164" s="595" t="s">
        <v>851</v>
      </c>
      <c r="B164" s="416"/>
      <c r="C164" s="416"/>
      <c r="D164" s="416"/>
      <c r="E164" s="337">
        <v>50.0</v>
      </c>
      <c r="F164" s="301">
        <v>699.0</v>
      </c>
      <c r="G164" s="364">
        <v>188.0</v>
      </c>
      <c r="H164" s="332">
        <f t="shared" si="72"/>
        <v>0.2689556509</v>
      </c>
      <c r="I164" s="315">
        <f t="shared" si="73"/>
        <v>511</v>
      </c>
      <c r="J164" s="316">
        <f t="shared" si="74"/>
        <v>2.718085106</v>
      </c>
      <c r="K164" s="760"/>
      <c r="L164" s="318" t="s">
        <v>112</v>
      </c>
      <c r="M164" s="318" t="s">
        <v>112</v>
      </c>
      <c r="N164" s="300">
        <v>519.0</v>
      </c>
      <c r="O164" s="760"/>
      <c r="P164" s="457"/>
      <c r="Q164" s="457"/>
      <c r="R164" s="457"/>
      <c r="S164" s="457"/>
      <c r="T164" s="457"/>
      <c r="U164" s="457"/>
      <c r="V164" s="457"/>
      <c r="W164" s="457"/>
      <c r="X164" s="457"/>
      <c r="Y164" s="457"/>
      <c r="Z164" s="457"/>
      <c r="AA164" s="457"/>
      <c r="AB164" s="794"/>
      <c r="AC164" s="794"/>
    </row>
    <row r="165" ht="14.25" customHeight="1">
      <c r="A165" s="594" t="s">
        <v>1421</v>
      </c>
      <c r="B165" s="290" t="s">
        <v>1422</v>
      </c>
      <c r="C165" s="290"/>
      <c r="D165" s="290"/>
      <c r="E165" s="293"/>
      <c r="F165" s="298"/>
      <c r="G165" s="296"/>
      <c r="H165" s="297"/>
      <c r="I165" s="298"/>
      <c r="J165" s="297"/>
      <c r="K165" s="298"/>
      <c r="L165" s="290"/>
      <c r="M165" s="290"/>
      <c r="N165" s="795"/>
      <c r="O165" s="760"/>
      <c r="P165" s="794"/>
      <c r="Q165" s="794"/>
      <c r="R165" s="794"/>
      <c r="S165" s="794"/>
      <c r="T165" s="794"/>
      <c r="U165" s="794"/>
      <c r="V165" s="794"/>
      <c r="W165" s="794"/>
      <c r="X165" s="794"/>
      <c r="Y165" s="794"/>
      <c r="Z165" s="794"/>
      <c r="AA165" s="794"/>
      <c r="AB165" s="794"/>
      <c r="AC165" s="794"/>
    </row>
    <row r="166" ht="14.25" customHeight="1" outlineLevel="1">
      <c r="A166" s="595" t="s">
        <v>855</v>
      </c>
      <c r="B166" s="416"/>
      <c r="C166" s="416"/>
      <c r="D166" s="416"/>
      <c r="E166" s="339">
        <v>50.0</v>
      </c>
      <c r="F166" s="576">
        <v>429.0</v>
      </c>
      <c r="G166" s="335">
        <v>90.0</v>
      </c>
      <c r="H166" s="332">
        <f t="shared" ref="H166:H169" si="75">G166/F166</f>
        <v>0.2097902098</v>
      </c>
      <c r="I166" s="315">
        <f t="shared" ref="I166:I169" si="76">F166-G166</f>
        <v>339</v>
      </c>
      <c r="J166" s="316">
        <f t="shared" ref="J166:J169" si="77">F166/G166-1</f>
        <v>3.766666667</v>
      </c>
      <c r="K166" s="760"/>
      <c r="L166" s="318" t="s">
        <v>112</v>
      </c>
      <c r="M166" s="318" t="s">
        <v>112</v>
      </c>
      <c r="N166" s="319">
        <v>329.0</v>
      </c>
      <c r="O166" s="760"/>
      <c r="P166" s="491"/>
      <c r="Q166" s="491"/>
      <c r="R166" s="491"/>
      <c r="S166" s="491"/>
      <c r="T166" s="491"/>
      <c r="U166" s="491"/>
      <c r="V166" s="491"/>
      <c r="W166" s="491"/>
      <c r="X166" s="491"/>
      <c r="Y166" s="491"/>
      <c r="Z166" s="491"/>
      <c r="AA166" s="491"/>
      <c r="AB166" s="814"/>
      <c r="AC166" s="814"/>
    </row>
    <row r="167" ht="14.25" customHeight="1" outlineLevel="1">
      <c r="A167" s="595" t="s">
        <v>856</v>
      </c>
      <c r="B167" s="416"/>
      <c r="C167" s="416"/>
      <c r="D167" s="416"/>
      <c r="E167" s="339">
        <v>50.0</v>
      </c>
      <c r="F167" s="311">
        <v>479.0</v>
      </c>
      <c r="G167" s="335">
        <v>121.0</v>
      </c>
      <c r="H167" s="332">
        <f t="shared" si="75"/>
        <v>0.2526096033</v>
      </c>
      <c r="I167" s="315">
        <f t="shared" si="76"/>
        <v>358</v>
      </c>
      <c r="J167" s="316">
        <f t="shared" si="77"/>
        <v>2.958677686</v>
      </c>
      <c r="K167" s="760"/>
      <c r="L167" s="318" t="s">
        <v>112</v>
      </c>
      <c r="M167" s="318" t="s">
        <v>112</v>
      </c>
      <c r="N167" s="319">
        <v>429.0</v>
      </c>
      <c r="O167" s="760"/>
      <c r="P167" s="491"/>
      <c r="Q167" s="491"/>
      <c r="R167" s="491"/>
      <c r="S167" s="491"/>
      <c r="T167" s="491"/>
      <c r="U167" s="491"/>
      <c r="V167" s="491"/>
      <c r="W167" s="491"/>
      <c r="X167" s="491"/>
      <c r="Y167" s="491"/>
      <c r="Z167" s="491"/>
      <c r="AA167" s="491"/>
      <c r="AB167" s="814"/>
      <c r="AC167" s="814"/>
    </row>
    <row r="168" ht="14.25" customHeight="1" outlineLevel="1">
      <c r="A168" s="595" t="s">
        <v>857</v>
      </c>
      <c r="B168" s="416"/>
      <c r="C168" s="416"/>
      <c r="D168" s="416"/>
      <c r="E168" s="339">
        <v>50.0</v>
      </c>
      <c r="F168" s="311">
        <v>589.0</v>
      </c>
      <c r="G168" s="335">
        <v>148.0</v>
      </c>
      <c r="H168" s="332">
        <f t="shared" si="75"/>
        <v>0.2512733447</v>
      </c>
      <c r="I168" s="315">
        <f t="shared" si="76"/>
        <v>441</v>
      </c>
      <c r="J168" s="316">
        <f t="shared" si="77"/>
        <v>2.97972973</v>
      </c>
      <c r="K168" s="760"/>
      <c r="L168" s="373" t="s">
        <v>112</v>
      </c>
      <c r="M168" s="373" t="s">
        <v>112</v>
      </c>
      <c r="N168" s="319">
        <v>449.0</v>
      </c>
      <c r="O168" s="760"/>
      <c r="P168" s="491"/>
      <c r="Q168" s="491"/>
      <c r="R168" s="491"/>
      <c r="S168" s="491"/>
      <c r="T168" s="491"/>
      <c r="U168" s="491"/>
      <c r="V168" s="491"/>
      <c r="W168" s="491"/>
      <c r="X168" s="491"/>
      <c r="Y168" s="491"/>
      <c r="Z168" s="491"/>
      <c r="AA168" s="491"/>
      <c r="AB168" s="814"/>
      <c r="AC168" s="814"/>
    </row>
    <row r="169" ht="14.25" customHeight="1" outlineLevel="1">
      <c r="A169" s="595" t="s">
        <v>858</v>
      </c>
      <c r="B169" s="416"/>
      <c r="C169" s="416"/>
      <c r="D169" s="416"/>
      <c r="E169" s="339">
        <v>50.0</v>
      </c>
      <c r="F169" s="301">
        <v>499.0</v>
      </c>
      <c r="G169" s="335">
        <v>139.0</v>
      </c>
      <c r="H169" s="332">
        <f t="shared" si="75"/>
        <v>0.2785571142</v>
      </c>
      <c r="I169" s="315">
        <f t="shared" si="76"/>
        <v>360</v>
      </c>
      <c r="J169" s="316">
        <f t="shared" si="77"/>
        <v>2.589928058</v>
      </c>
      <c r="K169" s="760"/>
      <c r="L169" s="373"/>
      <c r="M169" s="373"/>
      <c r="N169" s="300"/>
      <c r="O169" s="760"/>
      <c r="P169" s="457"/>
      <c r="Q169" s="457"/>
      <c r="R169" s="457"/>
      <c r="S169" s="457"/>
      <c r="T169" s="457"/>
      <c r="U169" s="457"/>
      <c r="V169" s="457"/>
      <c r="W169" s="457"/>
      <c r="X169" s="457"/>
      <c r="Y169" s="457"/>
      <c r="Z169" s="457"/>
      <c r="AA169" s="457"/>
      <c r="AB169" s="814"/>
      <c r="AC169" s="814"/>
    </row>
    <row r="170" ht="14.25" customHeight="1">
      <c r="A170" s="594" t="s">
        <v>1423</v>
      </c>
      <c r="B170" s="290" t="s">
        <v>1424</v>
      </c>
      <c r="C170" s="290"/>
      <c r="D170" s="290"/>
      <c r="E170" s="293"/>
      <c r="F170" s="301"/>
      <c r="G170" s="296"/>
      <c r="H170" s="297"/>
      <c r="I170" s="298"/>
      <c r="J170" s="297"/>
      <c r="K170" s="298"/>
      <c r="L170" s="297"/>
      <c r="M170" s="297"/>
      <c r="N170" s="298"/>
      <c r="O170" s="760"/>
      <c r="P170" s="794"/>
      <c r="Q170" s="794"/>
      <c r="R170" s="794"/>
      <c r="S170" s="794"/>
      <c r="T170" s="794"/>
      <c r="U170" s="794"/>
      <c r="V170" s="794"/>
      <c r="W170" s="794"/>
      <c r="X170" s="794"/>
      <c r="Y170" s="794"/>
      <c r="Z170" s="794"/>
      <c r="AA170" s="794"/>
      <c r="AB170" s="814"/>
      <c r="AC170" s="814"/>
    </row>
    <row r="171" ht="14.25" customHeight="1" outlineLevel="1">
      <c r="A171" s="595" t="s">
        <v>1425</v>
      </c>
      <c r="B171" s="416"/>
      <c r="C171" s="416"/>
      <c r="D171" s="416"/>
      <c r="E171" s="337">
        <v>50.0</v>
      </c>
      <c r="F171" s="301">
        <v>1299.0</v>
      </c>
      <c r="G171" s="364">
        <v>301.85</v>
      </c>
      <c r="H171" s="332">
        <f t="shared" ref="H171:H172" si="78">G171/F171</f>
        <v>0.2323710547</v>
      </c>
      <c r="I171" s="315">
        <f t="shared" ref="I171:I172" si="79">F171-G171</f>
        <v>997.15</v>
      </c>
      <c r="J171" s="316">
        <f t="shared" ref="J171:J172" si="80">F171/G171-1</f>
        <v>3.303461984</v>
      </c>
      <c r="K171" s="760"/>
      <c r="L171" s="373"/>
      <c r="M171" s="373"/>
      <c r="N171" s="821"/>
      <c r="O171" s="760"/>
      <c r="P171" s="794"/>
      <c r="Q171" s="794"/>
      <c r="R171" s="794"/>
      <c r="S171" s="794"/>
      <c r="T171" s="794"/>
      <c r="U171" s="794"/>
      <c r="V171" s="794"/>
      <c r="W171" s="794"/>
      <c r="X171" s="794"/>
      <c r="Y171" s="794"/>
      <c r="Z171" s="794"/>
      <c r="AA171" s="794"/>
      <c r="AB171" s="814"/>
      <c r="AC171" s="814"/>
    </row>
    <row r="172" ht="14.25" customHeight="1" outlineLevel="1">
      <c r="A172" s="595" t="s">
        <v>1426</v>
      </c>
      <c r="B172" s="416"/>
      <c r="C172" s="416"/>
      <c r="D172" s="416"/>
      <c r="E172" s="337">
        <v>50.0</v>
      </c>
      <c r="F172" s="301">
        <v>999.0</v>
      </c>
      <c r="G172" s="364">
        <v>187.71</v>
      </c>
      <c r="H172" s="477">
        <f t="shared" si="78"/>
        <v>0.1878978979</v>
      </c>
      <c r="I172" s="315">
        <f t="shared" si="79"/>
        <v>811.29</v>
      </c>
      <c r="J172" s="316">
        <f t="shared" si="80"/>
        <v>4.322039316</v>
      </c>
      <c r="K172" s="760"/>
      <c r="L172" s="373"/>
      <c r="M172" s="373"/>
      <c r="N172" s="821"/>
      <c r="O172" s="760"/>
      <c r="P172" s="794"/>
      <c r="Q172" s="794"/>
      <c r="R172" s="794"/>
      <c r="S172" s="794"/>
      <c r="T172" s="794"/>
      <c r="U172" s="794"/>
      <c r="V172" s="794"/>
      <c r="W172" s="794"/>
      <c r="X172" s="794"/>
      <c r="Y172" s="794"/>
      <c r="Z172" s="794"/>
      <c r="AA172" s="794"/>
      <c r="AB172" s="814"/>
      <c r="AC172" s="814"/>
    </row>
    <row r="173" ht="14.25" customHeight="1">
      <c r="A173" s="418" t="s">
        <v>1427</v>
      </c>
      <c r="B173" s="290" t="s">
        <v>1428</v>
      </c>
      <c r="C173" s="290"/>
      <c r="D173" s="290"/>
      <c r="E173" s="293"/>
      <c r="F173" s="298"/>
      <c r="G173" s="296"/>
      <c r="H173" s="297"/>
      <c r="I173" s="298"/>
      <c r="J173" s="297"/>
      <c r="K173" s="298"/>
      <c r="L173" s="377"/>
      <c r="M173" s="377"/>
      <c r="N173" s="795"/>
      <c r="O173" s="760"/>
      <c r="P173" s="794"/>
      <c r="Q173" s="794"/>
      <c r="R173" s="794"/>
      <c r="S173" s="794"/>
      <c r="T173" s="794"/>
      <c r="U173" s="794"/>
      <c r="V173" s="794"/>
      <c r="W173" s="794"/>
      <c r="X173" s="794"/>
      <c r="Y173" s="794"/>
      <c r="Z173" s="794"/>
      <c r="AA173" s="794"/>
      <c r="AB173" s="794"/>
      <c r="AC173" s="794"/>
    </row>
    <row r="174" ht="14.25" customHeight="1" outlineLevel="1">
      <c r="A174" s="595" t="s">
        <v>1429</v>
      </c>
      <c r="B174" s="416"/>
      <c r="C174" s="416"/>
      <c r="D174" s="416"/>
      <c r="E174" s="339">
        <v>50.0</v>
      </c>
      <c r="F174" s="311">
        <v>399.0</v>
      </c>
      <c r="G174" s="335">
        <v>92.75</v>
      </c>
      <c r="H174" s="332">
        <f t="shared" ref="H174:H175" si="81">G174/F174</f>
        <v>0.2324561404</v>
      </c>
      <c r="I174" s="315">
        <f t="shared" ref="I174:I175" si="82">F174-G174</f>
        <v>306.25</v>
      </c>
      <c r="J174" s="316">
        <f t="shared" ref="J174:J175" si="83">F174/G174-1</f>
        <v>3.301886792</v>
      </c>
      <c r="K174" s="760"/>
      <c r="L174" s="332" t="s">
        <v>112</v>
      </c>
      <c r="M174" s="332" t="s">
        <v>112</v>
      </c>
      <c r="N174" s="319">
        <v>379.0</v>
      </c>
      <c r="O174" s="760"/>
      <c r="P174" s="814"/>
      <c r="Q174" s="814"/>
      <c r="R174" s="814"/>
      <c r="S174" s="814"/>
      <c r="T174" s="814"/>
      <c r="U174" s="814"/>
      <c r="V174" s="814"/>
      <c r="W174" s="814"/>
      <c r="X174" s="814"/>
      <c r="Y174" s="814"/>
      <c r="Z174" s="814"/>
      <c r="AA174" s="814"/>
      <c r="AB174" s="814"/>
      <c r="AC174" s="814"/>
    </row>
    <row r="175" ht="14.25" customHeight="1" outlineLevel="1">
      <c r="A175" s="595" t="s">
        <v>1430</v>
      </c>
      <c r="B175" s="416"/>
      <c r="C175" s="416"/>
      <c r="D175" s="416"/>
      <c r="E175" s="339">
        <v>50.0</v>
      </c>
      <c r="F175" s="311">
        <v>459.0</v>
      </c>
      <c r="G175" s="335">
        <v>106.89</v>
      </c>
      <c r="H175" s="332">
        <f t="shared" si="81"/>
        <v>0.232875817</v>
      </c>
      <c r="I175" s="315">
        <f t="shared" si="82"/>
        <v>352.11</v>
      </c>
      <c r="J175" s="316">
        <f t="shared" si="83"/>
        <v>3.294134157</v>
      </c>
      <c r="K175" s="760"/>
      <c r="L175" s="332" t="s">
        <v>112</v>
      </c>
      <c r="M175" s="332" t="s">
        <v>112</v>
      </c>
      <c r="N175" s="319">
        <v>399.0</v>
      </c>
      <c r="O175" s="760"/>
      <c r="P175" s="814"/>
      <c r="Q175" s="814"/>
      <c r="R175" s="814"/>
      <c r="S175" s="814"/>
      <c r="T175" s="814"/>
      <c r="U175" s="814"/>
      <c r="V175" s="814"/>
      <c r="W175" s="814"/>
      <c r="X175" s="814"/>
      <c r="Y175" s="814"/>
      <c r="Z175" s="814"/>
      <c r="AA175" s="814"/>
      <c r="AB175" s="814"/>
      <c r="AC175" s="814"/>
    </row>
    <row r="176" ht="14.25" customHeight="1">
      <c r="A176" s="594" t="s">
        <v>1431</v>
      </c>
      <c r="B176" s="290"/>
      <c r="C176" s="290"/>
      <c r="D176" s="290"/>
      <c r="E176" s="293"/>
      <c r="F176" s="298"/>
      <c r="G176" s="296"/>
      <c r="H176" s="297"/>
      <c r="I176" s="298"/>
      <c r="J176" s="297"/>
      <c r="K176" s="298"/>
      <c r="L176" s="377"/>
      <c r="M176" s="377"/>
      <c r="N176" s="795"/>
      <c r="O176" s="760"/>
      <c r="P176" s="794"/>
      <c r="Q176" s="794"/>
      <c r="R176" s="794"/>
      <c r="S176" s="794"/>
      <c r="T176" s="794"/>
      <c r="U176" s="794"/>
      <c r="V176" s="794"/>
      <c r="W176" s="794"/>
      <c r="X176" s="794"/>
      <c r="Y176" s="794"/>
      <c r="Z176" s="794"/>
      <c r="AA176" s="794"/>
      <c r="AB176" s="794"/>
      <c r="AC176" s="794"/>
    </row>
    <row r="177" ht="14.25" customHeight="1" outlineLevel="1">
      <c r="A177" s="595" t="s">
        <v>878</v>
      </c>
      <c r="B177" s="416"/>
      <c r="C177" s="416"/>
      <c r="D177" s="416"/>
      <c r="E177" s="339">
        <v>50.0</v>
      </c>
      <c r="F177" s="311">
        <v>469.0</v>
      </c>
      <c r="G177" s="335">
        <v>113.19</v>
      </c>
      <c r="H177" s="332">
        <f t="shared" ref="H177:H179" si="84">G177/F177</f>
        <v>0.2413432836</v>
      </c>
      <c r="I177" s="315">
        <f t="shared" ref="I177:I179" si="85">F177-G177</f>
        <v>355.81</v>
      </c>
      <c r="J177" s="316">
        <f t="shared" ref="J177:J179" si="86">F177/G177-1</f>
        <v>3.143475572</v>
      </c>
      <c r="K177" s="760"/>
      <c r="L177" s="332" t="s">
        <v>112</v>
      </c>
      <c r="M177" s="332" t="s">
        <v>112</v>
      </c>
      <c r="N177" s="319">
        <v>379.0</v>
      </c>
      <c r="O177" s="760"/>
      <c r="P177" s="814"/>
      <c r="Q177" s="814"/>
      <c r="R177" s="814"/>
      <c r="S177" s="814"/>
      <c r="T177" s="814"/>
      <c r="U177" s="814"/>
      <c r="V177" s="814"/>
      <c r="W177" s="814"/>
      <c r="X177" s="814"/>
      <c r="Y177" s="814"/>
      <c r="Z177" s="814"/>
      <c r="AA177" s="814"/>
      <c r="AB177" s="814"/>
      <c r="AC177" s="814"/>
    </row>
    <row r="178" ht="14.25" customHeight="1" outlineLevel="1">
      <c r="A178" s="595" t="s">
        <v>1432</v>
      </c>
      <c r="B178" s="416"/>
      <c r="C178" s="416"/>
      <c r="D178" s="416"/>
      <c r="E178" s="339">
        <v>50.0</v>
      </c>
      <c r="F178" s="311">
        <v>469.0</v>
      </c>
      <c r="G178" s="335">
        <v>92.0</v>
      </c>
      <c r="H178" s="332">
        <f t="shared" si="84"/>
        <v>0.1961620469</v>
      </c>
      <c r="I178" s="315">
        <f t="shared" si="85"/>
        <v>377</v>
      </c>
      <c r="J178" s="316">
        <f t="shared" si="86"/>
        <v>4.097826087</v>
      </c>
      <c r="K178" s="760"/>
      <c r="L178" s="332"/>
      <c r="M178" s="332"/>
      <c r="N178" s="580">
        <v>379.0</v>
      </c>
      <c r="O178" s="760"/>
      <c r="P178" s="814"/>
      <c r="Q178" s="814"/>
      <c r="R178" s="814"/>
      <c r="S178" s="814"/>
      <c r="T178" s="814"/>
      <c r="U178" s="814"/>
      <c r="V178" s="814"/>
      <c r="W178" s="814"/>
      <c r="X178" s="814"/>
      <c r="Y178" s="814"/>
      <c r="Z178" s="814"/>
      <c r="AA178" s="814"/>
      <c r="AB178" s="814"/>
      <c r="AC178" s="814"/>
    </row>
    <row r="179" ht="14.25" customHeight="1" outlineLevel="1">
      <c r="A179" s="595" t="s">
        <v>879</v>
      </c>
      <c r="B179" s="416"/>
      <c r="C179" s="416"/>
      <c r="D179" s="416"/>
      <c r="E179" s="339">
        <v>50.0</v>
      </c>
      <c r="F179" s="311">
        <v>449.0</v>
      </c>
      <c r="G179" s="335">
        <v>86.6</v>
      </c>
      <c r="H179" s="477">
        <f t="shared" si="84"/>
        <v>0.1928730512</v>
      </c>
      <c r="I179" s="315">
        <f t="shared" si="85"/>
        <v>362.4</v>
      </c>
      <c r="J179" s="316">
        <f t="shared" si="86"/>
        <v>4.184757506</v>
      </c>
      <c r="K179" s="760"/>
      <c r="L179" s="332" t="s">
        <v>112</v>
      </c>
      <c r="M179" s="332" t="s">
        <v>112</v>
      </c>
      <c r="N179" s="319">
        <v>379.0</v>
      </c>
      <c r="O179" s="760"/>
      <c r="P179" s="814"/>
      <c r="Q179" s="814"/>
      <c r="R179" s="814"/>
      <c r="S179" s="814"/>
      <c r="T179" s="814"/>
      <c r="U179" s="814"/>
      <c r="V179" s="814"/>
      <c r="W179" s="814"/>
      <c r="X179" s="814"/>
      <c r="Y179" s="814"/>
      <c r="Z179" s="814"/>
      <c r="AA179" s="814"/>
      <c r="AB179" s="794"/>
      <c r="AC179" s="794"/>
    </row>
    <row r="180" ht="14.25" customHeight="1">
      <c r="A180" s="594" t="s">
        <v>964</v>
      </c>
      <c r="B180" s="822" t="s">
        <v>1433</v>
      </c>
      <c r="C180" s="290"/>
      <c r="D180" s="290"/>
      <c r="E180" s="293"/>
      <c r="F180" s="301"/>
      <c r="G180" s="296"/>
      <c r="H180" s="297"/>
      <c r="I180" s="298"/>
      <c r="J180" s="297"/>
      <c r="K180" s="298"/>
      <c r="L180" s="377"/>
      <c r="M180" s="377"/>
      <c r="N180" s="298"/>
      <c r="O180" s="760"/>
      <c r="P180" s="794"/>
      <c r="Q180" s="794"/>
      <c r="R180" s="794"/>
      <c r="S180" s="794"/>
      <c r="T180" s="794"/>
      <c r="U180" s="794"/>
      <c r="V180" s="794"/>
      <c r="W180" s="794"/>
      <c r="X180" s="794"/>
      <c r="Y180" s="794"/>
      <c r="Z180" s="794"/>
      <c r="AA180" s="794"/>
      <c r="AB180" s="794"/>
      <c r="AC180" s="794"/>
    </row>
    <row r="181" ht="14.25" customHeight="1" outlineLevel="1">
      <c r="A181" s="595" t="s">
        <v>1434</v>
      </c>
      <c r="B181" s="595" t="s">
        <v>1435</v>
      </c>
      <c r="C181" s="416"/>
      <c r="D181" s="416"/>
      <c r="E181" s="337">
        <v>50.0</v>
      </c>
      <c r="F181" s="301">
        <v>569.0</v>
      </c>
      <c r="G181" s="364">
        <v>128.02</v>
      </c>
      <c r="H181" s="332">
        <f t="shared" ref="H181:H182" si="87">G181/F181</f>
        <v>0.2249912127</v>
      </c>
      <c r="I181" s="315">
        <f t="shared" ref="I181:I182" si="88">F181-G181</f>
        <v>440.98</v>
      </c>
      <c r="J181" s="316">
        <f t="shared" ref="J181:J182" si="89">F181/G181-1</f>
        <v>3.444618028</v>
      </c>
      <c r="K181" s="760"/>
      <c r="L181" s="373"/>
      <c r="M181" s="373"/>
      <c r="N181" s="821">
        <v>569.0</v>
      </c>
      <c r="O181" s="760"/>
      <c r="P181" s="794"/>
      <c r="Q181" s="794"/>
      <c r="R181" s="794"/>
      <c r="S181" s="794"/>
      <c r="T181" s="794"/>
      <c r="U181" s="794"/>
      <c r="V181" s="794"/>
      <c r="W181" s="794"/>
      <c r="X181" s="794"/>
      <c r="Y181" s="794"/>
      <c r="Z181" s="794"/>
      <c r="AA181" s="794"/>
      <c r="AB181" s="794"/>
      <c r="AC181" s="794"/>
    </row>
    <row r="182" ht="14.25" customHeight="1" outlineLevel="1">
      <c r="A182" s="823" t="s">
        <v>887</v>
      </c>
      <c r="B182" s="416"/>
      <c r="C182" s="416"/>
      <c r="D182" s="416"/>
      <c r="E182" s="337">
        <v>50.0</v>
      </c>
      <c r="F182" s="301">
        <v>599.0</v>
      </c>
      <c r="G182" s="364">
        <v>132.92</v>
      </c>
      <c r="H182" s="332">
        <f t="shared" si="87"/>
        <v>0.221903172</v>
      </c>
      <c r="I182" s="315">
        <f t="shared" si="88"/>
        <v>466.08</v>
      </c>
      <c r="J182" s="316">
        <f t="shared" si="89"/>
        <v>3.506470057</v>
      </c>
      <c r="K182" s="760"/>
      <c r="L182" s="373"/>
      <c r="M182" s="373"/>
      <c r="N182" s="821">
        <v>599.0</v>
      </c>
      <c r="O182" s="760"/>
      <c r="P182" s="794"/>
      <c r="Q182" s="794"/>
      <c r="R182" s="794"/>
      <c r="S182" s="794"/>
      <c r="T182" s="794"/>
      <c r="U182" s="794"/>
      <c r="V182" s="794"/>
      <c r="W182" s="794"/>
      <c r="X182" s="794"/>
      <c r="Y182" s="794"/>
      <c r="Z182" s="794"/>
      <c r="AA182" s="794"/>
      <c r="AB182" s="794"/>
      <c r="AC182" s="794"/>
    </row>
    <row r="183" ht="15.75" customHeight="1">
      <c r="A183" s="760"/>
      <c r="B183" s="760"/>
      <c r="C183" s="760"/>
      <c r="D183" s="760"/>
      <c r="E183" s="760"/>
      <c r="F183" s="759"/>
      <c r="G183" s="759"/>
      <c r="H183" s="759"/>
      <c r="I183" s="759"/>
      <c r="J183" s="759"/>
      <c r="K183" s="759"/>
      <c r="L183" s="760"/>
      <c r="M183" s="760"/>
      <c r="N183" s="760"/>
      <c r="O183" s="760"/>
      <c r="P183" s="760"/>
      <c r="Q183" s="760"/>
      <c r="R183" s="760"/>
      <c r="S183" s="760"/>
      <c r="T183" s="760"/>
      <c r="U183" s="760"/>
      <c r="V183" s="760"/>
      <c r="W183" s="760"/>
      <c r="X183" s="760"/>
      <c r="Y183" s="760"/>
      <c r="Z183" s="760"/>
      <c r="AA183" s="760"/>
      <c r="AB183" s="760"/>
      <c r="AC183" s="760"/>
    </row>
    <row r="184" ht="15.75" customHeight="1">
      <c r="A184" s="760"/>
      <c r="B184" s="760"/>
      <c r="C184" s="760"/>
      <c r="D184" s="760"/>
      <c r="E184" s="760"/>
      <c r="F184" s="759"/>
      <c r="G184" s="759"/>
      <c r="H184" s="759"/>
      <c r="I184" s="759"/>
      <c r="J184" s="759"/>
      <c r="K184" s="759"/>
      <c r="L184" s="760"/>
      <c r="M184" s="760"/>
      <c r="N184" s="760"/>
      <c r="O184" s="760"/>
      <c r="P184" s="760"/>
      <c r="Q184" s="760"/>
      <c r="R184" s="760"/>
      <c r="S184" s="760"/>
      <c r="T184" s="760"/>
      <c r="U184" s="760"/>
      <c r="V184" s="760"/>
      <c r="W184" s="760"/>
      <c r="X184" s="760"/>
      <c r="Y184" s="760"/>
      <c r="Z184" s="760"/>
      <c r="AA184" s="760"/>
      <c r="AB184" s="760"/>
      <c r="AC184" s="760"/>
    </row>
    <row r="185" ht="15.75" customHeight="1">
      <c r="A185" s="760"/>
      <c r="B185" s="760"/>
      <c r="C185" s="760"/>
      <c r="D185" s="760"/>
      <c r="E185" s="760"/>
      <c r="F185" s="759"/>
      <c r="G185" s="759"/>
      <c r="H185" s="759"/>
      <c r="I185" s="759"/>
      <c r="J185" s="759"/>
      <c r="K185" s="759"/>
      <c r="L185" s="760"/>
      <c r="M185" s="760"/>
      <c r="N185" s="760"/>
      <c r="O185" s="760"/>
      <c r="P185" s="760"/>
      <c r="Q185" s="760"/>
      <c r="R185" s="760"/>
      <c r="S185" s="760"/>
      <c r="T185" s="760"/>
      <c r="U185" s="760"/>
      <c r="V185" s="760"/>
      <c r="W185" s="760"/>
      <c r="X185" s="760"/>
      <c r="Y185" s="760"/>
      <c r="Z185" s="760"/>
      <c r="AA185" s="760"/>
      <c r="AB185" s="760"/>
      <c r="AC185" s="760"/>
    </row>
    <row r="186" ht="15.75" customHeight="1">
      <c r="A186" s="760"/>
      <c r="B186" s="760"/>
      <c r="C186" s="760"/>
      <c r="D186" s="760"/>
      <c r="E186" s="760"/>
      <c r="F186" s="759"/>
      <c r="G186" s="759"/>
      <c r="H186" s="759"/>
      <c r="I186" s="759"/>
      <c r="J186" s="759"/>
      <c r="K186" s="759"/>
      <c r="L186" s="760"/>
      <c r="M186" s="760"/>
      <c r="N186" s="760"/>
      <c r="O186" s="760"/>
      <c r="P186" s="760"/>
      <c r="Q186" s="760"/>
      <c r="R186" s="760"/>
      <c r="S186" s="760"/>
      <c r="T186" s="760"/>
      <c r="U186" s="760"/>
      <c r="V186" s="760"/>
      <c r="W186" s="760"/>
      <c r="X186" s="760"/>
      <c r="Y186" s="760"/>
      <c r="Z186" s="760"/>
      <c r="AA186" s="760"/>
      <c r="AB186" s="760"/>
      <c r="AC186" s="760"/>
    </row>
    <row r="187" ht="15.75" customHeight="1">
      <c r="A187" s="760"/>
      <c r="B187" s="760"/>
      <c r="C187" s="760"/>
      <c r="D187" s="760"/>
      <c r="E187" s="760"/>
      <c r="F187" s="759"/>
      <c r="G187" s="759"/>
      <c r="H187" s="759"/>
      <c r="I187" s="759"/>
      <c r="J187" s="759"/>
      <c r="K187" s="759"/>
      <c r="L187" s="760"/>
      <c r="M187" s="760"/>
      <c r="N187" s="760"/>
      <c r="O187" s="760"/>
      <c r="P187" s="760"/>
      <c r="Q187" s="760"/>
      <c r="R187" s="760"/>
      <c r="S187" s="760"/>
      <c r="T187" s="760"/>
      <c r="U187" s="760"/>
      <c r="V187" s="760"/>
      <c r="W187" s="760"/>
      <c r="X187" s="760"/>
      <c r="Y187" s="760"/>
      <c r="Z187" s="760"/>
      <c r="AA187" s="760"/>
      <c r="AB187" s="760"/>
      <c r="AC187" s="760"/>
    </row>
    <row r="188" ht="15.75" customHeight="1">
      <c r="A188" s="760"/>
      <c r="B188" s="760"/>
      <c r="C188" s="760"/>
      <c r="D188" s="760"/>
      <c r="E188" s="760"/>
      <c r="F188" s="759"/>
      <c r="G188" s="759"/>
      <c r="H188" s="759"/>
      <c r="I188" s="759"/>
      <c r="J188" s="759"/>
      <c r="K188" s="759"/>
      <c r="L188" s="760"/>
      <c r="M188" s="760"/>
      <c r="N188" s="760"/>
      <c r="O188" s="760"/>
      <c r="P188" s="760"/>
      <c r="Q188" s="760"/>
      <c r="R188" s="760"/>
      <c r="S188" s="760"/>
      <c r="T188" s="760"/>
      <c r="U188" s="760"/>
      <c r="V188" s="760"/>
      <c r="W188" s="760"/>
      <c r="X188" s="760"/>
      <c r="Y188" s="760"/>
      <c r="Z188" s="760"/>
      <c r="AA188" s="760"/>
      <c r="AB188" s="760"/>
      <c r="AC188" s="760"/>
    </row>
    <row r="189" ht="15.75" customHeight="1">
      <c r="A189" s="760"/>
      <c r="B189" s="760"/>
      <c r="C189" s="760"/>
      <c r="D189" s="760"/>
      <c r="E189" s="760"/>
      <c r="F189" s="759"/>
      <c r="G189" s="759"/>
      <c r="H189" s="759"/>
      <c r="I189" s="759"/>
      <c r="J189" s="759"/>
      <c r="K189" s="759"/>
      <c r="L189" s="760"/>
      <c r="M189" s="760"/>
      <c r="N189" s="760"/>
      <c r="O189" s="760"/>
      <c r="P189" s="760"/>
      <c r="Q189" s="760"/>
      <c r="R189" s="760"/>
      <c r="S189" s="760"/>
      <c r="T189" s="760"/>
      <c r="U189" s="760"/>
      <c r="V189" s="760"/>
      <c r="W189" s="760"/>
      <c r="X189" s="760"/>
      <c r="Y189" s="760"/>
      <c r="Z189" s="760"/>
      <c r="AA189" s="760"/>
      <c r="AB189" s="760"/>
      <c r="AC189" s="760"/>
    </row>
    <row r="190" ht="15.75" customHeight="1">
      <c r="A190" s="760"/>
      <c r="B190" s="760"/>
      <c r="C190" s="760"/>
      <c r="D190" s="760"/>
      <c r="E190" s="760"/>
      <c r="F190" s="759"/>
      <c r="G190" s="759"/>
      <c r="H190" s="759"/>
      <c r="I190" s="759"/>
      <c r="J190" s="759"/>
      <c r="K190" s="759"/>
      <c r="L190" s="760"/>
      <c r="M190" s="760"/>
      <c r="N190" s="760"/>
      <c r="O190" s="760"/>
      <c r="P190" s="760"/>
      <c r="Q190" s="760"/>
      <c r="R190" s="760"/>
      <c r="S190" s="760"/>
      <c r="T190" s="760"/>
      <c r="U190" s="760"/>
      <c r="V190" s="760"/>
      <c r="W190" s="760"/>
      <c r="X190" s="760"/>
      <c r="Y190" s="760"/>
      <c r="Z190" s="760"/>
      <c r="AA190" s="760"/>
      <c r="AB190" s="760"/>
      <c r="AC190" s="760"/>
    </row>
    <row r="191" ht="15.75" customHeight="1">
      <c r="A191" s="760"/>
      <c r="B191" s="760"/>
      <c r="C191" s="760"/>
      <c r="D191" s="760"/>
      <c r="E191" s="760"/>
      <c r="F191" s="759"/>
      <c r="G191" s="759"/>
      <c r="H191" s="759"/>
      <c r="I191" s="759"/>
      <c r="J191" s="759"/>
      <c r="K191" s="759"/>
      <c r="L191" s="760"/>
      <c r="M191" s="760"/>
      <c r="N191" s="760"/>
      <c r="O191" s="760"/>
      <c r="P191" s="760"/>
      <c r="Q191" s="760"/>
      <c r="R191" s="760"/>
      <c r="S191" s="760"/>
      <c r="T191" s="760"/>
      <c r="U191" s="760"/>
      <c r="V191" s="760"/>
      <c r="W191" s="760"/>
      <c r="X191" s="760"/>
      <c r="Y191" s="760"/>
      <c r="Z191" s="760"/>
      <c r="AA191" s="760"/>
      <c r="AB191" s="760"/>
      <c r="AC191" s="760"/>
    </row>
    <row r="192" ht="15.75" customHeight="1">
      <c r="A192" s="760"/>
      <c r="B192" s="760"/>
      <c r="C192" s="760"/>
      <c r="D192" s="760"/>
      <c r="E192" s="760"/>
      <c r="F192" s="759"/>
      <c r="G192" s="759"/>
      <c r="H192" s="759"/>
      <c r="I192" s="759"/>
      <c r="J192" s="759"/>
      <c r="K192" s="759"/>
      <c r="L192" s="760"/>
      <c r="M192" s="760"/>
      <c r="N192" s="760"/>
      <c r="O192" s="760"/>
      <c r="P192" s="760"/>
      <c r="Q192" s="760"/>
      <c r="R192" s="760"/>
      <c r="S192" s="760"/>
      <c r="T192" s="760"/>
      <c r="U192" s="760"/>
      <c r="V192" s="760"/>
      <c r="W192" s="760"/>
      <c r="X192" s="760"/>
      <c r="Y192" s="760"/>
      <c r="Z192" s="760"/>
      <c r="AA192" s="760"/>
      <c r="AB192" s="760"/>
      <c r="AC192" s="760"/>
    </row>
    <row r="193" ht="15.75" customHeight="1">
      <c r="A193" s="760"/>
      <c r="B193" s="760"/>
      <c r="C193" s="760"/>
      <c r="D193" s="760"/>
      <c r="E193" s="760"/>
      <c r="F193" s="759"/>
      <c r="G193" s="759"/>
      <c r="H193" s="759"/>
      <c r="I193" s="759"/>
      <c r="J193" s="759"/>
      <c r="K193" s="759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760"/>
      <c r="AB193" s="760"/>
      <c r="AC193" s="760"/>
    </row>
    <row r="194" ht="15.75" customHeight="1">
      <c r="A194" s="760"/>
      <c r="B194" s="760"/>
      <c r="C194" s="760"/>
      <c r="D194" s="760"/>
      <c r="E194" s="760"/>
      <c r="F194" s="759"/>
      <c r="G194" s="759"/>
      <c r="H194" s="759"/>
      <c r="I194" s="759"/>
      <c r="J194" s="759"/>
      <c r="K194" s="759"/>
      <c r="L194" s="760"/>
      <c r="M194" s="760"/>
      <c r="N194" s="760"/>
      <c r="O194" s="760"/>
      <c r="P194" s="760"/>
      <c r="Q194" s="760"/>
      <c r="R194" s="760"/>
      <c r="S194" s="760"/>
      <c r="T194" s="760"/>
      <c r="U194" s="760"/>
      <c r="V194" s="760"/>
      <c r="W194" s="760"/>
      <c r="X194" s="760"/>
      <c r="Y194" s="760"/>
      <c r="Z194" s="760"/>
      <c r="AA194" s="760"/>
      <c r="AB194" s="760"/>
      <c r="AC194" s="760"/>
    </row>
    <row r="195" ht="15.75" customHeight="1">
      <c r="A195" s="760"/>
      <c r="B195" s="760"/>
      <c r="C195" s="760"/>
      <c r="D195" s="760"/>
      <c r="E195" s="760"/>
      <c r="F195" s="759"/>
      <c r="G195" s="759"/>
      <c r="H195" s="759"/>
      <c r="I195" s="759"/>
      <c r="J195" s="759"/>
      <c r="K195" s="759"/>
      <c r="L195" s="760"/>
      <c r="M195" s="760"/>
      <c r="N195" s="760"/>
      <c r="O195" s="760"/>
      <c r="P195" s="760"/>
      <c r="Q195" s="760"/>
      <c r="R195" s="760"/>
      <c r="S195" s="760"/>
      <c r="T195" s="760"/>
      <c r="U195" s="760"/>
      <c r="V195" s="760"/>
      <c r="W195" s="760"/>
      <c r="X195" s="760"/>
      <c r="Y195" s="760"/>
      <c r="Z195" s="760"/>
      <c r="AA195" s="760"/>
      <c r="AB195" s="760"/>
      <c r="AC195" s="760"/>
    </row>
    <row r="196" ht="15.75" customHeight="1">
      <c r="A196" s="760"/>
      <c r="B196" s="760"/>
      <c r="C196" s="760"/>
      <c r="D196" s="760"/>
      <c r="E196" s="760"/>
      <c r="F196" s="759"/>
      <c r="G196" s="759"/>
      <c r="H196" s="759"/>
      <c r="I196" s="759"/>
      <c r="J196" s="759"/>
      <c r="K196" s="759"/>
      <c r="L196" s="760"/>
      <c r="M196" s="760"/>
      <c r="N196" s="760"/>
      <c r="O196" s="760"/>
      <c r="P196" s="760"/>
      <c r="Q196" s="760"/>
      <c r="R196" s="760"/>
      <c r="S196" s="760"/>
      <c r="T196" s="760"/>
      <c r="U196" s="760"/>
      <c r="V196" s="760"/>
      <c r="W196" s="760"/>
      <c r="X196" s="760"/>
      <c r="Y196" s="760"/>
      <c r="Z196" s="760"/>
      <c r="AA196" s="760"/>
      <c r="AB196" s="760"/>
      <c r="AC196" s="760"/>
    </row>
    <row r="197" ht="15.75" customHeight="1">
      <c r="A197" s="760"/>
      <c r="B197" s="760"/>
      <c r="C197" s="760"/>
      <c r="D197" s="760"/>
      <c r="E197" s="760"/>
      <c r="F197" s="759"/>
      <c r="G197" s="759"/>
      <c r="H197" s="759"/>
      <c r="I197" s="759"/>
      <c r="J197" s="759"/>
      <c r="K197" s="759"/>
      <c r="L197" s="760"/>
      <c r="M197" s="760"/>
      <c r="N197" s="760"/>
      <c r="O197" s="760"/>
      <c r="P197" s="760"/>
      <c r="Q197" s="760"/>
      <c r="R197" s="760"/>
      <c r="S197" s="760"/>
      <c r="T197" s="760"/>
      <c r="U197" s="760"/>
      <c r="V197" s="760"/>
      <c r="W197" s="760"/>
      <c r="X197" s="760"/>
      <c r="Y197" s="760"/>
      <c r="Z197" s="760"/>
      <c r="AA197" s="760"/>
      <c r="AB197" s="760"/>
      <c r="AC197" s="760"/>
    </row>
    <row r="198" ht="15.75" customHeight="1">
      <c r="A198" s="760"/>
      <c r="B198" s="760"/>
      <c r="C198" s="760"/>
      <c r="D198" s="760"/>
      <c r="E198" s="760"/>
      <c r="F198" s="759"/>
      <c r="G198" s="759"/>
      <c r="H198" s="759"/>
      <c r="I198" s="759"/>
      <c r="J198" s="759"/>
      <c r="K198" s="759"/>
      <c r="L198" s="760"/>
      <c r="M198" s="760"/>
      <c r="N198" s="760"/>
      <c r="O198" s="760"/>
      <c r="P198" s="760"/>
      <c r="Q198" s="760"/>
      <c r="R198" s="760"/>
      <c r="S198" s="760"/>
      <c r="T198" s="760"/>
      <c r="U198" s="760"/>
      <c r="V198" s="760"/>
      <c r="W198" s="760"/>
      <c r="X198" s="760"/>
      <c r="Y198" s="760"/>
      <c r="Z198" s="760"/>
      <c r="AA198" s="760"/>
      <c r="AB198" s="760"/>
      <c r="AC198" s="760"/>
    </row>
    <row r="199" ht="15.75" customHeight="1">
      <c r="A199" s="760"/>
      <c r="B199" s="760"/>
      <c r="C199" s="760"/>
      <c r="D199" s="760"/>
      <c r="E199" s="760"/>
      <c r="F199" s="759"/>
      <c r="G199" s="759"/>
      <c r="H199" s="759"/>
      <c r="I199" s="759"/>
      <c r="J199" s="759"/>
      <c r="K199" s="759"/>
      <c r="L199" s="760"/>
      <c r="M199" s="760"/>
      <c r="N199" s="760"/>
      <c r="O199" s="760"/>
      <c r="P199" s="760"/>
      <c r="Q199" s="760"/>
      <c r="R199" s="760"/>
      <c r="S199" s="760"/>
      <c r="T199" s="760"/>
      <c r="U199" s="760"/>
      <c r="V199" s="760"/>
      <c r="W199" s="760"/>
      <c r="X199" s="760"/>
      <c r="Y199" s="760"/>
      <c r="Z199" s="760"/>
      <c r="AA199" s="760"/>
      <c r="AB199" s="760"/>
      <c r="AC199" s="760"/>
    </row>
    <row r="200" ht="15.75" customHeight="1">
      <c r="A200" s="760"/>
      <c r="B200" s="760"/>
      <c r="C200" s="760"/>
      <c r="D200" s="760"/>
      <c r="E200" s="760"/>
      <c r="F200" s="759"/>
      <c r="G200" s="759"/>
      <c r="H200" s="759"/>
      <c r="I200" s="759"/>
      <c r="J200" s="759"/>
      <c r="K200" s="759"/>
      <c r="L200" s="760"/>
      <c r="M200" s="760"/>
      <c r="N200" s="760"/>
      <c r="O200" s="760"/>
      <c r="P200" s="760"/>
      <c r="Q200" s="760"/>
      <c r="R200" s="760"/>
      <c r="S200" s="760"/>
      <c r="T200" s="760"/>
      <c r="U200" s="760"/>
      <c r="V200" s="760"/>
      <c r="W200" s="760"/>
      <c r="X200" s="760"/>
      <c r="Y200" s="760"/>
      <c r="Z200" s="760"/>
      <c r="AA200" s="760"/>
      <c r="AB200" s="760"/>
      <c r="AC200" s="760"/>
    </row>
    <row r="201" ht="15.75" customHeight="1">
      <c r="A201" s="760"/>
      <c r="B201" s="760"/>
      <c r="C201" s="760"/>
      <c r="D201" s="760"/>
      <c r="E201" s="760"/>
      <c r="F201" s="759"/>
      <c r="G201" s="759"/>
      <c r="H201" s="759"/>
      <c r="I201" s="759"/>
      <c r="J201" s="759"/>
      <c r="K201" s="759"/>
      <c r="L201" s="760"/>
      <c r="M201" s="760"/>
      <c r="N201" s="760"/>
      <c r="O201" s="760"/>
      <c r="P201" s="760"/>
      <c r="Q201" s="760"/>
      <c r="R201" s="760"/>
      <c r="S201" s="760"/>
      <c r="T201" s="760"/>
      <c r="U201" s="760"/>
      <c r="V201" s="760"/>
      <c r="W201" s="760"/>
      <c r="X201" s="760"/>
      <c r="Y201" s="760"/>
      <c r="Z201" s="760"/>
      <c r="AA201" s="760"/>
      <c r="AB201" s="760"/>
      <c r="AC201" s="760"/>
    </row>
    <row r="202" ht="15.75" customHeight="1">
      <c r="A202" s="760"/>
      <c r="B202" s="760"/>
      <c r="C202" s="760"/>
      <c r="D202" s="760"/>
      <c r="E202" s="760"/>
      <c r="F202" s="759"/>
      <c r="G202" s="759"/>
      <c r="H202" s="759"/>
      <c r="I202" s="759"/>
      <c r="J202" s="759"/>
      <c r="K202" s="759"/>
      <c r="L202" s="760"/>
      <c r="M202" s="760"/>
      <c r="N202" s="760"/>
      <c r="O202" s="760"/>
      <c r="P202" s="760"/>
      <c r="Q202" s="760"/>
      <c r="R202" s="760"/>
      <c r="S202" s="760"/>
      <c r="T202" s="760"/>
      <c r="U202" s="760"/>
      <c r="V202" s="760"/>
      <c r="W202" s="760"/>
      <c r="X202" s="760"/>
      <c r="Y202" s="760"/>
      <c r="Z202" s="760"/>
      <c r="AA202" s="760"/>
      <c r="AB202" s="760"/>
      <c r="AC202" s="760"/>
    </row>
    <row r="203" ht="15.75" customHeight="1">
      <c r="A203" s="760"/>
      <c r="B203" s="760"/>
      <c r="C203" s="760"/>
      <c r="D203" s="760"/>
      <c r="E203" s="760"/>
      <c r="F203" s="759"/>
      <c r="G203" s="759"/>
      <c r="H203" s="759"/>
      <c r="I203" s="759"/>
      <c r="J203" s="759"/>
      <c r="K203" s="759"/>
      <c r="L203" s="760"/>
      <c r="M203" s="760"/>
      <c r="N203" s="760"/>
      <c r="O203" s="760"/>
      <c r="P203" s="760"/>
      <c r="Q203" s="760"/>
      <c r="R203" s="760"/>
      <c r="S203" s="760"/>
      <c r="T203" s="760"/>
      <c r="U203" s="760"/>
      <c r="V203" s="760"/>
      <c r="W203" s="760"/>
      <c r="X203" s="760"/>
      <c r="Y203" s="760"/>
      <c r="Z203" s="760"/>
      <c r="AA203" s="760"/>
      <c r="AB203" s="760"/>
      <c r="AC203" s="760"/>
    </row>
    <row r="204" ht="15.75" customHeight="1">
      <c r="A204" s="760"/>
      <c r="B204" s="760"/>
      <c r="C204" s="760"/>
      <c r="D204" s="760"/>
      <c r="E204" s="760"/>
      <c r="F204" s="759"/>
      <c r="G204" s="759"/>
      <c r="H204" s="759"/>
      <c r="I204" s="759"/>
      <c r="J204" s="759"/>
      <c r="K204" s="759"/>
      <c r="L204" s="760"/>
      <c r="M204" s="760"/>
      <c r="N204" s="760"/>
      <c r="O204" s="760"/>
      <c r="P204" s="760"/>
      <c r="Q204" s="760"/>
      <c r="R204" s="760"/>
      <c r="S204" s="760"/>
      <c r="T204" s="760"/>
      <c r="U204" s="760"/>
      <c r="V204" s="760"/>
      <c r="W204" s="760"/>
      <c r="X204" s="760"/>
      <c r="Y204" s="760"/>
      <c r="Z204" s="760"/>
      <c r="AA204" s="760"/>
      <c r="AB204" s="760"/>
      <c r="AC204" s="760"/>
    </row>
    <row r="205" ht="15.75" customHeight="1">
      <c r="A205" s="760"/>
      <c r="B205" s="760"/>
      <c r="C205" s="760"/>
      <c r="D205" s="760"/>
      <c r="E205" s="760"/>
      <c r="F205" s="759"/>
      <c r="G205" s="759"/>
      <c r="H205" s="759"/>
      <c r="I205" s="759"/>
      <c r="J205" s="759"/>
      <c r="K205" s="759"/>
      <c r="L205" s="760"/>
      <c r="M205" s="760"/>
      <c r="N205" s="760"/>
      <c r="O205" s="760"/>
      <c r="P205" s="760"/>
      <c r="Q205" s="760"/>
      <c r="R205" s="760"/>
      <c r="S205" s="760"/>
      <c r="T205" s="760"/>
      <c r="U205" s="760"/>
      <c r="V205" s="760"/>
      <c r="W205" s="760"/>
      <c r="X205" s="760"/>
      <c r="Y205" s="760"/>
      <c r="Z205" s="760"/>
      <c r="AA205" s="760"/>
      <c r="AB205" s="760"/>
      <c r="AC205" s="760"/>
    </row>
    <row r="206" ht="15.75" customHeight="1">
      <c r="A206" s="760"/>
      <c r="B206" s="760"/>
      <c r="C206" s="760"/>
      <c r="D206" s="760"/>
      <c r="E206" s="760"/>
      <c r="F206" s="759"/>
      <c r="G206" s="759"/>
      <c r="H206" s="759"/>
      <c r="I206" s="759"/>
      <c r="J206" s="759"/>
      <c r="K206" s="759"/>
      <c r="L206" s="760"/>
      <c r="M206" s="760"/>
      <c r="N206" s="760"/>
      <c r="O206" s="760"/>
      <c r="P206" s="760"/>
      <c r="Q206" s="760"/>
      <c r="R206" s="760"/>
      <c r="S206" s="760"/>
      <c r="T206" s="760"/>
      <c r="U206" s="760"/>
      <c r="V206" s="760"/>
      <c r="W206" s="760"/>
      <c r="X206" s="760"/>
      <c r="Y206" s="760"/>
      <c r="Z206" s="760"/>
      <c r="AA206" s="760"/>
      <c r="AB206" s="760"/>
      <c r="AC206" s="760"/>
    </row>
    <row r="207" ht="15.75" customHeight="1">
      <c r="A207" s="760"/>
      <c r="B207" s="760"/>
      <c r="C207" s="760"/>
      <c r="D207" s="760"/>
      <c r="E207" s="760"/>
      <c r="F207" s="759"/>
      <c r="G207" s="759"/>
      <c r="H207" s="759"/>
      <c r="I207" s="759"/>
      <c r="J207" s="759"/>
      <c r="K207" s="759"/>
      <c r="L207" s="760"/>
      <c r="M207" s="760"/>
      <c r="N207" s="760"/>
      <c r="O207" s="760"/>
      <c r="P207" s="760"/>
      <c r="Q207" s="760"/>
      <c r="R207" s="760"/>
      <c r="S207" s="760"/>
      <c r="T207" s="760"/>
      <c r="U207" s="760"/>
      <c r="V207" s="760"/>
      <c r="W207" s="760"/>
      <c r="X207" s="760"/>
      <c r="Y207" s="760"/>
      <c r="Z207" s="760"/>
      <c r="AA207" s="760"/>
      <c r="AB207" s="760"/>
      <c r="AC207" s="760"/>
    </row>
    <row r="208" ht="15.75" customHeight="1">
      <c r="A208" s="760"/>
      <c r="B208" s="760"/>
      <c r="C208" s="760"/>
      <c r="D208" s="760"/>
      <c r="E208" s="760"/>
      <c r="F208" s="759"/>
      <c r="G208" s="759"/>
      <c r="H208" s="759"/>
      <c r="I208" s="759"/>
      <c r="J208" s="759"/>
      <c r="K208" s="759"/>
      <c r="L208" s="760"/>
      <c r="M208" s="760"/>
      <c r="N208" s="760"/>
      <c r="O208" s="760"/>
      <c r="P208" s="760"/>
      <c r="Q208" s="760"/>
      <c r="R208" s="760"/>
      <c r="S208" s="760"/>
      <c r="T208" s="760"/>
      <c r="U208" s="760"/>
      <c r="V208" s="760"/>
      <c r="W208" s="760"/>
      <c r="X208" s="760"/>
      <c r="Y208" s="760"/>
      <c r="Z208" s="760"/>
      <c r="AA208" s="760"/>
      <c r="AB208" s="760"/>
      <c r="AC208" s="760"/>
    </row>
    <row r="209" ht="15.75" customHeight="1">
      <c r="A209" s="760"/>
      <c r="B209" s="760"/>
      <c r="C209" s="760"/>
      <c r="D209" s="760"/>
      <c r="E209" s="760"/>
      <c r="F209" s="759"/>
      <c r="G209" s="759"/>
      <c r="H209" s="759"/>
      <c r="I209" s="759"/>
      <c r="J209" s="759"/>
      <c r="K209" s="759"/>
      <c r="L209" s="760"/>
      <c r="M209" s="760"/>
      <c r="N209" s="760"/>
      <c r="O209" s="760"/>
      <c r="P209" s="760"/>
      <c r="Q209" s="760"/>
      <c r="R209" s="760"/>
      <c r="S209" s="760"/>
      <c r="T209" s="760"/>
      <c r="U209" s="760"/>
      <c r="V209" s="760"/>
      <c r="W209" s="760"/>
      <c r="X209" s="760"/>
      <c r="Y209" s="760"/>
      <c r="Z209" s="760"/>
      <c r="AA209" s="760"/>
      <c r="AB209" s="760"/>
      <c r="AC209" s="760"/>
    </row>
    <row r="210" ht="15.75" customHeight="1">
      <c r="A210" s="760"/>
      <c r="B210" s="760"/>
      <c r="C210" s="760"/>
      <c r="D210" s="760"/>
      <c r="E210" s="760"/>
      <c r="F210" s="759"/>
      <c r="G210" s="759"/>
      <c r="H210" s="759"/>
      <c r="I210" s="759"/>
      <c r="J210" s="759"/>
      <c r="K210" s="759"/>
      <c r="L210" s="760"/>
      <c r="M210" s="760"/>
      <c r="N210" s="760"/>
      <c r="O210" s="760"/>
      <c r="P210" s="760"/>
      <c r="Q210" s="760"/>
      <c r="R210" s="760"/>
      <c r="S210" s="760"/>
      <c r="T210" s="760"/>
      <c r="U210" s="760"/>
      <c r="V210" s="760"/>
      <c r="W210" s="760"/>
      <c r="X210" s="760"/>
      <c r="Y210" s="760"/>
      <c r="Z210" s="760"/>
      <c r="AA210" s="760"/>
      <c r="AB210" s="760"/>
      <c r="AC210" s="760"/>
    </row>
    <row r="211" ht="15.75" customHeight="1">
      <c r="A211" s="760"/>
      <c r="B211" s="760"/>
      <c r="C211" s="760"/>
      <c r="D211" s="760"/>
      <c r="E211" s="760"/>
      <c r="F211" s="759"/>
      <c r="G211" s="759"/>
      <c r="H211" s="759"/>
      <c r="I211" s="759"/>
      <c r="J211" s="759"/>
      <c r="K211" s="759"/>
      <c r="L211" s="760"/>
      <c r="M211" s="760"/>
      <c r="N211" s="760"/>
      <c r="O211" s="760"/>
      <c r="P211" s="760"/>
      <c r="Q211" s="760"/>
      <c r="R211" s="760"/>
      <c r="S211" s="760"/>
      <c r="T211" s="760"/>
      <c r="U211" s="760"/>
      <c r="V211" s="760"/>
      <c r="W211" s="760"/>
      <c r="X211" s="760"/>
      <c r="Y211" s="760"/>
      <c r="Z211" s="760"/>
      <c r="AA211" s="760"/>
      <c r="AB211" s="760"/>
      <c r="AC211" s="760"/>
    </row>
    <row r="212" ht="15.75" customHeight="1">
      <c r="A212" s="760"/>
      <c r="B212" s="760"/>
      <c r="C212" s="760"/>
      <c r="D212" s="760"/>
      <c r="E212" s="760"/>
      <c r="F212" s="759"/>
      <c r="G212" s="759"/>
      <c r="H212" s="759"/>
      <c r="I212" s="759"/>
      <c r="J212" s="759"/>
      <c r="K212" s="759"/>
      <c r="L212" s="760"/>
      <c r="M212" s="760"/>
      <c r="N212" s="760"/>
      <c r="O212" s="760"/>
      <c r="P212" s="760"/>
      <c r="Q212" s="760"/>
      <c r="R212" s="760"/>
      <c r="S212" s="760"/>
      <c r="T212" s="760"/>
      <c r="U212" s="760"/>
      <c r="V212" s="760"/>
      <c r="W212" s="760"/>
      <c r="X212" s="760"/>
      <c r="Y212" s="760"/>
      <c r="Z212" s="760"/>
      <c r="AA212" s="760"/>
      <c r="AB212" s="760"/>
      <c r="AC212" s="760"/>
    </row>
    <row r="213" ht="15.75" customHeight="1">
      <c r="A213" s="760"/>
      <c r="B213" s="760"/>
      <c r="C213" s="760"/>
      <c r="D213" s="760"/>
      <c r="E213" s="760"/>
      <c r="F213" s="759"/>
      <c r="G213" s="759"/>
      <c r="H213" s="759"/>
      <c r="I213" s="759"/>
      <c r="J213" s="759"/>
      <c r="K213" s="759"/>
      <c r="L213" s="760"/>
      <c r="M213" s="760"/>
      <c r="N213" s="760"/>
      <c r="O213" s="760"/>
      <c r="P213" s="760"/>
      <c r="Q213" s="760"/>
      <c r="R213" s="760"/>
      <c r="S213" s="760"/>
      <c r="T213" s="760"/>
      <c r="U213" s="760"/>
      <c r="V213" s="760"/>
      <c r="W213" s="760"/>
      <c r="X213" s="760"/>
      <c r="Y213" s="760"/>
      <c r="Z213" s="760"/>
      <c r="AA213" s="760"/>
      <c r="AB213" s="760"/>
      <c r="AC213" s="760"/>
    </row>
    <row r="214" ht="15.75" customHeight="1">
      <c r="A214" s="760"/>
      <c r="B214" s="760"/>
      <c r="C214" s="760"/>
      <c r="D214" s="760"/>
      <c r="E214" s="760"/>
      <c r="F214" s="759"/>
      <c r="G214" s="759"/>
      <c r="H214" s="759"/>
      <c r="I214" s="759"/>
      <c r="J214" s="759"/>
      <c r="K214" s="759"/>
      <c r="L214" s="760"/>
      <c r="M214" s="760"/>
      <c r="N214" s="760"/>
      <c r="O214" s="760"/>
      <c r="P214" s="760"/>
      <c r="Q214" s="760"/>
      <c r="R214" s="760"/>
      <c r="S214" s="760"/>
      <c r="T214" s="760"/>
      <c r="U214" s="760"/>
      <c r="V214" s="760"/>
      <c r="W214" s="760"/>
      <c r="X214" s="760"/>
      <c r="Y214" s="760"/>
      <c r="Z214" s="760"/>
      <c r="AA214" s="760"/>
      <c r="AB214" s="760"/>
      <c r="AC214" s="760"/>
    </row>
    <row r="215" ht="15.75" customHeight="1">
      <c r="A215" s="760"/>
      <c r="B215" s="760"/>
      <c r="C215" s="760"/>
      <c r="D215" s="760"/>
      <c r="E215" s="760"/>
      <c r="F215" s="759"/>
      <c r="G215" s="759"/>
      <c r="H215" s="759"/>
      <c r="I215" s="759"/>
      <c r="J215" s="759"/>
      <c r="K215" s="759"/>
      <c r="L215" s="760"/>
      <c r="M215" s="760"/>
      <c r="N215" s="760"/>
      <c r="O215" s="760"/>
      <c r="P215" s="760"/>
      <c r="Q215" s="760"/>
      <c r="R215" s="760"/>
      <c r="S215" s="760"/>
      <c r="T215" s="760"/>
      <c r="U215" s="760"/>
      <c r="V215" s="760"/>
      <c r="W215" s="760"/>
      <c r="X215" s="760"/>
      <c r="Y215" s="760"/>
      <c r="Z215" s="760"/>
      <c r="AA215" s="760"/>
      <c r="AB215" s="760"/>
      <c r="AC215" s="760"/>
    </row>
    <row r="216" ht="15.75" customHeight="1">
      <c r="A216" s="760"/>
      <c r="B216" s="760"/>
      <c r="C216" s="760"/>
      <c r="D216" s="760"/>
      <c r="E216" s="760"/>
      <c r="F216" s="759"/>
      <c r="G216" s="759"/>
      <c r="H216" s="759"/>
      <c r="I216" s="759"/>
      <c r="J216" s="759"/>
      <c r="K216" s="759"/>
      <c r="L216" s="760"/>
      <c r="M216" s="760"/>
      <c r="N216" s="760"/>
      <c r="O216" s="760"/>
      <c r="P216" s="760"/>
      <c r="Q216" s="760"/>
      <c r="R216" s="760"/>
      <c r="S216" s="760"/>
      <c r="T216" s="760"/>
      <c r="U216" s="760"/>
      <c r="V216" s="760"/>
      <c r="W216" s="760"/>
      <c r="X216" s="760"/>
      <c r="Y216" s="760"/>
      <c r="Z216" s="760"/>
      <c r="AA216" s="760"/>
      <c r="AB216" s="760"/>
      <c r="AC216" s="760"/>
    </row>
    <row r="217" ht="15.75" customHeight="1">
      <c r="A217" s="760"/>
      <c r="B217" s="760"/>
      <c r="C217" s="760"/>
      <c r="D217" s="760"/>
      <c r="E217" s="760"/>
      <c r="F217" s="759"/>
      <c r="G217" s="759"/>
      <c r="H217" s="759"/>
      <c r="I217" s="759"/>
      <c r="J217" s="759"/>
      <c r="K217" s="759"/>
      <c r="L217" s="760"/>
      <c r="M217" s="760"/>
      <c r="N217" s="760"/>
      <c r="O217" s="760"/>
      <c r="P217" s="760"/>
      <c r="Q217" s="760"/>
      <c r="R217" s="760"/>
      <c r="S217" s="760"/>
      <c r="T217" s="760"/>
      <c r="U217" s="760"/>
      <c r="V217" s="760"/>
      <c r="W217" s="760"/>
      <c r="X217" s="760"/>
      <c r="Y217" s="760"/>
      <c r="Z217" s="760"/>
      <c r="AA217" s="760"/>
      <c r="AB217" s="760"/>
      <c r="AC217" s="760"/>
    </row>
    <row r="218" ht="15.75" customHeight="1">
      <c r="A218" s="760"/>
      <c r="B218" s="760"/>
      <c r="C218" s="760"/>
      <c r="D218" s="760"/>
      <c r="E218" s="760"/>
      <c r="F218" s="759"/>
      <c r="G218" s="759"/>
      <c r="H218" s="759"/>
      <c r="I218" s="759"/>
      <c r="J218" s="759"/>
      <c r="K218" s="759"/>
      <c r="L218" s="760"/>
      <c r="M218" s="760"/>
      <c r="N218" s="760"/>
      <c r="O218" s="760"/>
      <c r="P218" s="760"/>
      <c r="Q218" s="760"/>
      <c r="R218" s="760"/>
      <c r="S218" s="760"/>
      <c r="T218" s="760"/>
      <c r="U218" s="760"/>
      <c r="V218" s="760"/>
      <c r="W218" s="760"/>
      <c r="X218" s="760"/>
      <c r="Y218" s="760"/>
      <c r="Z218" s="760"/>
      <c r="AA218" s="760"/>
      <c r="AB218" s="760"/>
      <c r="AC218" s="760"/>
    </row>
    <row r="219" ht="15.75" customHeight="1">
      <c r="A219" s="760"/>
      <c r="B219" s="760"/>
      <c r="C219" s="760"/>
      <c r="D219" s="760"/>
      <c r="E219" s="760"/>
      <c r="F219" s="759"/>
      <c r="G219" s="759"/>
      <c r="H219" s="759"/>
      <c r="I219" s="759"/>
      <c r="J219" s="759"/>
      <c r="K219" s="759"/>
      <c r="L219" s="760"/>
      <c r="M219" s="760"/>
      <c r="N219" s="760"/>
      <c r="O219" s="760"/>
      <c r="P219" s="760"/>
      <c r="Q219" s="760"/>
      <c r="R219" s="760"/>
      <c r="S219" s="760"/>
      <c r="T219" s="760"/>
      <c r="U219" s="760"/>
      <c r="V219" s="760"/>
      <c r="W219" s="760"/>
      <c r="X219" s="760"/>
      <c r="Y219" s="760"/>
      <c r="Z219" s="760"/>
      <c r="AA219" s="760"/>
      <c r="AB219" s="760"/>
      <c r="AC219" s="760"/>
    </row>
    <row r="220" ht="15.75" customHeight="1">
      <c r="A220" s="760"/>
      <c r="B220" s="760"/>
      <c r="C220" s="760"/>
      <c r="D220" s="760"/>
      <c r="E220" s="760"/>
      <c r="F220" s="759"/>
      <c r="G220" s="759"/>
      <c r="H220" s="759"/>
      <c r="I220" s="759"/>
      <c r="J220" s="759"/>
      <c r="K220" s="759"/>
      <c r="L220" s="760"/>
      <c r="M220" s="760"/>
      <c r="N220" s="760"/>
      <c r="O220" s="760"/>
      <c r="P220" s="760"/>
      <c r="Q220" s="760"/>
      <c r="R220" s="760"/>
      <c r="S220" s="760"/>
      <c r="T220" s="760"/>
      <c r="U220" s="760"/>
      <c r="V220" s="760"/>
      <c r="W220" s="760"/>
      <c r="X220" s="760"/>
      <c r="Y220" s="760"/>
      <c r="Z220" s="760"/>
      <c r="AA220" s="760"/>
      <c r="AB220" s="760"/>
      <c r="AC220" s="760"/>
    </row>
    <row r="221" ht="15.75" customHeight="1">
      <c r="A221" s="760"/>
      <c r="B221" s="760"/>
      <c r="C221" s="760"/>
      <c r="D221" s="760"/>
      <c r="E221" s="760"/>
      <c r="F221" s="759"/>
      <c r="G221" s="759"/>
      <c r="H221" s="759"/>
      <c r="I221" s="759"/>
      <c r="J221" s="759"/>
      <c r="K221" s="759"/>
      <c r="L221" s="760"/>
      <c r="M221" s="760"/>
      <c r="N221" s="760"/>
      <c r="O221" s="760"/>
      <c r="P221" s="760"/>
      <c r="Q221" s="760"/>
      <c r="R221" s="760"/>
      <c r="S221" s="760"/>
      <c r="T221" s="760"/>
      <c r="U221" s="760"/>
      <c r="V221" s="760"/>
      <c r="W221" s="760"/>
      <c r="X221" s="760"/>
      <c r="Y221" s="760"/>
      <c r="Z221" s="760"/>
      <c r="AA221" s="760"/>
      <c r="AB221" s="760"/>
      <c r="AC221" s="760"/>
    </row>
    <row r="222" ht="15.75" customHeight="1">
      <c r="A222" s="760"/>
      <c r="B222" s="760"/>
      <c r="C222" s="760"/>
      <c r="D222" s="760"/>
      <c r="E222" s="760"/>
      <c r="F222" s="759"/>
      <c r="G222" s="759"/>
      <c r="H222" s="759"/>
      <c r="I222" s="759"/>
      <c r="J222" s="759"/>
      <c r="K222" s="759"/>
      <c r="L222" s="760"/>
      <c r="M222" s="760"/>
      <c r="N222" s="760"/>
      <c r="O222" s="760"/>
      <c r="P222" s="760"/>
      <c r="Q222" s="760"/>
      <c r="R222" s="760"/>
      <c r="S222" s="760"/>
      <c r="T222" s="760"/>
      <c r="U222" s="760"/>
      <c r="V222" s="760"/>
      <c r="W222" s="760"/>
      <c r="X222" s="760"/>
      <c r="Y222" s="760"/>
      <c r="Z222" s="760"/>
      <c r="AA222" s="760"/>
      <c r="AB222" s="760"/>
      <c r="AC222" s="760"/>
    </row>
    <row r="223" ht="15.75" customHeight="1">
      <c r="A223" s="760"/>
      <c r="B223" s="760"/>
      <c r="C223" s="760"/>
      <c r="D223" s="760"/>
      <c r="E223" s="760"/>
      <c r="F223" s="759"/>
      <c r="G223" s="759"/>
      <c r="H223" s="759"/>
      <c r="I223" s="759"/>
      <c r="J223" s="759"/>
      <c r="K223" s="759"/>
      <c r="L223" s="760"/>
      <c r="M223" s="760"/>
      <c r="N223" s="760"/>
      <c r="O223" s="760"/>
      <c r="P223" s="760"/>
      <c r="Q223" s="760"/>
      <c r="R223" s="760"/>
      <c r="S223" s="760"/>
      <c r="T223" s="760"/>
      <c r="U223" s="760"/>
      <c r="V223" s="760"/>
      <c r="W223" s="760"/>
      <c r="X223" s="760"/>
      <c r="Y223" s="760"/>
      <c r="Z223" s="760"/>
      <c r="AA223" s="760"/>
      <c r="AB223" s="760"/>
      <c r="AC223" s="760"/>
    </row>
    <row r="224" ht="15.75" customHeight="1">
      <c r="A224" s="760"/>
      <c r="B224" s="760"/>
      <c r="C224" s="760"/>
      <c r="D224" s="760"/>
      <c r="E224" s="760"/>
      <c r="F224" s="759"/>
      <c r="G224" s="759"/>
      <c r="H224" s="759"/>
      <c r="I224" s="759"/>
      <c r="J224" s="759"/>
      <c r="K224" s="759"/>
      <c r="L224" s="760"/>
      <c r="M224" s="760"/>
      <c r="N224" s="760"/>
      <c r="O224" s="760"/>
      <c r="P224" s="760"/>
      <c r="Q224" s="760"/>
      <c r="R224" s="760"/>
      <c r="S224" s="760"/>
      <c r="T224" s="760"/>
      <c r="U224" s="760"/>
      <c r="V224" s="760"/>
      <c r="W224" s="760"/>
      <c r="X224" s="760"/>
      <c r="Y224" s="760"/>
      <c r="Z224" s="760"/>
      <c r="AA224" s="760"/>
      <c r="AB224" s="760"/>
      <c r="AC224" s="760"/>
    </row>
    <row r="225" ht="15.75" customHeight="1">
      <c r="A225" s="760"/>
      <c r="B225" s="760"/>
      <c r="C225" s="760"/>
      <c r="D225" s="760"/>
      <c r="E225" s="760"/>
      <c r="F225" s="759"/>
      <c r="G225" s="759"/>
      <c r="H225" s="759"/>
      <c r="I225" s="759"/>
      <c r="J225" s="759"/>
      <c r="K225" s="759"/>
      <c r="L225" s="760"/>
      <c r="M225" s="760"/>
      <c r="N225" s="760"/>
      <c r="O225" s="760"/>
      <c r="P225" s="760"/>
      <c r="Q225" s="760"/>
      <c r="R225" s="760"/>
      <c r="S225" s="760"/>
      <c r="T225" s="760"/>
      <c r="U225" s="760"/>
      <c r="V225" s="760"/>
      <c r="W225" s="760"/>
      <c r="X225" s="760"/>
      <c r="Y225" s="760"/>
      <c r="Z225" s="760"/>
      <c r="AA225" s="760"/>
      <c r="AB225" s="760"/>
      <c r="AC225" s="760"/>
    </row>
    <row r="226" ht="15.75" customHeight="1">
      <c r="A226" s="760"/>
      <c r="B226" s="760"/>
      <c r="C226" s="760"/>
      <c r="D226" s="760"/>
      <c r="E226" s="760"/>
      <c r="F226" s="759"/>
      <c r="G226" s="759"/>
      <c r="H226" s="759"/>
      <c r="I226" s="759"/>
      <c r="J226" s="759"/>
      <c r="K226" s="759"/>
      <c r="L226" s="760"/>
      <c r="M226" s="760"/>
      <c r="N226" s="760"/>
      <c r="O226" s="760"/>
      <c r="P226" s="760"/>
      <c r="Q226" s="760"/>
      <c r="R226" s="760"/>
      <c r="S226" s="760"/>
      <c r="T226" s="760"/>
      <c r="U226" s="760"/>
      <c r="V226" s="760"/>
      <c r="W226" s="760"/>
      <c r="X226" s="760"/>
      <c r="Y226" s="760"/>
      <c r="Z226" s="760"/>
      <c r="AA226" s="760"/>
      <c r="AB226" s="760"/>
      <c r="AC226" s="760"/>
    </row>
    <row r="227" ht="15.75" customHeight="1">
      <c r="A227" s="760"/>
      <c r="B227" s="760"/>
      <c r="C227" s="760"/>
      <c r="D227" s="760"/>
      <c r="E227" s="760"/>
      <c r="F227" s="759"/>
      <c r="G227" s="759"/>
      <c r="H227" s="759"/>
      <c r="I227" s="759"/>
      <c r="J227" s="759"/>
      <c r="K227" s="759"/>
      <c r="L227" s="760"/>
      <c r="M227" s="760"/>
      <c r="N227" s="760"/>
      <c r="O227" s="760"/>
      <c r="P227" s="760"/>
      <c r="Q227" s="760"/>
      <c r="R227" s="760"/>
      <c r="S227" s="760"/>
      <c r="T227" s="760"/>
      <c r="U227" s="760"/>
      <c r="V227" s="760"/>
      <c r="W227" s="760"/>
      <c r="X227" s="760"/>
      <c r="Y227" s="760"/>
      <c r="Z227" s="760"/>
      <c r="AA227" s="760"/>
      <c r="AB227" s="760"/>
      <c r="AC227" s="760"/>
    </row>
    <row r="228" ht="15.75" customHeight="1">
      <c r="A228" s="760"/>
      <c r="B228" s="760"/>
      <c r="C228" s="760"/>
      <c r="D228" s="760"/>
      <c r="E228" s="760"/>
      <c r="F228" s="759"/>
      <c r="G228" s="759"/>
      <c r="H228" s="759"/>
      <c r="I228" s="759"/>
      <c r="J228" s="759"/>
      <c r="K228" s="759"/>
      <c r="L228" s="760"/>
      <c r="M228" s="760"/>
      <c r="N228" s="760"/>
      <c r="O228" s="760"/>
      <c r="P228" s="760"/>
      <c r="Q228" s="760"/>
      <c r="R228" s="760"/>
      <c r="S228" s="760"/>
      <c r="T228" s="760"/>
      <c r="U228" s="760"/>
      <c r="V228" s="760"/>
      <c r="W228" s="760"/>
      <c r="X228" s="760"/>
      <c r="Y228" s="760"/>
      <c r="Z228" s="760"/>
      <c r="AA228" s="760"/>
      <c r="AB228" s="760"/>
      <c r="AC228" s="760"/>
    </row>
    <row r="229" ht="15.75" customHeight="1">
      <c r="A229" s="760"/>
      <c r="B229" s="760"/>
      <c r="C229" s="760"/>
      <c r="D229" s="760"/>
      <c r="E229" s="760"/>
      <c r="F229" s="759"/>
      <c r="G229" s="759"/>
      <c r="H229" s="759"/>
      <c r="I229" s="759"/>
      <c r="J229" s="759"/>
      <c r="K229" s="759"/>
      <c r="L229" s="760"/>
      <c r="M229" s="760"/>
      <c r="N229" s="760"/>
      <c r="O229" s="760"/>
      <c r="P229" s="760"/>
      <c r="Q229" s="760"/>
      <c r="R229" s="760"/>
      <c r="S229" s="760"/>
      <c r="T229" s="760"/>
      <c r="U229" s="760"/>
      <c r="V229" s="760"/>
      <c r="W229" s="760"/>
      <c r="X229" s="760"/>
      <c r="Y229" s="760"/>
      <c r="Z229" s="760"/>
      <c r="AA229" s="760"/>
      <c r="AB229" s="760"/>
      <c r="AC229" s="760"/>
    </row>
    <row r="230" ht="15.75" customHeight="1">
      <c r="A230" s="760"/>
      <c r="B230" s="760"/>
      <c r="C230" s="760"/>
      <c r="D230" s="760"/>
      <c r="E230" s="760"/>
      <c r="F230" s="759"/>
      <c r="G230" s="759"/>
      <c r="H230" s="759"/>
      <c r="I230" s="759"/>
      <c r="J230" s="759"/>
      <c r="K230" s="759"/>
      <c r="L230" s="760"/>
      <c r="M230" s="760"/>
      <c r="N230" s="760"/>
      <c r="O230" s="760"/>
      <c r="P230" s="760"/>
      <c r="Q230" s="760"/>
      <c r="R230" s="760"/>
      <c r="S230" s="760"/>
      <c r="T230" s="760"/>
      <c r="U230" s="760"/>
      <c r="V230" s="760"/>
      <c r="W230" s="760"/>
      <c r="X230" s="760"/>
      <c r="Y230" s="760"/>
      <c r="Z230" s="760"/>
      <c r="AA230" s="760"/>
      <c r="AB230" s="760"/>
      <c r="AC230" s="760"/>
    </row>
    <row r="231" ht="15.75" customHeight="1">
      <c r="A231" s="760"/>
      <c r="B231" s="760"/>
      <c r="C231" s="760"/>
      <c r="D231" s="760"/>
      <c r="E231" s="760"/>
      <c r="F231" s="759"/>
      <c r="G231" s="759"/>
      <c r="H231" s="759"/>
      <c r="I231" s="759"/>
      <c r="J231" s="759"/>
      <c r="K231" s="759"/>
      <c r="L231" s="760"/>
      <c r="M231" s="760"/>
      <c r="N231" s="760"/>
      <c r="O231" s="760"/>
      <c r="P231" s="760"/>
      <c r="Q231" s="760"/>
      <c r="R231" s="760"/>
      <c r="S231" s="760"/>
      <c r="T231" s="760"/>
      <c r="U231" s="760"/>
      <c r="V231" s="760"/>
      <c r="W231" s="760"/>
      <c r="X231" s="760"/>
      <c r="Y231" s="760"/>
      <c r="Z231" s="760"/>
      <c r="AA231" s="760"/>
      <c r="AB231" s="760"/>
      <c r="AC231" s="760"/>
    </row>
    <row r="232" ht="15.75" customHeight="1">
      <c r="A232" s="760"/>
      <c r="B232" s="760"/>
      <c r="C232" s="760"/>
      <c r="D232" s="760"/>
      <c r="E232" s="760"/>
      <c r="F232" s="759"/>
      <c r="G232" s="759"/>
      <c r="H232" s="759"/>
      <c r="I232" s="759"/>
      <c r="J232" s="759"/>
      <c r="K232" s="759"/>
      <c r="L232" s="760"/>
      <c r="M232" s="760"/>
      <c r="N232" s="760"/>
      <c r="O232" s="760"/>
      <c r="P232" s="760"/>
      <c r="Q232" s="760"/>
      <c r="R232" s="760"/>
      <c r="S232" s="760"/>
      <c r="T232" s="760"/>
      <c r="U232" s="760"/>
      <c r="V232" s="760"/>
      <c r="W232" s="760"/>
      <c r="X232" s="760"/>
      <c r="Y232" s="760"/>
      <c r="Z232" s="760"/>
      <c r="AA232" s="760"/>
      <c r="AB232" s="760"/>
      <c r="AC232" s="760"/>
    </row>
    <row r="233" ht="15.75" customHeight="1">
      <c r="A233" s="760"/>
      <c r="B233" s="760"/>
      <c r="C233" s="760"/>
      <c r="D233" s="760"/>
      <c r="E233" s="760"/>
      <c r="F233" s="759"/>
      <c r="G233" s="759"/>
      <c r="H233" s="759"/>
      <c r="I233" s="759"/>
      <c r="J233" s="759"/>
      <c r="K233" s="759"/>
      <c r="L233" s="760"/>
      <c r="M233" s="760"/>
      <c r="N233" s="760"/>
      <c r="O233" s="760"/>
      <c r="P233" s="760"/>
      <c r="Q233" s="760"/>
      <c r="R233" s="760"/>
      <c r="S233" s="760"/>
      <c r="T233" s="760"/>
      <c r="U233" s="760"/>
      <c r="V233" s="760"/>
      <c r="W233" s="760"/>
      <c r="X233" s="760"/>
      <c r="Y233" s="760"/>
      <c r="Z233" s="760"/>
      <c r="AA233" s="760"/>
      <c r="AB233" s="760"/>
      <c r="AC233" s="760"/>
    </row>
    <row r="234" ht="15.75" customHeight="1">
      <c r="A234" s="760"/>
      <c r="B234" s="760"/>
      <c r="C234" s="760"/>
      <c r="D234" s="760"/>
      <c r="E234" s="760"/>
      <c r="F234" s="759"/>
      <c r="G234" s="759"/>
      <c r="H234" s="759"/>
      <c r="I234" s="759"/>
      <c r="J234" s="759"/>
      <c r="K234" s="759"/>
      <c r="L234" s="760"/>
      <c r="M234" s="760"/>
      <c r="N234" s="760"/>
      <c r="O234" s="760"/>
      <c r="P234" s="760"/>
      <c r="Q234" s="760"/>
      <c r="R234" s="760"/>
      <c r="S234" s="760"/>
      <c r="T234" s="760"/>
      <c r="U234" s="760"/>
      <c r="V234" s="760"/>
      <c r="W234" s="760"/>
      <c r="X234" s="760"/>
      <c r="Y234" s="760"/>
      <c r="Z234" s="760"/>
      <c r="AA234" s="760"/>
      <c r="AB234" s="760"/>
      <c r="AC234" s="760"/>
    </row>
    <row r="235" ht="15.75" customHeight="1">
      <c r="A235" s="760"/>
      <c r="B235" s="760"/>
      <c r="C235" s="760"/>
      <c r="D235" s="760"/>
      <c r="E235" s="760"/>
      <c r="F235" s="759"/>
      <c r="G235" s="759"/>
      <c r="H235" s="759"/>
      <c r="I235" s="759"/>
      <c r="J235" s="759"/>
      <c r="K235" s="759"/>
      <c r="L235" s="760"/>
      <c r="M235" s="760"/>
      <c r="N235" s="760"/>
      <c r="O235" s="760"/>
      <c r="P235" s="760"/>
      <c r="Q235" s="760"/>
      <c r="R235" s="760"/>
      <c r="S235" s="760"/>
      <c r="T235" s="760"/>
      <c r="U235" s="760"/>
      <c r="V235" s="760"/>
      <c r="W235" s="760"/>
      <c r="X235" s="760"/>
      <c r="Y235" s="760"/>
      <c r="Z235" s="760"/>
      <c r="AA235" s="760"/>
      <c r="AB235" s="760"/>
      <c r="AC235" s="760"/>
    </row>
    <row r="236" ht="15.75" customHeight="1">
      <c r="A236" s="760"/>
      <c r="B236" s="760"/>
      <c r="C236" s="760"/>
      <c r="D236" s="760"/>
      <c r="E236" s="760"/>
      <c r="F236" s="759"/>
      <c r="G236" s="759"/>
      <c r="H236" s="759"/>
      <c r="I236" s="759"/>
      <c r="J236" s="759"/>
      <c r="K236" s="759"/>
      <c r="L236" s="760"/>
      <c r="M236" s="760"/>
      <c r="N236" s="760"/>
      <c r="O236" s="760"/>
      <c r="P236" s="760"/>
      <c r="Q236" s="760"/>
      <c r="R236" s="760"/>
      <c r="S236" s="760"/>
      <c r="T236" s="760"/>
      <c r="U236" s="760"/>
      <c r="V236" s="760"/>
      <c r="W236" s="760"/>
      <c r="X236" s="760"/>
      <c r="Y236" s="760"/>
      <c r="Z236" s="760"/>
      <c r="AA236" s="760"/>
      <c r="AB236" s="760"/>
      <c r="AC236" s="760"/>
    </row>
    <row r="237" ht="15.75" customHeight="1">
      <c r="A237" s="760"/>
      <c r="B237" s="760"/>
      <c r="C237" s="760"/>
      <c r="D237" s="760"/>
      <c r="E237" s="760"/>
      <c r="F237" s="759"/>
      <c r="G237" s="759"/>
      <c r="H237" s="759"/>
      <c r="I237" s="759"/>
      <c r="J237" s="759"/>
      <c r="K237" s="759"/>
      <c r="L237" s="760"/>
      <c r="M237" s="760"/>
      <c r="N237" s="760"/>
      <c r="O237" s="760"/>
      <c r="P237" s="760"/>
      <c r="Q237" s="760"/>
      <c r="R237" s="760"/>
      <c r="S237" s="760"/>
      <c r="T237" s="760"/>
      <c r="U237" s="760"/>
      <c r="V237" s="760"/>
      <c r="W237" s="760"/>
      <c r="X237" s="760"/>
      <c r="Y237" s="760"/>
      <c r="Z237" s="760"/>
      <c r="AA237" s="760"/>
      <c r="AB237" s="760"/>
      <c r="AC237" s="760"/>
    </row>
    <row r="238" ht="15.75" customHeight="1">
      <c r="A238" s="760"/>
      <c r="B238" s="760"/>
      <c r="C238" s="760"/>
      <c r="D238" s="760"/>
      <c r="E238" s="760"/>
      <c r="F238" s="759"/>
      <c r="G238" s="759"/>
      <c r="H238" s="759"/>
      <c r="I238" s="759"/>
      <c r="J238" s="759"/>
      <c r="K238" s="759"/>
      <c r="L238" s="760"/>
      <c r="M238" s="760"/>
      <c r="N238" s="760"/>
      <c r="O238" s="760"/>
      <c r="P238" s="760"/>
      <c r="Q238" s="760"/>
      <c r="R238" s="760"/>
      <c r="S238" s="760"/>
      <c r="T238" s="760"/>
      <c r="U238" s="760"/>
      <c r="V238" s="760"/>
      <c r="W238" s="760"/>
      <c r="X238" s="760"/>
      <c r="Y238" s="760"/>
      <c r="Z238" s="760"/>
      <c r="AA238" s="760"/>
      <c r="AB238" s="760"/>
      <c r="AC238" s="760"/>
    </row>
    <row r="239" ht="15.75" customHeight="1">
      <c r="A239" s="760"/>
      <c r="B239" s="760"/>
      <c r="C239" s="760"/>
      <c r="D239" s="760"/>
      <c r="E239" s="760"/>
      <c r="F239" s="759"/>
      <c r="G239" s="759"/>
      <c r="H239" s="759"/>
      <c r="I239" s="759"/>
      <c r="J239" s="759"/>
      <c r="K239" s="759"/>
      <c r="L239" s="760"/>
      <c r="M239" s="760"/>
      <c r="N239" s="760"/>
      <c r="O239" s="760"/>
      <c r="P239" s="760"/>
      <c r="Q239" s="760"/>
      <c r="R239" s="760"/>
      <c r="S239" s="760"/>
      <c r="T239" s="760"/>
      <c r="U239" s="760"/>
      <c r="V239" s="760"/>
      <c r="W239" s="760"/>
      <c r="X239" s="760"/>
      <c r="Y239" s="760"/>
      <c r="Z239" s="760"/>
      <c r="AA239" s="760"/>
      <c r="AB239" s="760"/>
      <c r="AC239" s="760"/>
    </row>
    <row r="240" ht="15.75" customHeight="1">
      <c r="A240" s="760"/>
      <c r="B240" s="760"/>
      <c r="C240" s="760"/>
      <c r="D240" s="760"/>
      <c r="E240" s="760"/>
      <c r="F240" s="759"/>
      <c r="G240" s="759"/>
      <c r="H240" s="759"/>
      <c r="I240" s="759"/>
      <c r="J240" s="759"/>
      <c r="K240" s="759"/>
      <c r="L240" s="760"/>
      <c r="M240" s="760"/>
      <c r="N240" s="760"/>
      <c r="O240" s="760"/>
      <c r="P240" s="760"/>
      <c r="Q240" s="760"/>
      <c r="R240" s="760"/>
      <c r="S240" s="760"/>
      <c r="T240" s="760"/>
      <c r="U240" s="760"/>
      <c r="V240" s="760"/>
      <c r="W240" s="760"/>
      <c r="X240" s="760"/>
      <c r="Y240" s="760"/>
      <c r="Z240" s="760"/>
      <c r="AA240" s="760"/>
      <c r="AB240" s="760"/>
      <c r="AC240" s="760"/>
    </row>
    <row r="241" ht="15.75" customHeight="1">
      <c r="A241" s="760"/>
      <c r="B241" s="760"/>
      <c r="C241" s="760"/>
      <c r="D241" s="760"/>
      <c r="E241" s="760"/>
      <c r="F241" s="759"/>
      <c r="G241" s="759"/>
      <c r="H241" s="759"/>
      <c r="I241" s="759"/>
      <c r="J241" s="759"/>
      <c r="K241" s="759"/>
      <c r="L241" s="760"/>
      <c r="M241" s="760"/>
      <c r="N241" s="760"/>
      <c r="O241" s="760"/>
      <c r="P241" s="760"/>
      <c r="Q241" s="760"/>
      <c r="R241" s="760"/>
      <c r="S241" s="760"/>
      <c r="T241" s="760"/>
      <c r="U241" s="760"/>
      <c r="V241" s="760"/>
      <c r="W241" s="760"/>
      <c r="X241" s="760"/>
      <c r="Y241" s="760"/>
      <c r="Z241" s="760"/>
      <c r="AA241" s="760"/>
      <c r="AB241" s="760"/>
      <c r="AC241" s="760"/>
    </row>
    <row r="242" ht="15.75" customHeight="1">
      <c r="A242" s="760"/>
      <c r="B242" s="760"/>
      <c r="C242" s="760"/>
      <c r="D242" s="760"/>
      <c r="E242" s="760"/>
      <c r="F242" s="759"/>
      <c r="G242" s="759"/>
      <c r="H242" s="759"/>
      <c r="I242" s="759"/>
      <c r="J242" s="759"/>
      <c r="K242" s="759"/>
      <c r="L242" s="760"/>
      <c r="M242" s="760"/>
      <c r="N242" s="760"/>
      <c r="O242" s="760"/>
      <c r="P242" s="760"/>
      <c r="Q242" s="760"/>
      <c r="R242" s="760"/>
      <c r="S242" s="760"/>
      <c r="T242" s="760"/>
      <c r="U242" s="760"/>
      <c r="V242" s="760"/>
      <c r="W242" s="760"/>
      <c r="X242" s="760"/>
      <c r="Y242" s="760"/>
      <c r="Z242" s="760"/>
      <c r="AA242" s="760"/>
      <c r="AB242" s="760"/>
      <c r="AC242" s="760"/>
    </row>
    <row r="243" ht="15.75" customHeight="1">
      <c r="A243" s="760"/>
      <c r="B243" s="760"/>
      <c r="C243" s="760"/>
      <c r="D243" s="760"/>
      <c r="E243" s="760"/>
      <c r="F243" s="759"/>
      <c r="G243" s="759"/>
      <c r="H243" s="759"/>
      <c r="I243" s="759"/>
      <c r="J243" s="759"/>
      <c r="K243" s="759"/>
      <c r="L243" s="760"/>
      <c r="M243" s="760"/>
      <c r="N243" s="760"/>
      <c r="O243" s="760"/>
      <c r="P243" s="760"/>
      <c r="Q243" s="760"/>
      <c r="R243" s="760"/>
      <c r="S243" s="760"/>
      <c r="T243" s="760"/>
      <c r="U243" s="760"/>
      <c r="V243" s="760"/>
      <c r="W243" s="760"/>
      <c r="X243" s="760"/>
      <c r="Y243" s="760"/>
      <c r="Z243" s="760"/>
      <c r="AA243" s="760"/>
      <c r="AB243" s="760"/>
      <c r="AC243" s="760"/>
    </row>
    <row r="244" ht="15.75" customHeight="1">
      <c r="A244" s="760"/>
      <c r="B244" s="760"/>
      <c r="C244" s="760"/>
      <c r="D244" s="760"/>
      <c r="E244" s="760"/>
      <c r="F244" s="759"/>
      <c r="G244" s="759"/>
      <c r="H244" s="759"/>
      <c r="I244" s="759"/>
      <c r="J244" s="759"/>
      <c r="K244" s="759"/>
      <c r="L244" s="760"/>
      <c r="M244" s="760"/>
      <c r="N244" s="760"/>
      <c r="O244" s="760"/>
      <c r="P244" s="760"/>
      <c r="Q244" s="760"/>
      <c r="R244" s="760"/>
      <c r="S244" s="760"/>
      <c r="T244" s="760"/>
      <c r="U244" s="760"/>
      <c r="V244" s="760"/>
      <c r="W244" s="760"/>
      <c r="X244" s="760"/>
      <c r="Y244" s="760"/>
      <c r="Z244" s="760"/>
      <c r="AA244" s="760"/>
      <c r="AB244" s="760"/>
      <c r="AC244" s="760"/>
    </row>
    <row r="245" ht="15.75" customHeight="1">
      <c r="A245" s="760"/>
      <c r="B245" s="760"/>
      <c r="C245" s="760"/>
      <c r="D245" s="760"/>
      <c r="E245" s="760"/>
      <c r="F245" s="759"/>
      <c r="G245" s="759"/>
      <c r="H245" s="759"/>
      <c r="I245" s="759"/>
      <c r="J245" s="759"/>
      <c r="K245" s="759"/>
      <c r="L245" s="760"/>
      <c r="M245" s="760"/>
      <c r="N245" s="760"/>
      <c r="O245" s="760"/>
      <c r="P245" s="760"/>
      <c r="Q245" s="760"/>
      <c r="R245" s="760"/>
      <c r="S245" s="760"/>
      <c r="T245" s="760"/>
      <c r="U245" s="760"/>
      <c r="V245" s="760"/>
      <c r="W245" s="760"/>
      <c r="X245" s="760"/>
      <c r="Y245" s="760"/>
      <c r="Z245" s="760"/>
      <c r="AA245" s="760"/>
      <c r="AB245" s="760"/>
      <c r="AC245" s="760"/>
    </row>
    <row r="246" ht="15.75" customHeight="1">
      <c r="A246" s="760"/>
      <c r="B246" s="760"/>
      <c r="C246" s="760"/>
      <c r="D246" s="760"/>
      <c r="E246" s="760"/>
      <c r="F246" s="759"/>
      <c r="G246" s="759"/>
      <c r="H246" s="759"/>
      <c r="I246" s="759"/>
      <c r="J246" s="759"/>
      <c r="K246" s="759"/>
      <c r="L246" s="760"/>
      <c r="M246" s="760"/>
      <c r="N246" s="760"/>
      <c r="O246" s="760"/>
      <c r="P246" s="760"/>
      <c r="Q246" s="760"/>
      <c r="R246" s="760"/>
      <c r="S246" s="760"/>
      <c r="T246" s="760"/>
      <c r="U246" s="760"/>
      <c r="V246" s="760"/>
      <c r="W246" s="760"/>
      <c r="X246" s="760"/>
      <c r="Y246" s="760"/>
      <c r="Z246" s="760"/>
      <c r="AA246" s="760"/>
      <c r="AB246" s="760"/>
      <c r="AC246" s="760"/>
    </row>
    <row r="247" ht="15.75" customHeight="1">
      <c r="A247" s="760"/>
      <c r="B247" s="760"/>
      <c r="C247" s="760"/>
      <c r="D247" s="760"/>
      <c r="E247" s="760"/>
      <c r="F247" s="759"/>
      <c r="G247" s="759"/>
      <c r="H247" s="759"/>
      <c r="I247" s="759"/>
      <c r="J247" s="759"/>
      <c r="K247" s="759"/>
      <c r="L247" s="760"/>
      <c r="M247" s="760"/>
      <c r="N247" s="760"/>
      <c r="O247" s="760"/>
      <c r="P247" s="760"/>
      <c r="Q247" s="760"/>
      <c r="R247" s="760"/>
      <c r="S247" s="760"/>
      <c r="T247" s="760"/>
      <c r="U247" s="760"/>
      <c r="V247" s="760"/>
      <c r="W247" s="760"/>
      <c r="X247" s="760"/>
      <c r="Y247" s="760"/>
      <c r="Z247" s="760"/>
      <c r="AA247" s="760"/>
      <c r="AB247" s="760"/>
      <c r="AC247" s="760"/>
    </row>
    <row r="248" ht="15.75" customHeight="1">
      <c r="A248" s="760"/>
      <c r="B248" s="760"/>
      <c r="C248" s="760"/>
      <c r="D248" s="760"/>
      <c r="E248" s="760"/>
      <c r="F248" s="759"/>
      <c r="G248" s="759"/>
      <c r="H248" s="759"/>
      <c r="I248" s="759"/>
      <c r="J248" s="759"/>
      <c r="K248" s="759"/>
      <c r="L248" s="760"/>
      <c r="M248" s="760"/>
      <c r="N248" s="760"/>
      <c r="O248" s="760"/>
      <c r="P248" s="760"/>
      <c r="Q248" s="760"/>
      <c r="R248" s="760"/>
      <c r="S248" s="760"/>
      <c r="T248" s="760"/>
      <c r="U248" s="760"/>
      <c r="V248" s="760"/>
      <c r="W248" s="760"/>
      <c r="X248" s="760"/>
      <c r="Y248" s="760"/>
      <c r="Z248" s="760"/>
      <c r="AA248" s="760"/>
      <c r="AB248" s="760"/>
      <c r="AC248" s="760"/>
    </row>
    <row r="249" ht="15.75" customHeight="1">
      <c r="A249" s="760"/>
      <c r="B249" s="760"/>
      <c r="C249" s="760"/>
      <c r="D249" s="760"/>
      <c r="E249" s="760"/>
      <c r="F249" s="759"/>
      <c r="G249" s="759"/>
      <c r="H249" s="759"/>
      <c r="I249" s="759"/>
      <c r="J249" s="759"/>
      <c r="K249" s="759"/>
      <c r="L249" s="760"/>
      <c r="M249" s="760"/>
      <c r="N249" s="760"/>
      <c r="O249" s="760"/>
      <c r="P249" s="760"/>
      <c r="Q249" s="760"/>
      <c r="R249" s="760"/>
      <c r="S249" s="760"/>
      <c r="T249" s="760"/>
      <c r="U249" s="760"/>
      <c r="V249" s="760"/>
      <c r="W249" s="760"/>
      <c r="X249" s="760"/>
      <c r="Y249" s="760"/>
      <c r="Z249" s="760"/>
      <c r="AA249" s="760"/>
      <c r="AB249" s="760"/>
      <c r="AC249" s="760"/>
    </row>
    <row r="250" ht="15.75" customHeight="1">
      <c r="A250" s="760"/>
      <c r="B250" s="760"/>
      <c r="C250" s="760"/>
      <c r="D250" s="760"/>
      <c r="E250" s="760"/>
      <c r="F250" s="759"/>
      <c r="G250" s="759"/>
      <c r="H250" s="759"/>
      <c r="I250" s="759"/>
      <c r="J250" s="759"/>
      <c r="K250" s="759"/>
      <c r="L250" s="760"/>
      <c r="M250" s="760"/>
      <c r="N250" s="760"/>
      <c r="O250" s="760"/>
      <c r="P250" s="760"/>
      <c r="Q250" s="760"/>
      <c r="R250" s="760"/>
      <c r="S250" s="760"/>
      <c r="T250" s="760"/>
      <c r="U250" s="760"/>
      <c r="V250" s="760"/>
      <c r="W250" s="760"/>
      <c r="X250" s="760"/>
      <c r="Y250" s="760"/>
      <c r="Z250" s="760"/>
      <c r="AA250" s="760"/>
      <c r="AB250" s="760"/>
      <c r="AC250" s="760"/>
    </row>
    <row r="251" ht="15.75" customHeight="1">
      <c r="A251" s="760"/>
      <c r="B251" s="760"/>
      <c r="C251" s="760"/>
      <c r="D251" s="760"/>
      <c r="E251" s="760"/>
      <c r="F251" s="759"/>
      <c r="G251" s="759"/>
      <c r="H251" s="759"/>
      <c r="I251" s="759"/>
      <c r="J251" s="759"/>
      <c r="K251" s="759"/>
      <c r="L251" s="760"/>
      <c r="M251" s="760"/>
      <c r="N251" s="760"/>
      <c r="O251" s="760"/>
      <c r="P251" s="760"/>
      <c r="Q251" s="760"/>
      <c r="R251" s="760"/>
      <c r="S251" s="760"/>
      <c r="T251" s="760"/>
      <c r="U251" s="760"/>
      <c r="V251" s="760"/>
      <c r="W251" s="760"/>
      <c r="X251" s="760"/>
      <c r="Y251" s="760"/>
      <c r="Z251" s="760"/>
      <c r="AA251" s="760"/>
      <c r="AB251" s="760"/>
      <c r="AC251" s="760"/>
    </row>
    <row r="252" ht="15.75" customHeight="1">
      <c r="A252" s="760"/>
      <c r="B252" s="760"/>
      <c r="C252" s="760"/>
      <c r="D252" s="760"/>
      <c r="E252" s="760"/>
      <c r="F252" s="759"/>
      <c r="G252" s="759"/>
      <c r="H252" s="759"/>
      <c r="I252" s="759"/>
      <c r="J252" s="759"/>
      <c r="K252" s="759"/>
      <c r="L252" s="760"/>
      <c r="M252" s="760"/>
      <c r="N252" s="760"/>
      <c r="O252" s="760"/>
      <c r="P252" s="760"/>
      <c r="Q252" s="760"/>
      <c r="R252" s="760"/>
      <c r="S252" s="760"/>
      <c r="T252" s="760"/>
      <c r="U252" s="760"/>
      <c r="V252" s="760"/>
      <c r="W252" s="760"/>
      <c r="X252" s="760"/>
      <c r="Y252" s="760"/>
      <c r="Z252" s="760"/>
      <c r="AA252" s="760"/>
      <c r="AB252" s="760"/>
      <c r="AC252" s="760"/>
    </row>
    <row r="253" ht="15.75" customHeight="1">
      <c r="A253" s="760"/>
      <c r="B253" s="760"/>
      <c r="C253" s="760"/>
      <c r="D253" s="760"/>
      <c r="E253" s="760"/>
      <c r="F253" s="759"/>
      <c r="G253" s="759"/>
      <c r="H253" s="759"/>
      <c r="I253" s="759"/>
      <c r="J253" s="759"/>
      <c r="K253" s="759"/>
      <c r="L253" s="760"/>
      <c r="M253" s="760"/>
      <c r="N253" s="760"/>
      <c r="O253" s="760"/>
      <c r="P253" s="760"/>
      <c r="Q253" s="760"/>
      <c r="R253" s="760"/>
      <c r="S253" s="760"/>
      <c r="T253" s="760"/>
      <c r="U253" s="760"/>
      <c r="V253" s="760"/>
      <c r="W253" s="760"/>
      <c r="X253" s="760"/>
      <c r="Y253" s="760"/>
      <c r="Z253" s="760"/>
      <c r="AA253" s="760"/>
      <c r="AB253" s="760"/>
      <c r="AC253" s="760"/>
    </row>
    <row r="254" ht="15.75" customHeight="1">
      <c r="A254" s="760"/>
      <c r="B254" s="760"/>
      <c r="C254" s="760"/>
      <c r="D254" s="760"/>
      <c r="E254" s="760"/>
      <c r="F254" s="759"/>
      <c r="G254" s="759"/>
      <c r="H254" s="759"/>
      <c r="I254" s="759"/>
      <c r="J254" s="759"/>
      <c r="K254" s="759"/>
      <c r="L254" s="760"/>
      <c r="M254" s="760"/>
      <c r="N254" s="760"/>
      <c r="O254" s="760"/>
      <c r="P254" s="760"/>
      <c r="Q254" s="760"/>
      <c r="R254" s="760"/>
      <c r="S254" s="760"/>
      <c r="T254" s="760"/>
      <c r="U254" s="760"/>
      <c r="V254" s="760"/>
      <c r="W254" s="760"/>
      <c r="X254" s="760"/>
      <c r="Y254" s="760"/>
      <c r="Z254" s="760"/>
      <c r="AA254" s="760"/>
      <c r="AB254" s="760"/>
      <c r="AC254" s="760"/>
    </row>
    <row r="255" ht="15.75" customHeight="1">
      <c r="A255" s="760"/>
      <c r="B255" s="760"/>
      <c r="C255" s="760"/>
      <c r="D255" s="760"/>
      <c r="E255" s="760"/>
      <c r="F255" s="759"/>
      <c r="G255" s="759"/>
      <c r="H255" s="759"/>
      <c r="I255" s="759"/>
      <c r="J255" s="759"/>
      <c r="K255" s="759"/>
      <c r="L255" s="760"/>
      <c r="M255" s="760"/>
      <c r="N255" s="760"/>
      <c r="O255" s="760"/>
      <c r="P255" s="760"/>
      <c r="Q255" s="760"/>
      <c r="R255" s="760"/>
      <c r="S255" s="760"/>
      <c r="T255" s="760"/>
      <c r="U255" s="760"/>
      <c r="V255" s="760"/>
      <c r="W255" s="760"/>
      <c r="X255" s="760"/>
      <c r="Y255" s="760"/>
      <c r="Z255" s="760"/>
      <c r="AA255" s="760"/>
      <c r="AB255" s="760"/>
      <c r="AC255" s="760"/>
    </row>
    <row r="256" ht="15.75" customHeight="1">
      <c r="A256" s="760"/>
      <c r="B256" s="760"/>
      <c r="C256" s="760"/>
      <c r="D256" s="760"/>
      <c r="E256" s="760"/>
      <c r="F256" s="759"/>
      <c r="G256" s="759"/>
      <c r="H256" s="759"/>
      <c r="I256" s="759"/>
      <c r="J256" s="759"/>
      <c r="K256" s="759"/>
      <c r="L256" s="760"/>
      <c r="M256" s="760"/>
      <c r="N256" s="760"/>
      <c r="O256" s="760"/>
      <c r="P256" s="760"/>
      <c r="Q256" s="760"/>
      <c r="R256" s="760"/>
      <c r="S256" s="760"/>
      <c r="T256" s="760"/>
      <c r="U256" s="760"/>
      <c r="V256" s="760"/>
      <c r="W256" s="760"/>
      <c r="X256" s="760"/>
      <c r="Y256" s="760"/>
      <c r="Z256" s="760"/>
      <c r="AA256" s="760"/>
      <c r="AB256" s="760"/>
      <c r="AC256" s="760"/>
    </row>
    <row r="257" ht="15.75" customHeight="1">
      <c r="A257" s="760"/>
      <c r="B257" s="760"/>
      <c r="C257" s="760"/>
      <c r="D257" s="760"/>
      <c r="E257" s="760"/>
      <c r="F257" s="759"/>
      <c r="G257" s="759"/>
      <c r="H257" s="759"/>
      <c r="I257" s="759"/>
      <c r="J257" s="759"/>
      <c r="K257" s="759"/>
      <c r="L257" s="760"/>
      <c r="M257" s="760"/>
      <c r="N257" s="760"/>
      <c r="O257" s="760"/>
      <c r="P257" s="760"/>
      <c r="Q257" s="760"/>
      <c r="R257" s="760"/>
      <c r="S257" s="760"/>
      <c r="T257" s="760"/>
      <c r="U257" s="760"/>
      <c r="V257" s="760"/>
      <c r="W257" s="760"/>
      <c r="X257" s="760"/>
      <c r="Y257" s="760"/>
      <c r="Z257" s="760"/>
      <c r="AA257" s="760"/>
      <c r="AB257" s="760"/>
      <c r="AC257" s="760"/>
    </row>
    <row r="258" ht="15.75" customHeight="1">
      <c r="A258" s="760"/>
      <c r="B258" s="760"/>
      <c r="C258" s="760"/>
      <c r="D258" s="760"/>
      <c r="E258" s="760"/>
      <c r="F258" s="759"/>
      <c r="G258" s="759"/>
      <c r="H258" s="759"/>
      <c r="I258" s="759"/>
      <c r="J258" s="759"/>
      <c r="K258" s="759"/>
      <c r="L258" s="760"/>
      <c r="M258" s="760"/>
      <c r="N258" s="760"/>
      <c r="O258" s="760"/>
      <c r="P258" s="760"/>
      <c r="Q258" s="760"/>
      <c r="R258" s="760"/>
      <c r="S258" s="760"/>
      <c r="T258" s="760"/>
      <c r="U258" s="760"/>
      <c r="V258" s="760"/>
      <c r="W258" s="760"/>
      <c r="X258" s="760"/>
      <c r="Y258" s="760"/>
      <c r="Z258" s="760"/>
      <c r="AA258" s="760"/>
      <c r="AB258" s="760"/>
      <c r="AC258" s="760"/>
    </row>
    <row r="259" ht="15.75" customHeight="1">
      <c r="A259" s="760"/>
      <c r="B259" s="760"/>
      <c r="C259" s="760"/>
      <c r="D259" s="760"/>
      <c r="E259" s="760"/>
      <c r="F259" s="759"/>
      <c r="G259" s="759"/>
      <c r="H259" s="759"/>
      <c r="I259" s="759"/>
      <c r="J259" s="759"/>
      <c r="K259" s="759"/>
      <c r="L259" s="760"/>
      <c r="M259" s="760"/>
      <c r="N259" s="760"/>
      <c r="O259" s="760"/>
      <c r="P259" s="760"/>
      <c r="Q259" s="760"/>
      <c r="R259" s="760"/>
      <c r="S259" s="760"/>
      <c r="T259" s="760"/>
      <c r="U259" s="760"/>
      <c r="V259" s="760"/>
      <c r="W259" s="760"/>
      <c r="X259" s="760"/>
      <c r="Y259" s="760"/>
      <c r="Z259" s="760"/>
      <c r="AA259" s="760"/>
      <c r="AB259" s="760"/>
      <c r="AC259" s="760"/>
    </row>
    <row r="260" ht="15.75" customHeight="1">
      <c r="A260" s="760"/>
      <c r="B260" s="760"/>
      <c r="C260" s="760"/>
      <c r="D260" s="760"/>
      <c r="E260" s="760"/>
      <c r="F260" s="759"/>
      <c r="G260" s="759"/>
      <c r="H260" s="759"/>
      <c r="I260" s="759"/>
      <c r="J260" s="759"/>
      <c r="K260" s="759"/>
      <c r="L260" s="760"/>
      <c r="M260" s="760"/>
      <c r="N260" s="760"/>
      <c r="O260" s="760"/>
      <c r="P260" s="760"/>
      <c r="Q260" s="760"/>
      <c r="R260" s="760"/>
      <c r="S260" s="760"/>
      <c r="T260" s="760"/>
      <c r="U260" s="760"/>
      <c r="V260" s="760"/>
      <c r="W260" s="760"/>
      <c r="X260" s="760"/>
      <c r="Y260" s="760"/>
      <c r="Z260" s="760"/>
      <c r="AA260" s="760"/>
      <c r="AB260" s="760"/>
      <c r="AC260" s="760"/>
    </row>
    <row r="261" ht="15.75" customHeight="1">
      <c r="A261" s="760"/>
      <c r="B261" s="760"/>
      <c r="C261" s="760"/>
      <c r="D261" s="760"/>
      <c r="E261" s="760"/>
      <c r="F261" s="759"/>
      <c r="G261" s="759"/>
      <c r="H261" s="759"/>
      <c r="I261" s="759"/>
      <c r="J261" s="759"/>
      <c r="K261" s="759"/>
      <c r="L261" s="760"/>
      <c r="M261" s="760"/>
      <c r="N261" s="760"/>
      <c r="O261" s="760"/>
      <c r="P261" s="760"/>
      <c r="Q261" s="760"/>
      <c r="R261" s="760"/>
      <c r="S261" s="760"/>
      <c r="T261" s="760"/>
      <c r="U261" s="760"/>
      <c r="V261" s="760"/>
      <c r="W261" s="760"/>
      <c r="X261" s="760"/>
      <c r="Y261" s="760"/>
      <c r="Z261" s="760"/>
      <c r="AA261" s="760"/>
      <c r="AB261" s="760"/>
      <c r="AC261" s="760"/>
    </row>
    <row r="262" ht="15.75" customHeight="1">
      <c r="A262" s="760"/>
      <c r="B262" s="760"/>
      <c r="C262" s="760"/>
      <c r="D262" s="760"/>
      <c r="E262" s="760"/>
      <c r="F262" s="759"/>
      <c r="G262" s="759"/>
      <c r="H262" s="759"/>
      <c r="I262" s="759"/>
      <c r="J262" s="759"/>
      <c r="K262" s="759"/>
      <c r="L262" s="760"/>
      <c r="M262" s="760"/>
      <c r="N262" s="760"/>
      <c r="O262" s="760"/>
      <c r="P262" s="760"/>
      <c r="Q262" s="760"/>
      <c r="R262" s="760"/>
      <c r="S262" s="760"/>
      <c r="T262" s="760"/>
      <c r="U262" s="760"/>
      <c r="V262" s="760"/>
      <c r="W262" s="760"/>
      <c r="X262" s="760"/>
      <c r="Y262" s="760"/>
      <c r="Z262" s="760"/>
      <c r="AA262" s="760"/>
      <c r="AB262" s="760"/>
      <c r="AC262" s="760"/>
    </row>
    <row r="263" ht="15.75" customHeight="1">
      <c r="A263" s="760"/>
      <c r="B263" s="760"/>
      <c r="C263" s="760"/>
      <c r="D263" s="760"/>
      <c r="E263" s="760"/>
      <c r="F263" s="759"/>
      <c r="G263" s="759"/>
      <c r="H263" s="759"/>
      <c r="I263" s="759"/>
      <c r="J263" s="759"/>
      <c r="K263" s="759"/>
      <c r="L263" s="760"/>
      <c r="M263" s="760"/>
      <c r="N263" s="760"/>
      <c r="O263" s="760"/>
      <c r="P263" s="760"/>
      <c r="Q263" s="760"/>
      <c r="R263" s="760"/>
      <c r="S263" s="760"/>
      <c r="T263" s="760"/>
      <c r="U263" s="760"/>
      <c r="V263" s="760"/>
      <c r="W263" s="760"/>
      <c r="X263" s="760"/>
      <c r="Y263" s="760"/>
      <c r="Z263" s="760"/>
      <c r="AA263" s="760"/>
      <c r="AB263" s="760"/>
      <c r="AC263" s="760"/>
    </row>
    <row r="264" ht="15.75" customHeight="1">
      <c r="A264" s="760"/>
      <c r="B264" s="760"/>
      <c r="C264" s="760"/>
      <c r="D264" s="760"/>
      <c r="E264" s="760"/>
      <c r="F264" s="759"/>
      <c r="G264" s="759"/>
      <c r="H264" s="759"/>
      <c r="I264" s="759"/>
      <c r="J264" s="759"/>
      <c r="K264" s="759"/>
      <c r="L264" s="760"/>
      <c r="M264" s="760"/>
      <c r="N264" s="760"/>
      <c r="O264" s="760"/>
      <c r="P264" s="760"/>
      <c r="Q264" s="760"/>
      <c r="R264" s="760"/>
      <c r="S264" s="760"/>
      <c r="T264" s="760"/>
      <c r="U264" s="760"/>
      <c r="V264" s="760"/>
      <c r="W264" s="760"/>
      <c r="X264" s="760"/>
      <c r="Y264" s="760"/>
      <c r="Z264" s="760"/>
      <c r="AA264" s="760"/>
      <c r="AB264" s="760"/>
      <c r="AC264" s="760"/>
    </row>
    <row r="265" ht="15.75" customHeight="1">
      <c r="A265" s="760"/>
      <c r="B265" s="760"/>
      <c r="C265" s="760"/>
      <c r="D265" s="760"/>
      <c r="E265" s="760"/>
      <c r="F265" s="759"/>
      <c r="G265" s="759"/>
      <c r="H265" s="759"/>
      <c r="I265" s="759"/>
      <c r="J265" s="759"/>
      <c r="K265" s="759"/>
      <c r="L265" s="760"/>
      <c r="M265" s="760"/>
      <c r="N265" s="760"/>
      <c r="O265" s="760"/>
      <c r="P265" s="760"/>
      <c r="Q265" s="760"/>
      <c r="R265" s="760"/>
      <c r="S265" s="760"/>
      <c r="T265" s="760"/>
      <c r="U265" s="760"/>
      <c r="V265" s="760"/>
      <c r="W265" s="760"/>
      <c r="X265" s="760"/>
      <c r="Y265" s="760"/>
      <c r="Z265" s="760"/>
      <c r="AA265" s="760"/>
      <c r="AB265" s="760"/>
      <c r="AC265" s="760"/>
    </row>
    <row r="266" ht="15.75" customHeight="1">
      <c r="A266" s="760"/>
      <c r="B266" s="760"/>
      <c r="C266" s="760"/>
      <c r="D266" s="760"/>
      <c r="E266" s="760"/>
      <c r="F266" s="759"/>
      <c r="G266" s="759"/>
      <c r="H266" s="759"/>
      <c r="I266" s="759"/>
      <c r="J266" s="759"/>
      <c r="K266" s="759"/>
      <c r="L266" s="760"/>
      <c r="M266" s="760"/>
      <c r="N266" s="760"/>
      <c r="O266" s="760"/>
      <c r="P266" s="760"/>
      <c r="Q266" s="760"/>
      <c r="R266" s="760"/>
      <c r="S266" s="760"/>
      <c r="T266" s="760"/>
      <c r="U266" s="760"/>
      <c r="V266" s="760"/>
      <c r="W266" s="760"/>
      <c r="X266" s="760"/>
      <c r="Y266" s="760"/>
      <c r="Z266" s="760"/>
      <c r="AA266" s="760"/>
      <c r="AB266" s="760"/>
      <c r="AC266" s="760"/>
    </row>
    <row r="267" ht="15.75" customHeight="1">
      <c r="A267" s="760"/>
      <c r="B267" s="760"/>
      <c r="C267" s="760"/>
      <c r="D267" s="760"/>
      <c r="E267" s="760"/>
      <c r="F267" s="759"/>
      <c r="G267" s="759"/>
      <c r="H267" s="759"/>
      <c r="I267" s="759"/>
      <c r="J267" s="759"/>
      <c r="K267" s="759"/>
      <c r="L267" s="760"/>
      <c r="M267" s="760"/>
      <c r="N267" s="760"/>
      <c r="O267" s="760"/>
      <c r="P267" s="760"/>
      <c r="Q267" s="760"/>
      <c r="R267" s="760"/>
      <c r="S267" s="760"/>
      <c r="T267" s="760"/>
      <c r="U267" s="760"/>
      <c r="V267" s="760"/>
      <c r="W267" s="760"/>
      <c r="X267" s="760"/>
      <c r="Y267" s="760"/>
      <c r="Z267" s="760"/>
      <c r="AA267" s="760"/>
      <c r="AB267" s="760"/>
      <c r="AC267" s="760"/>
    </row>
    <row r="268" ht="15.75" customHeight="1">
      <c r="A268" s="760"/>
      <c r="B268" s="760"/>
      <c r="C268" s="760"/>
      <c r="D268" s="760"/>
      <c r="E268" s="760"/>
      <c r="F268" s="759"/>
      <c r="G268" s="759"/>
      <c r="H268" s="759"/>
      <c r="I268" s="759"/>
      <c r="J268" s="759"/>
      <c r="K268" s="759"/>
      <c r="L268" s="760"/>
      <c r="M268" s="760"/>
      <c r="N268" s="760"/>
      <c r="O268" s="760"/>
      <c r="P268" s="760"/>
      <c r="Q268" s="760"/>
      <c r="R268" s="760"/>
      <c r="S268" s="760"/>
      <c r="T268" s="760"/>
      <c r="U268" s="760"/>
      <c r="V268" s="760"/>
      <c r="W268" s="760"/>
      <c r="X268" s="760"/>
      <c r="Y268" s="760"/>
      <c r="Z268" s="760"/>
      <c r="AA268" s="760"/>
      <c r="AB268" s="760"/>
      <c r="AC268" s="760"/>
    </row>
    <row r="269" ht="15.75" customHeight="1">
      <c r="A269" s="760"/>
      <c r="B269" s="760"/>
      <c r="C269" s="760"/>
      <c r="D269" s="760"/>
      <c r="E269" s="760"/>
      <c r="F269" s="759"/>
      <c r="G269" s="759"/>
      <c r="H269" s="759"/>
      <c r="I269" s="759"/>
      <c r="J269" s="759"/>
      <c r="K269" s="759"/>
      <c r="L269" s="760"/>
      <c r="M269" s="760"/>
      <c r="N269" s="760"/>
      <c r="O269" s="760"/>
      <c r="P269" s="760"/>
      <c r="Q269" s="760"/>
      <c r="R269" s="760"/>
      <c r="S269" s="760"/>
      <c r="T269" s="760"/>
      <c r="U269" s="760"/>
      <c r="V269" s="760"/>
      <c r="W269" s="760"/>
      <c r="X269" s="760"/>
      <c r="Y269" s="760"/>
      <c r="Z269" s="760"/>
      <c r="AA269" s="760"/>
      <c r="AB269" s="760"/>
      <c r="AC269" s="760"/>
    </row>
    <row r="270" ht="15.75" customHeight="1">
      <c r="A270" s="760"/>
      <c r="B270" s="760"/>
      <c r="C270" s="760"/>
      <c r="D270" s="760"/>
      <c r="E270" s="760"/>
      <c r="F270" s="759"/>
      <c r="G270" s="759"/>
      <c r="H270" s="759"/>
      <c r="I270" s="759"/>
      <c r="J270" s="759"/>
      <c r="K270" s="759"/>
      <c r="L270" s="760"/>
      <c r="M270" s="760"/>
      <c r="N270" s="760"/>
      <c r="O270" s="760"/>
      <c r="P270" s="760"/>
      <c r="Q270" s="760"/>
      <c r="R270" s="760"/>
      <c r="S270" s="760"/>
      <c r="T270" s="760"/>
      <c r="U270" s="760"/>
      <c r="V270" s="760"/>
      <c r="W270" s="760"/>
      <c r="X270" s="760"/>
      <c r="Y270" s="760"/>
      <c r="Z270" s="760"/>
      <c r="AA270" s="760"/>
      <c r="AB270" s="760"/>
      <c r="AC270" s="760"/>
    </row>
    <row r="271" ht="15.75" customHeight="1">
      <c r="A271" s="760"/>
      <c r="B271" s="760"/>
      <c r="C271" s="760"/>
      <c r="D271" s="760"/>
      <c r="E271" s="760"/>
      <c r="F271" s="759"/>
      <c r="G271" s="759"/>
      <c r="H271" s="759"/>
      <c r="I271" s="759"/>
      <c r="J271" s="759"/>
      <c r="K271" s="759"/>
      <c r="L271" s="760"/>
      <c r="M271" s="760"/>
      <c r="N271" s="760"/>
      <c r="O271" s="760"/>
      <c r="P271" s="760"/>
      <c r="Q271" s="760"/>
      <c r="R271" s="760"/>
      <c r="S271" s="760"/>
      <c r="T271" s="760"/>
      <c r="U271" s="760"/>
      <c r="V271" s="760"/>
      <c r="W271" s="760"/>
      <c r="X271" s="760"/>
      <c r="Y271" s="760"/>
      <c r="Z271" s="760"/>
      <c r="AA271" s="760"/>
      <c r="AB271" s="760"/>
      <c r="AC271" s="760"/>
    </row>
    <row r="272" ht="15.75" customHeight="1">
      <c r="A272" s="760"/>
      <c r="B272" s="760"/>
      <c r="C272" s="760"/>
      <c r="D272" s="760"/>
      <c r="E272" s="760"/>
      <c r="F272" s="759"/>
      <c r="G272" s="759"/>
      <c r="H272" s="759"/>
      <c r="I272" s="759"/>
      <c r="J272" s="759"/>
      <c r="K272" s="759"/>
      <c r="L272" s="760"/>
      <c r="M272" s="760"/>
      <c r="N272" s="760"/>
      <c r="O272" s="760"/>
      <c r="P272" s="760"/>
      <c r="Q272" s="760"/>
      <c r="R272" s="760"/>
      <c r="S272" s="760"/>
      <c r="T272" s="760"/>
      <c r="U272" s="760"/>
      <c r="V272" s="760"/>
      <c r="W272" s="760"/>
      <c r="X272" s="760"/>
      <c r="Y272" s="760"/>
      <c r="Z272" s="760"/>
      <c r="AA272" s="760"/>
      <c r="AB272" s="760"/>
      <c r="AC272" s="760"/>
    </row>
    <row r="273" ht="15.75" customHeight="1">
      <c r="A273" s="760"/>
      <c r="B273" s="760"/>
      <c r="C273" s="760"/>
      <c r="D273" s="760"/>
      <c r="E273" s="760"/>
      <c r="F273" s="759"/>
      <c r="G273" s="759"/>
      <c r="H273" s="759"/>
      <c r="I273" s="759"/>
      <c r="J273" s="759"/>
      <c r="K273" s="759"/>
      <c r="L273" s="760"/>
      <c r="M273" s="760"/>
      <c r="N273" s="760"/>
      <c r="O273" s="760"/>
      <c r="P273" s="760"/>
      <c r="Q273" s="760"/>
      <c r="R273" s="760"/>
      <c r="S273" s="760"/>
      <c r="T273" s="760"/>
      <c r="U273" s="760"/>
      <c r="V273" s="760"/>
      <c r="W273" s="760"/>
      <c r="X273" s="760"/>
      <c r="Y273" s="760"/>
      <c r="Z273" s="760"/>
      <c r="AA273" s="760"/>
      <c r="AB273" s="760"/>
      <c r="AC273" s="760"/>
    </row>
    <row r="274" ht="15.75" customHeight="1">
      <c r="A274" s="760"/>
      <c r="B274" s="760"/>
      <c r="C274" s="760"/>
      <c r="D274" s="760"/>
      <c r="E274" s="760"/>
      <c r="F274" s="759"/>
      <c r="G274" s="759"/>
      <c r="H274" s="759"/>
      <c r="I274" s="759"/>
      <c r="J274" s="759"/>
      <c r="K274" s="759"/>
      <c r="L274" s="760"/>
      <c r="M274" s="760"/>
      <c r="N274" s="760"/>
      <c r="O274" s="760"/>
      <c r="P274" s="760"/>
      <c r="Q274" s="760"/>
      <c r="R274" s="760"/>
      <c r="S274" s="760"/>
      <c r="T274" s="760"/>
      <c r="U274" s="760"/>
      <c r="V274" s="760"/>
      <c r="W274" s="760"/>
      <c r="X274" s="760"/>
      <c r="Y274" s="760"/>
      <c r="Z274" s="760"/>
      <c r="AA274" s="760"/>
      <c r="AB274" s="760"/>
      <c r="AC274" s="760"/>
    </row>
    <row r="275" ht="15.75" customHeight="1">
      <c r="A275" s="760"/>
      <c r="B275" s="760"/>
      <c r="C275" s="760"/>
      <c r="D275" s="760"/>
      <c r="E275" s="760"/>
      <c r="F275" s="759"/>
      <c r="G275" s="759"/>
      <c r="H275" s="759"/>
      <c r="I275" s="759"/>
      <c r="J275" s="759"/>
      <c r="K275" s="759"/>
      <c r="L275" s="760"/>
      <c r="M275" s="760"/>
      <c r="N275" s="760"/>
      <c r="O275" s="760"/>
      <c r="P275" s="760"/>
      <c r="Q275" s="760"/>
      <c r="R275" s="760"/>
      <c r="S275" s="760"/>
      <c r="T275" s="760"/>
      <c r="U275" s="760"/>
      <c r="V275" s="760"/>
      <c r="W275" s="760"/>
      <c r="X275" s="760"/>
      <c r="Y275" s="760"/>
      <c r="Z275" s="760"/>
      <c r="AA275" s="760"/>
      <c r="AB275" s="760"/>
      <c r="AC275" s="760"/>
    </row>
    <row r="276" ht="15.75" customHeight="1">
      <c r="A276" s="760"/>
      <c r="B276" s="760"/>
      <c r="C276" s="760"/>
      <c r="D276" s="760"/>
      <c r="E276" s="760"/>
      <c r="F276" s="759"/>
      <c r="G276" s="759"/>
      <c r="H276" s="759"/>
      <c r="I276" s="759"/>
      <c r="J276" s="759"/>
      <c r="K276" s="759"/>
      <c r="L276" s="760"/>
      <c r="M276" s="760"/>
      <c r="N276" s="760"/>
      <c r="O276" s="760"/>
      <c r="P276" s="760"/>
      <c r="Q276" s="760"/>
      <c r="R276" s="760"/>
      <c r="S276" s="760"/>
      <c r="T276" s="760"/>
      <c r="U276" s="760"/>
      <c r="V276" s="760"/>
      <c r="W276" s="760"/>
      <c r="X276" s="760"/>
      <c r="Y276" s="760"/>
      <c r="Z276" s="760"/>
      <c r="AA276" s="760"/>
      <c r="AB276" s="760"/>
      <c r="AC276" s="760"/>
    </row>
    <row r="277" ht="15.75" customHeight="1">
      <c r="A277" s="760"/>
      <c r="B277" s="760"/>
      <c r="C277" s="760"/>
      <c r="D277" s="760"/>
      <c r="E277" s="760"/>
      <c r="F277" s="759"/>
      <c r="G277" s="759"/>
      <c r="H277" s="759"/>
      <c r="I277" s="759"/>
      <c r="J277" s="759"/>
      <c r="K277" s="759"/>
      <c r="L277" s="760"/>
      <c r="M277" s="760"/>
      <c r="N277" s="760"/>
      <c r="O277" s="760"/>
      <c r="P277" s="760"/>
      <c r="Q277" s="760"/>
      <c r="R277" s="760"/>
      <c r="S277" s="760"/>
      <c r="T277" s="760"/>
      <c r="U277" s="760"/>
      <c r="V277" s="760"/>
      <c r="W277" s="760"/>
      <c r="X277" s="760"/>
      <c r="Y277" s="760"/>
      <c r="Z277" s="760"/>
      <c r="AA277" s="760"/>
      <c r="AB277" s="760"/>
      <c r="AC277" s="760"/>
    </row>
    <row r="278" ht="15.75" customHeight="1">
      <c r="A278" s="760"/>
      <c r="B278" s="760"/>
      <c r="C278" s="760"/>
      <c r="D278" s="760"/>
      <c r="E278" s="760"/>
      <c r="F278" s="759"/>
      <c r="G278" s="759"/>
      <c r="H278" s="759"/>
      <c r="I278" s="759"/>
      <c r="J278" s="759"/>
      <c r="K278" s="759"/>
      <c r="L278" s="760"/>
      <c r="M278" s="760"/>
      <c r="N278" s="760"/>
      <c r="O278" s="760"/>
      <c r="P278" s="760"/>
      <c r="Q278" s="760"/>
      <c r="R278" s="760"/>
      <c r="S278" s="760"/>
      <c r="T278" s="760"/>
      <c r="U278" s="760"/>
      <c r="V278" s="760"/>
      <c r="W278" s="760"/>
      <c r="X278" s="760"/>
      <c r="Y278" s="760"/>
      <c r="Z278" s="760"/>
      <c r="AA278" s="760"/>
      <c r="AB278" s="760"/>
      <c r="AC278" s="760"/>
    </row>
    <row r="279" ht="15.75" customHeight="1">
      <c r="A279" s="760"/>
      <c r="B279" s="760"/>
      <c r="C279" s="760"/>
      <c r="D279" s="760"/>
      <c r="E279" s="760"/>
      <c r="F279" s="759"/>
      <c r="G279" s="759"/>
      <c r="H279" s="759"/>
      <c r="I279" s="759"/>
      <c r="J279" s="759"/>
      <c r="K279" s="759"/>
      <c r="L279" s="760"/>
      <c r="M279" s="760"/>
      <c r="N279" s="760"/>
      <c r="O279" s="760"/>
      <c r="P279" s="760"/>
      <c r="Q279" s="760"/>
      <c r="R279" s="760"/>
      <c r="S279" s="760"/>
      <c r="T279" s="760"/>
      <c r="U279" s="760"/>
      <c r="V279" s="760"/>
      <c r="W279" s="760"/>
      <c r="X279" s="760"/>
      <c r="Y279" s="760"/>
      <c r="Z279" s="760"/>
      <c r="AA279" s="760"/>
      <c r="AB279" s="760"/>
      <c r="AC279" s="760"/>
    </row>
    <row r="280" ht="15.75" customHeight="1">
      <c r="A280" s="760"/>
      <c r="B280" s="760"/>
      <c r="C280" s="760"/>
      <c r="D280" s="760"/>
      <c r="E280" s="760"/>
      <c r="F280" s="759"/>
      <c r="G280" s="759"/>
      <c r="H280" s="759"/>
      <c r="I280" s="759"/>
      <c r="J280" s="759"/>
      <c r="K280" s="759"/>
      <c r="L280" s="760"/>
      <c r="M280" s="760"/>
      <c r="N280" s="760"/>
      <c r="O280" s="760"/>
      <c r="P280" s="760"/>
      <c r="Q280" s="760"/>
      <c r="R280" s="760"/>
      <c r="S280" s="760"/>
      <c r="T280" s="760"/>
      <c r="U280" s="760"/>
      <c r="V280" s="760"/>
      <c r="W280" s="760"/>
      <c r="X280" s="760"/>
      <c r="Y280" s="760"/>
      <c r="Z280" s="760"/>
      <c r="AA280" s="760"/>
      <c r="AB280" s="760"/>
      <c r="AC280" s="760"/>
    </row>
    <row r="281" ht="15.75" customHeight="1">
      <c r="A281" s="760"/>
      <c r="B281" s="760"/>
      <c r="C281" s="760"/>
      <c r="D281" s="760"/>
      <c r="E281" s="760"/>
      <c r="F281" s="759"/>
      <c r="G281" s="759"/>
      <c r="H281" s="759"/>
      <c r="I281" s="759"/>
      <c r="J281" s="759"/>
      <c r="K281" s="759"/>
      <c r="L281" s="760"/>
      <c r="M281" s="760"/>
      <c r="N281" s="760"/>
      <c r="O281" s="760"/>
      <c r="P281" s="760"/>
      <c r="Q281" s="760"/>
      <c r="R281" s="760"/>
      <c r="S281" s="760"/>
      <c r="T281" s="760"/>
      <c r="U281" s="760"/>
      <c r="V281" s="760"/>
      <c r="W281" s="760"/>
      <c r="X281" s="760"/>
      <c r="Y281" s="760"/>
      <c r="Z281" s="760"/>
      <c r="AA281" s="760"/>
      <c r="AB281" s="760"/>
      <c r="AC281" s="760"/>
    </row>
    <row r="282" ht="15.75" customHeight="1">
      <c r="A282" s="760"/>
      <c r="B282" s="760"/>
      <c r="C282" s="760"/>
      <c r="D282" s="760"/>
      <c r="E282" s="760"/>
      <c r="F282" s="759"/>
      <c r="G282" s="759"/>
      <c r="H282" s="759"/>
      <c r="I282" s="759"/>
      <c r="J282" s="759"/>
      <c r="K282" s="759"/>
      <c r="L282" s="760"/>
      <c r="M282" s="760"/>
      <c r="N282" s="760"/>
      <c r="O282" s="760"/>
      <c r="P282" s="760"/>
      <c r="Q282" s="760"/>
      <c r="R282" s="760"/>
      <c r="S282" s="760"/>
      <c r="T282" s="760"/>
      <c r="U282" s="760"/>
      <c r="V282" s="760"/>
      <c r="W282" s="760"/>
      <c r="X282" s="760"/>
      <c r="Y282" s="760"/>
      <c r="Z282" s="760"/>
      <c r="AA282" s="760"/>
      <c r="AB282" s="760"/>
      <c r="AC282" s="760"/>
    </row>
    <row r="283" ht="15.75" customHeight="1">
      <c r="A283" s="760"/>
      <c r="B283" s="760"/>
      <c r="C283" s="760"/>
      <c r="D283" s="760"/>
      <c r="E283" s="760"/>
      <c r="F283" s="759"/>
      <c r="G283" s="759"/>
      <c r="H283" s="759"/>
      <c r="I283" s="759"/>
      <c r="J283" s="759"/>
      <c r="K283" s="759"/>
      <c r="L283" s="760"/>
      <c r="M283" s="760"/>
      <c r="N283" s="760"/>
      <c r="O283" s="760"/>
      <c r="P283" s="760"/>
      <c r="Q283" s="760"/>
      <c r="R283" s="760"/>
      <c r="S283" s="760"/>
      <c r="T283" s="760"/>
      <c r="U283" s="760"/>
      <c r="V283" s="760"/>
      <c r="W283" s="760"/>
      <c r="X283" s="760"/>
      <c r="Y283" s="760"/>
      <c r="Z283" s="760"/>
      <c r="AA283" s="760"/>
      <c r="AB283" s="760"/>
      <c r="AC283" s="760"/>
    </row>
    <row r="284" ht="15.75" customHeight="1">
      <c r="A284" s="760"/>
      <c r="B284" s="760"/>
      <c r="C284" s="760"/>
      <c r="D284" s="760"/>
      <c r="E284" s="760"/>
      <c r="F284" s="759"/>
      <c r="G284" s="759"/>
      <c r="H284" s="759"/>
      <c r="I284" s="759"/>
      <c r="J284" s="759"/>
      <c r="K284" s="759"/>
      <c r="L284" s="760"/>
      <c r="M284" s="760"/>
      <c r="N284" s="760"/>
      <c r="O284" s="760"/>
      <c r="P284" s="760"/>
      <c r="Q284" s="760"/>
      <c r="R284" s="760"/>
      <c r="S284" s="760"/>
      <c r="T284" s="760"/>
      <c r="U284" s="760"/>
      <c r="V284" s="760"/>
      <c r="W284" s="760"/>
      <c r="X284" s="760"/>
      <c r="Y284" s="760"/>
      <c r="Z284" s="760"/>
      <c r="AA284" s="760"/>
      <c r="AB284" s="760"/>
      <c r="AC284" s="760"/>
    </row>
    <row r="285" ht="15.75" customHeight="1">
      <c r="A285" s="760"/>
      <c r="B285" s="760"/>
      <c r="C285" s="760"/>
      <c r="D285" s="760"/>
      <c r="E285" s="760"/>
      <c r="F285" s="759"/>
      <c r="G285" s="759"/>
      <c r="H285" s="759"/>
      <c r="I285" s="759"/>
      <c r="J285" s="759"/>
      <c r="K285" s="759"/>
      <c r="L285" s="760"/>
      <c r="M285" s="760"/>
      <c r="N285" s="760"/>
      <c r="O285" s="760"/>
      <c r="P285" s="760"/>
      <c r="Q285" s="760"/>
      <c r="R285" s="760"/>
      <c r="S285" s="760"/>
      <c r="T285" s="760"/>
      <c r="U285" s="760"/>
      <c r="V285" s="760"/>
      <c r="W285" s="760"/>
      <c r="X285" s="760"/>
      <c r="Y285" s="760"/>
      <c r="Z285" s="760"/>
      <c r="AA285" s="760"/>
      <c r="AB285" s="760"/>
      <c r="AC285" s="760"/>
    </row>
    <row r="286" ht="15.75" customHeight="1">
      <c r="A286" s="760"/>
      <c r="B286" s="760"/>
      <c r="C286" s="760"/>
      <c r="D286" s="760"/>
      <c r="E286" s="760"/>
      <c r="F286" s="759"/>
      <c r="G286" s="759"/>
      <c r="H286" s="759"/>
      <c r="I286" s="759"/>
      <c r="J286" s="759"/>
      <c r="K286" s="759"/>
      <c r="L286" s="760"/>
      <c r="M286" s="760"/>
      <c r="N286" s="760"/>
      <c r="O286" s="760"/>
      <c r="P286" s="760"/>
      <c r="Q286" s="760"/>
      <c r="R286" s="760"/>
      <c r="S286" s="760"/>
      <c r="T286" s="760"/>
      <c r="U286" s="760"/>
      <c r="V286" s="760"/>
      <c r="W286" s="760"/>
      <c r="X286" s="760"/>
      <c r="Y286" s="760"/>
      <c r="Z286" s="760"/>
      <c r="AA286" s="760"/>
      <c r="AB286" s="760"/>
      <c r="AC286" s="760"/>
    </row>
    <row r="287" ht="15.75" customHeight="1">
      <c r="A287" s="760"/>
      <c r="B287" s="760"/>
      <c r="C287" s="760"/>
      <c r="D287" s="760"/>
      <c r="E287" s="760"/>
      <c r="F287" s="759"/>
      <c r="G287" s="759"/>
      <c r="H287" s="759"/>
      <c r="I287" s="759"/>
      <c r="J287" s="759"/>
      <c r="K287" s="759"/>
      <c r="L287" s="760"/>
      <c r="M287" s="760"/>
      <c r="N287" s="760"/>
      <c r="O287" s="760"/>
      <c r="P287" s="760"/>
      <c r="Q287" s="760"/>
      <c r="R287" s="760"/>
      <c r="S287" s="760"/>
      <c r="T287" s="760"/>
      <c r="U287" s="760"/>
      <c r="V287" s="760"/>
      <c r="W287" s="760"/>
      <c r="X287" s="760"/>
      <c r="Y287" s="760"/>
      <c r="Z287" s="760"/>
      <c r="AA287" s="760"/>
      <c r="AB287" s="760"/>
      <c r="AC287" s="760"/>
    </row>
    <row r="288" ht="15.75" customHeight="1">
      <c r="A288" s="760"/>
      <c r="B288" s="760"/>
      <c r="C288" s="760"/>
      <c r="D288" s="760"/>
      <c r="E288" s="760"/>
      <c r="F288" s="759"/>
      <c r="G288" s="759"/>
      <c r="H288" s="759"/>
      <c r="I288" s="759"/>
      <c r="J288" s="759"/>
      <c r="K288" s="759"/>
      <c r="L288" s="760"/>
      <c r="M288" s="760"/>
      <c r="N288" s="760"/>
      <c r="O288" s="760"/>
      <c r="P288" s="760"/>
      <c r="Q288" s="760"/>
      <c r="R288" s="760"/>
      <c r="S288" s="760"/>
      <c r="T288" s="760"/>
      <c r="U288" s="760"/>
      <c r="V288" s="760"/>
      <c r="W288" s="760"/>
      <c r="X288" s="760"/>
      <c r="Y288" s="760"/>
      <c r="Z288" s="760"/>
      <c r="AA288" s="760"/>
      <c r="AB288" s="760"/>
      <c r="AC288" s="760"/>
    </row>
    <row r="289" ht="15.75" customHeight="1">
      <c r="A289" s="760"/>
      <c r="B289" s="760"/>
      <c r="C289" s="760"/>
      <c r="D289" s="760"/>
      <c r="E289" s="760"/>
      <c r="F289" s="759"/>
      <c r="G289" s="759"/>
      <c r="H289" s="759"/>
      <c r="I289" s="759"/>
      <c r="J289" s="759"/>
      <c r="K289" s="759"/>
      <c r="L289" s="760"/>
      <c r="M289" s="760"/>
      <c r="N289" s="760"/>
      <c r="O289" s="760"/>
      <c r="P289" s="760"/>
      <c r="Q289" s="760"/>
      <c r="R289" s="760"/>
      <c r="S289" s="760"/>
      <c r="T289" s="760"/>
      <c r="U289" s="760"/>
      <c r="V289" s="760"/>
      <c r="W289" s="760"/>
      <c r="X289" s="760"/>
      <c r="Y289" s="760"/>
      <c r="Z289" s="760"/>
      <c r="AA289" s="760"/>
      <c r="AB289" s="760"/>
      <c r="AC289" s="760"/>
    </row>
    <row r="290" ht="15.75" customHeight="1">
      <c r="A290" s="760"/>
      <c r="B290" s="760"/>
      <c r="C290" s="760"/>
      <c r="D290" s="760"/>
      <c r="E290" s="760"/>
      <c r="F290" s="759"/>
      <c r="G290" s="759"/>
      <c r="H290" s="759"/>
      <c r="I290" s="759"/>
      <c r="J290" s="759"/>
      <c r="K290" s="759"/>
      <c r="L290" s="760"/>
      <c r="M290" s="760"/>
      <c r="N290" s="760"/>
      <c r="O290" s="760"/>
      <c r="P290" s="760"/>
      <c r="Q290" s="760"/>
      <c r="R290" s="760"/>
      <c r="S290" s="760"/>
      <c r="T290" s="760"/>
      <c r="U290" s="760"/>
      <c r="V290" s="760"/>
      <c r="W290" s="760"/>
      <c r="X290" s="760"/>
      <c r="Y290" s="760"/>
      <c r="Z290" s="760"/>
      <c r="AA290" s="760"/>
      <c r="AB290" s="760"/>
      <c r="AC290" s="760"/>
    </row>
    <row r="291" ht="15.75" customHeight="1">
      <c r="A291" s="760"/>
      <c r="B291" s="760"/>
      <c r="C291" s="760"/>
      <c r="D291" s="760"/>
      <c r="E291" s="760"/>
      <c r="F291" s="759"/>
      <c r="G291" s="759"/>
      <c r="H291" s="759"/>
      <c r="I291" s="759"/>
      <c r="J291" s="759"/>
      <c r="K291" s="759"/>
      <c r="L291" s="760"/>
      <c r="M291" s="760"/>
      <c r="N291" s="760"/>
      <c r="O291" s="760"/>
      <c r="P291" s="760"/>
      <c r="Q291" s="760"/>
      <c r="R291" s="760"/>
      <c r="S291" s="760"/>
      <c r="T291" s="760"/>
      <c r="U291" s="760"/>
      <c r="V291" s="760"/>
      <c r="W291" s="760"/>
      <c r="X291" s="760"/>
      <c r="Y291" s="760"/>
      <c r="Z291" s="760"/>
      <c r="AA291" s="760"/>
      <c r="AB291" s="760"/>
      <c r="AC291" s="760"/>
    </row>
    <row r="292" ht="15.75" customHeight="1">
      <c r="A292" s="760"/>
      <c r="B292" s="760"/>
      <c r="C292" s="760"/>
      <c r="D292" s="760"/>
      <c r="E292" s="760"/>
      <c r="F292" s="759"/>
      <c r="G292" s="759"/>
      <c r="H292" s="759"/>
      <c r="I292" s="759"/>
      <c r="J292" s="759"/>
      <c r="K292" s="759"/>
      <c r="L292" s="760"/>
      <c r="M292" s="760"/>
      <c r="N292" s="760"/>
      <c r="O292" s="760"/>
      <c r="P292" s="760"/>
      <c r="Q292" s="760"/>
      <c r="R292" s="760"/>
      <c r="S292" s="760"/>
      <c r="T292" s="760"/>
      <c r="U292" s="760"/>
      <c r="V292" s="760"/>
      <c r="W292" s="760"/>
      <c r="X292" s="760"/>
      <c r="Y292" s="760"/>
      <c r="Z292" s="760"/>
      <c r="AA292" s="760"/>
      <c r="AB292" s="760"/>
      <c r="AC292" s="760"/>
    </row>
    <row r="293" ht="15.75" customHeight="1">
      <c r="A293" s="760"/>
      <c r="B293" s="760"/>
      <c r="C293" s="760"/>
      <c r="D293" s="760"/>
      <c r="E293" s="760"/>
      <c r="F293" s="759"/>
      <c r="G293" s="759"/>
      <c r="H293" s="759"/>
      <c r="I293" s="759"/>
      <c r="J293" s="759"/>
      <c r="K293" s="759"/>
      <c r="L293" s="760"/>
      <c r="M293" s="760"/>
      <c r="N293" s="760"/>
      <c r="O293" s="760"/>
      <c r="P293" s="760"/>
      <c r="Q293" s="760"/>
      <c r="R293" s="760"/>
      <c r="S293" s="760"/>
      <c r="T293" s="760"/>
      <c r="U293" s="760"/>
      <c r="V293" s="760"/>
      <c r="W293" s="760"/>
      <c r="X293" s="760"/>
      <c r="Y293" s="760"/>
      <c r="Z293" s="760"/>
      <c r="AA293" s="760"/>
      <c r="AB293" s="760"/>
      <c r="AC293" s="760"/>
    </row>
    <row r="294" ht="15.75" customHeight="1">
      <c r="A294" s="760"/>
      <c r="B294" s="760"/>
      <c r="C294" s="760"/>
      <c r="D294" s="760"/>
      <c r="E294" s="760"/>
      <c r="F294" s="759"/>
      <c r="G294" s="759"/>
      <c r="H294" s="759"/>
      <c r="I294" s="759"/>
      <c r="J294" s="759"/>
      <c r="K294" s="759"/>
      <c r="L294" s="760"/>
      <c r="M294" s="760"/>
      <c r="N294" s="760"/>
      <c r="O294" s="760"/>
      <c r="P294" s="760"/>
      <c r="Q294" s="760"/>
      <c r="R294" s="760"/>
      <c r="S294" s="760"/>
      <c r="T294" s="760"/>
      <c r="U294" s="760"/>
      <c r="V294" s="760"/>
      <c r="W294" s="760"/>
      <c r="X294" s="760"/>
      <c r="Y294" s="760"/>
      <c r="Z294" s="760"/>
      <c r="AA294" s="760"/>
      <c r="AB294" s="760"/>
      <c r="AC294" s="760"/>
    </row>
    <row r="295" ht="15.75" customHeight="1">
      <c r="A295" s="760"/>
      <c r="B295" s="760"/>
      <c r="C295" s="760"/>
      <c r="D295" s="760"/>
      <c r="E295" s="760"/>
      <c r="F295" s="759"/>
      <c r="G295" s="759"/>
      <c r="H295" s="759"/>
      <c r="I295" s="759"/>
      <c r="J295" s="759"/>
      <c r="K295" s="759"/>
      <c r="L295" s="760"/>
      <c r="M295" s="760"/>
      <c r="N295" s="760"/>
      <c r="O295" s="760"/>
      <c r="P295" s="760"/>
      <c r="Q295" s="760"/>
      <c r="R295" s="760"/>
      <c r="S295" s="760"/>
      <c r="T295" s="760"/>
      <c r="U295" s="760"/>
      <c r="V295" s="760"/>
      <c r="W295" s="760"/>
      <c r="X295" s="760"/>
      <c r="Y295" s="760"/>
      <c r="Z295" s="760"/>
      <c r="AA295" s="760"/>
      <c r="AB295" s="760"/>
      <c r="AC295" s="760"/>
    </row>
    <row r="296" ht="15.75" customHeight="1">
      <c r="A296" s="760"/>
      <c r="B296" s="760"/>
      <c r="C296" s="760"/>
      <c r="D296" s="760"/>
      <c r="E296" s="760"/>
      <c r="F296" s="759"/>
      <c r="G296" s="759"/>
      <c r="H296" s="759"/>
      <c r="I296" s="759"/>
      <c r="J296" s="759"/>
      <c r="K296" s="759"/>
      <c r="L296" s="760"/>
      <c r="M296" s="760"/>
      <c r="N296" s="760"/>
      <c r="O296" s="760"/>
      <c r="P296" s="760"/>
      <c r="Q296" s="760"/>
      <c r="R296" s="760"/>
      <c r="S296" s="760"/>
      <c r="T296" s="760"/>
      <c r="U296" s="760"/>
      <c r="V296" s="760"/>
      <c r="W296" s="760"/>
      <c r="X296" s="760"/>
      <c r="Y296" s="760"/>
      <c r="Z296" s="760"/>
      <c r="AA296" s="760"/>
      <c r="AB296" s="760"/>
      <c r="AC296" s="760"/>
    </row>
    <row r="297" ht="15.75" customHeight="1">
      <c r="A297" s="760"/>
      <c r="B297" s="760"/>
      <c r="C297" s="760"/>
      <c r="D297" s="760"/>
      <c r="E297" s="760"/>
      <c r="F297" s="759"/>
      <c r="G297" s="759"/>
      <c r="H297" s="759"/>
      <c r="I297" s="759"/>
      <c r="J297" s="759"/>
      <c r="K297" s="759"/>
      <c r="L297" s="760"/>
      <c r="M297" s="760"/>
      <c r="N297" s="760"/>
      <c r="O297" s="760"/>
      <c r="P297" s="760"/>
      <c r="Q297" s="760"/>
      <c r="R297" s="760"/>
      <c r="S297" s="760"/>
      <c r="T297" s="760"/>
      <c r="U297" s="760"/>
      <c r="V297" s="760"/>
      <c r="W297" s="760"/>
      <c r="X297" s="760"/>
      <c r="Y297" s="760"/>
      <c r="Z297" s="760"/>
      <c r="AA297" s="760"/>
      <c r="AB297" s="760"/>
      <c r="AC297" s="760"/>
    </row>
    <row r="298" ht="15.75" customHeight="1">
      <c r="A298" s="760"/>
      <c r="B298" s="760"/>
      <c r="C298" s="760"/>
      <c r="D298" s="760"/>
      <c r="E298" s="760"/>
      <c r="F298" s="759"/>
      <c r="G298" s="759"/>
      <c r="H298" s="759"/>
      <c r="I298" s="759"/>
      <c r="J298" s="759"/>
      <c r="K298" s="759"/>
      <c r="L298" s="760"/>
      <c r="M298" s="760"/>
      <c r="N298" s="760"/>
      <c r="O298" s="760"/>
      <c r="P298" s="760"/>
      <c r="Q298" s="760"/>
      <c r="R298" s="760"/>
      <c r="S298" s="760"/>
      <c r="T298" s="760"/>
      <c r="U298" s="760"/>
      <c r="V298" s="760"/>
      <c r="W298" s="760"/>
      <c r="X298" s="760"/>
      <c r="Y298" s="760"/>
      <c r="Z298" s="760"/>
      <c r="AA298" s="760"/>
      <c r="AB298" s="760"/>
      <c r="AC298" s="760"/>
    </row>
    <row r="299" ht="15.75" customHeight="1">
      <c r="A299" s="760"/>
      <c r="B299" s="760"/>
      <c r="C299" s="760"/>
      <c r="D299" s="760"/>
      <c r="E299" s="760"/>
      <c r="F299" s="759"/>
      <c r="G299" s="759"/>
      <c r="H299" s="759"/>
      <c r="I299" s="759"/>
      <c r="J299" s="759"/>
      <c r="K299" s="759"/>
      <c r="L299" s="760"/>
      <c r="M299" s="760"/>
      <c r="N299" s="760"/>
      <c r="O299" s="760"/>
      <c r="P299" s="760"/>
      <c r="Q299" s="760"/>
      <c r="R299" s="760"/>
      <c r="S299" s="760"/>
      <c r="T299" s="760"/>
      <c r="U299" s="760"/>
      <c r="V299" s="760"/>
      <c r="W299" s="760"/>
      <c r="X299" s="760"/>
      <c r="Y299" s="760"/>
      <c r="Z299" s="760"/>
      <c r="AA299" s="760"/>
      <c r="AB299" s="760"/>
      <c r="AC299" s="760"/>
    </row>
    <row r="300" ht="15.75" customHeight="1">
      <c r="A300" s="760"/>
      <c r="B300" s="760"/>
      <c r="C300" s="760"/>
      <c r="D300" s="760"/>
      <c r="E300" s="760"/>
      <c r="F300" s="759"/>
      <c r="G300" s="759"/>
      <c r="H300" s="759"/>
      <c r="I300" s="759"/>
      <c r="J300" s="759"/>
      <c r="K300" s="759"/>
      <c r="L300" s="760"/>
      <c r="M300" s="760"/>
      <c r="N300" s="760"/>
      <c r="O300" s="760"/>
      <c r="P300" s="760"/>
      <c r="Q300" s="760"/>
      <c r="R300" s="760"/>
      <c r="S300" s="760"/>
      <c r="T300" s="760"/>
      <c r="U300" s="760"/>
      <c r="V300" s="760"/>
      <c r="W300" s="760"/>
      <c r="X300" s="760"/>
      <c r="Y300" s="760"/>
      <c r="Z300" s="760"/>
      <c r="AA300" s="760"/>
      <c r="AB300" s="760"/>
      <c r="AC300" s="760"/>
    </row>
    <row r="301" ht="15.75" customHeight="1">
      <c r="A301" s="760"/>
      <c r="B301" s="760"/>
      <c r="C301" s="760"/>
      <c r="D301" s="760"/>
      <c r="E301" s="760"/>
      <c r="F301" s="759"/>
      <c r="G301" s="759"/>
      <c r="H301" s="759"/>
      <c r="I301" s="759"/>
      <c r="J301" s="759"/>
      <c r="K301" s="759"/>
      <c r="L301" s="760"/>
      <c r="M301" s="760"/>
      <c r="N301" s="760"/>
      <c r="O301" s="760"/>
      <c r="P301" s="760"/>
      <c r="Q301" s="760"/>
      <c r="R301" s="760"/>
      <c r="S301" s="760"/>
      <c r="T301" s="760"/>
      <c r="U301" s="760"/>
      <c r="V301" s="760"/>
      <c r="W301" s="760"/>
      <c r="X301" s="760"/>
      <c r="Y301" s="760"/>
      <c r="Z301" s="760"/>
      <c r="AA301" s="760"/>
      <c r="AB301" s="760"/>
      <c r="AC301" s="760"/>
    </row>
    <row r="302" ht="15.75" customHeight="1">
      <c r="A302" s="760"/>
      <c r="B302" s="760"/>
      <c r="C302" s="760"/>
      <c r="D302" s="760"/>
      <c r="E302" s="760"/>
      <c r="F302" s="759"/>
      <c r="G302" s="759"/>
      <c r="H302" s="759"/>
      <c r="I302" s="759"/>
      <c r="J302" s="759"/>
      <c r="K302" s="759"/>
      <c r="L302" s="760"/>
      <c r="M302" s="760"/>
      <c r="N302" s="760"/>
      <c r="O302" s="760"/>
      <c r="P302" s="760"/>
      <c r="Q302" s="760"/>
      <c r="R302" s="760"/>
      <c r="S302" s="760"/>
      <c r="T302" s="760"/>
      <c r="U302" s="760"/>
      <c r="V302" s="760"/>
      <c r="W302" s="760"/>
      <c r="X302" s="760"/>
      <c r="Y302" s="760"/>
      <c r="Z302" s="760"/>
      <c r="AA302" s="760"/>
      <c r="AB302" s="760"/>
      <c r="AC302" s="760"/>
    </row>
    <row r="303" ht="15.75" customHeight="1">
      <c r="A303" s="760"/>
      <c r="B303" s="760"/>
      <c r="C303" s="760"/>
      <c r="D303" s="760"/>
      <c r="E303" s="760"/>
      <c r="F303" s="759"/>
      <c r="G303" s="759"/>
      <c r="H303" s="759"/>
      <c r="I303" s="759"/>
      <c r="J303" s="759"/>
      <c r="K303" s="759"/>
      <c r="L303" s="760"/>
      <c r="M303" s="760"/>
      <c r="N303" s="760"/>
      <c r="O303" s="760"/>
      <c r="P303" s="760"/>
      <c r="Q303" s="760"/>
      <c r="R303" s="760"/>
      <c r="S303" s="760"/>
      <c r="T303" s="760"/>
      <c r="U303" s="760"/>
      <c r="V303" s="760"/>
      <c r="W303" s="760"/>
      <c r="X303" s="760"/>
      <c r="Y303" s="760"/>
      <c r="Z303" s="760"/>
      <c r="AA303" s="760"/>
      <c r="AB303" s="760"/>
      <c r="AC303" s="760"/>
    </row>
    <row r="304" ht="15.75" customHeight="1">
      <c r="A304" s="760"/>
      <c r="B304" s="760"/>
      <c r="C304" s="760"/>
      <c r="D304" s="760"/>
      <c r="E304" s="760"/>
      <c r="F304" s="759"/>
      <c r="G304" s="759"/>
      <c r="H304" s="759"/>
      <c r="I304" s="759"/>
      <c r="J304" s="759"/>
      <c r="K304" s="759"/>
      <c r="L304" s="760"/>
      <c r="M304" s="760"/>
      <c r="N304" s="760"/>
      <c r="O304" s="760"/>
      <c r="P304" s="760"/>
      <c r="Q304" s="760"/>
      <c r="R304" s="760"/>
      <c r="S304" s="760"/>
      <c r="T304" s="760"/>
      <c r="U304" s="760"/>
      <c r="V304" s="760"/>
      <c r="W304" s="760"/>
      <c r="X304" s="760"/>
      <c r="Y304" s="760"/>
      <c r="Z304" s="760"/>
      <c r="AA304" s="760"/>
      <c r="AB304" s="760"/>
      <c r="AC304" s="760"/>
    </row>
    <row r="305" ht="15.75" customHeight="1">
      <c r="A305" s="760"/>
      <c r="B305" s="760"/>
      <c r="C305" s="760"/>
      <c r="D305" s="760"/>
      <c r="E305" s="760"/>
      <c r="F305" s="759"/>
      <c r="G305" s="759"/>
      <c r="H305" s="759"/>
      <c r="I305" s="759"/>
      <c r="J305" s="759"/>
      <c r="K305" s="759"/>
      <c r="L305" s="760"/>
      <c r="M305" s="760"/>
      <c r="N305" s="760"/>
      <c r="O305" s="760"/>
      <c r="P305" s="760"/>
      <c r="Q305" s="760"/>
      <c r="R305" s="760"/>
      <c r="S305" s="760"/>
      <c r="T305" s="760"/>
      <c r="U305" s="760"/>
      <c r="V305" s="760"/>
      <c r="W305" s="760"/>
      <c r="X305" s="760"/>
      <c r="Y305" s="760"/>
      <c r="Z305" s="760"/>
      <c r="AA305" s="760"/>
      <c r="AB305" s="760"/>
      <c r="AC305" s="760"/>
    </row>
    <row r="306" ht="15.75" customHeight="1">
      <c r="A306" s="760"/>
      <c r="B306" s="760"/>
      <c r="C306" s="760"/>
      <c r="D306" s="760"/>
      <c r="E306" s="760"/>
      <c r="F306" s="759"/>
      <c r="G306" s="759"/>
      <c r="H306" s="759"/>
      <c r="I306" s="759"/>
      <c r="J306" s="759"/>
      <c r="K306" s="759"/>
      <c r="L306" s="760"/>
      <c r="M306" s="760"/>
      <c r="N306" s="760"/>
      <c r="O306" s="760"/>
      <c r="P306" s="760"/>
      <c r="Q306" s="760"/>
      <c r="R306" s="760"/>
      <c r="S306" s="760"/>
      <c r="T306" s="760"/>
      <c r="U306" s="760"/>
      <c r="V306" s="760"/>
      <c r="W306" s="760"/>
      <c r="X306" s="760"/>
      <c r="Y306" s="760"/>
      <c r="Z306" s="760"/>
      <c r="AA306" s="760"/>
      <c r="AB306" s="760"/>
      <c r="AC306" s="760"/>
    </row>
    <row r="307" ht="15.75" customHeight="1">
      <c r="A307" s="760"/>
      <c r="B307" s="760"/>
      <c r="C307" s="760"/>
      <c r="D307" s="760"/>
      <c r="E307" s="760"/>
      <c r="F307" s="759"/>
      <c r="G307" s="759"/>
      <c r="H307" s="759"/>
      <c r="I307" s="759"/>
      <c r="J307" s="759"/>
      <c r="K307" s="759"/>
      <c r="L307" s="760"/>
      <c r="M307" s="760"/>
      <c r="N307" s="760"/>
      <c r="O307" s="760"/>
      <c r="P307" s="760"/>
      <c r="Q307" s="760"/>
      <c r="R307" s="760"/>
      <c r="S307" s="760"/>
      <c r="T307" s="760"/>
      <c r="U307" s="760"/>
      <c r="V307" s="760"/>
      <c r="W307" s="760"/>
      <c r="X307" s="760"/>
      <c r="Y307" s="760"/>
      <c r="Z307" s="760"/>
      <c r="AA307" s="760"/>
      <c r="AB307" s="760"/>
      <c r="AC307" s="760"/>
    </row>
    <row r="308" ht="15.75" customHeight="1">
      <c r="A308" s="760"/>
      <c r="B308" s="760"/>
      <c r="C308" s="760"/>
      <c r="D308" s="760"/>
      <c r="E308" s="760"/>
      <c r="F308" s="759"/>
      <c r="G308" s="759"/>
      <c r="H308" s="759"/>
      <c r="I308" s="759"/>
      <c r="J308" s="759"/>
      <c r="K308" s="759"/>
      <c r="L308" s="760"/>
      <c r="M308" s="760"/>
      <c r="N308" s="760"/>
      <c r="O308" s="760"/>
      <c r="P308" s="760"/>
      <c r="Q308" s="760"/>
      <c r="R308" s="760"/>
      <c r="S308" s="760"/>
      <c r="T308" s="760"/>
      <c r="U308" s="760"/>
      <c r="V308" s="760"/>
      <c r="W308" s="760"/>
      <c r="X308" s="760"/>
      <c r="Y308" s="760"/>
      <c r="Z308" s="760"/>
      <c r="AA308" s="760"/>
      <c r="AB308" s="760"/>
      <c r="AC308" s="760"/>
    </row>
    <row r="309" ht="15.75" customHeight="1">
      <c r="A309" s="760"/>
      <c r="B309" s="760"/>
      <c r="C309" s="760"/>
      <c r="D309" s="760"/>
      <c r="E309" s="760"/>
      <c r="F309" s="759"/>
      <c r="G309" s="759"/>
      <c r="H309" s="759"/>
      <c r="I309" s="759"/>
      <c r="J309" s="759"/>
      <c r="K309" s="759"/>
      <c r="L309" s="760"/>
      <c r="M309" s="760"/>
      <c r="N309" s="760"/>
      <c r="O309" s="760"/>
      <c r="P309" s="760"/>
      <c r="Q309" s="760"/>
      <c r="R309" s="760"/>
      <c r="S309" s="760"/>
      <c r="T309" s="760"/>
      <c r="U309" s="760"/>
      <c r="V309" s="760"/>
      <c r="W309" s="760"/>
      <c r="X309" s="760"/>
      <c r="Y309" s="760"/>
      <c r="Z309" s="760"/>
      <c r="AA309" s="760"/>
      <c r="AB309" s="760"/>
      <c r="AC309" s="760"/>
    </row>
    <row r="310" ht="15.75" customHeight="1">
      <c r="A310" s="760"/>
      <c r="B310" s="760"/>
      <c r="C310" s="760"/>
      <c r="D310" s="760"/>
      <c r="E310" s="760"/>
      <c r="F310" s="759"/>
      <c r="G310" s="759"/>
      <c r="H310" s="759"/>
      <c r="I310" s="759"/>
      <c r="J310" s="759"/>
      <c r="K310" s="759"/>
      <c r="L310" s="760"/>
      <c r="M310" s="760"/>
      <c r="N310" s="760"/>
      <c r="O310" s="760"/>
      <c r="P310" s="760"/>
      <c r="Q310" s="760"/>
      <c r="R310" s="760"/>
      <c r="S310" s="760"/>
      <c r="T310" s="760"/>
      <c r="U310" s="760"/>
      <c r="V310" s="760"/>
      <c r="W310" s="760"/>
      <c r="X310" s="760"/>
      <c r="Y310" s="760"/>
      <c r="Z310" s="760"/>
      <c r="AA310" s="760"/>
      <c r="AB310" s="760"/>
      <c r="AC310" s="760"/>
    </row>
    <row r="311" ht="15.75" customHeight="1">
      <c r="A311" s="760"/>
      <c r="B311" s="760"/>
      <c r="C311" s="760"/>
      <c r="D311" s="760"/>
      <c r="E311" s="760"/>
      <c r="F311" s="759"/>
      <c r="G311" s="759"/>
      <c r="H311" s="759"/>
      <c r="I311" s="759"/>
      <c r="J311" s="759"/>
      <c r="K311" s="759"/>
      <c r="L311" s="760"/>
      <c r="M311" s="760"/>
      <c r="N311" s="760"/>
      <c r="O311" s="760"/>
      <c r="P311" s="760"/>
      <c r="Q311" s="760"/>
      <c r="R311" s="760"/>
      <c r="S311" s="760"/>
      <c r="T311" s="760"/>
      <c r="U311" s="760"/>
      <c r="V311" s="760"/>
      <c r="W311" s="760"/>
      <c r="X311" s="760"/>
      <c r="Y311" s="760"/>
      <c r="Z311" s="760"/>
      <c r="AA311" s="760"/>
      <c r="AB311" s="760"/>
      <c r="AC311" s="760"/>
    </row>
    <row r="312" ht="15.75" customHeight="1">
      <c r="A312" s="760"/>
      <c r="B312" s="760"/>
      <c r="C312" s="760"/>
      <c r="D312" s="760"/>
      <c r="E312" s="760"/>
      <c r="F312" s="759"/>
      <c r="G312" s="759"/>
      <c r="H312" s="759"/>
      <c r="I312" s="759"/>
      <c r="J312" s="759"/>
      <c r="K312" s="759"/>
      <c r="L312" s="760"/>
      <c r="M312" s="760"/>
      <c r="N312" s="760"/>
      <c r="O312" s="760"/>
      <c r="P312" s="760"/>
      <c r="Q312" s="760"/>
      <c r="R312" s="760"/>
      <c r="S312" s="760"/>
      <c r="T312" s="760"/>
      <c r="U312" s="760"/>
      <c r="V312" s="760"/>
      <c r="W312" s="760"/>
      <c r="X312" s="760"/>
      <c r="Y312" s="760"/>
      <c r="Z312" s="760"/>
      <c r="AA312" s="760"/>
      <c r="AB312" s="760"/>
      <c r="AC312" s="760"/>
    </row>
    <row r="313" ht="15.75" customHeight="1">
      <c r="A313" s="760"/>
      <c r="B313" s="760"/>
      <c r="C313" s="760"/>
      <c r="D313" s="760"/>
      <c r="E313" s="760"/>
      <c r="F313" s="759"/>
      <c r="G313" s="759"/>
      <c r="H313" s="759"/>
      <c r="I313" s="759"/>
      <c r="J313" s="759"/>
      <c r="K313" s="759"/>
      <c r="L313" s="760"/>
      <c r="M313" s="760"/>
      <c r="N313" s="760"/>
      <c r="O313" s="760"/>
      <c r="P313" s="760"/>
      <c r="Q313" s="760"/>
      <c r="R313" s="760"/>
      <c r="S313" s="760"/>
      <c r="T313" s="760"/>
      <c r="U313" s="760"/>
      <c r="V313" s="760"/>
      <c r="W313" s="760"/>
      <c r="X313" s="760"/>
      <c r="Y313" s="760"/>
      <c r="Z313" s="760"/>
      <c r="AA313" s="760"/>
      <c r="AB313" s="760"/>
      <c r="AC313" s="760"/>
    </row>
    <row r="314" ht="15.75" customHeight="1">
      <c r="A314" s="760"/>
      <c r="B314" s="760"/>
      <c r="C314" s="760"/>
      <c r="D314" s="760"/>
      <c r="E314" s="760"/>
      <c r="F314" s="759"/>
      <c r="G314" s="759"/>
      <c r="H314" s="759"/>
      <c r="I314" s="759"/>
      <c r="J314" s="759"/>
      <c r="K314" s="759"/>
      <c r="L314" s="760"/>
      <c r="M314" s="760"/>
      <c r="N314" s="760"/>
      <c r="O314" s="760"/>
      <c r="P314" s="760"/>
      <c r="Q314" s="760"/>
      <c r="R314" s="760"/>
      <c r="S314" s="760"/>
      <c r="T314" s="760"/>
      <c r="U314" s="760"/>
      <c r="V314" s="760"/>
      <c r="W314" s="760"/>
      <c r="X314" s="760"/>
      <c r="Y314" s="760"/>
      <c r="Z314" s="760"/>
      <c r="AA314" s="760"/>
      <c r="AB314" s="760"/>
      <c r="AC314" s="760"/>
    </row>
    <row r="315" ht="15.75" customHeight="1">
      <c r="A315" s="760"/>
      <c r="B315" s="760"/>
      <c r="C315" s="760"/>
      <c r="D315" s="760"/>
      <c r="E315" s="760"/>
      <c r="F315" s="759"/>
      <c r="G315" s="759"/>
      <c r="H315" s="759"/>
      <c r="I315" s="759"/>
      <c r="J315" s="759"/>
      <c r="K315" s="759"/>
      <c r="L315" s="760"/>
      <c r="M315" s="760"/>
      <c r="N315" s="760"/>
      <c r="O315" s="760"/>
      <c r="P315" s="760"/>
      <c r="Q315" s="760"/>
      <c r="R315" s="760"/>
      <c r="S315" s="760"/>
      <c r="T315" s="760"/>
      <c r="U315" s="760"/>
      <c r="V315" s="760"/>
      <c r="W315" s="760"/>
      <c r="X315" s="760"/>
      <c r="Y315" s="760"/>
      <c r="Z315" s="760"/>
      <c r="AA315" s="760"/>
      <c r="AB315" s="760"/>
      <c r="AC315" s="760"/>
    </row>
    <row r="316" ht="15.75" customHeight="1">
      <c r="A316" s="760"/>
      <c r="B316" s="760"/>
      <c r="C316" s="760"/>
      <c r="D316" s="760"/>
      <c r="E316" s="760"/>
      <c r="F316" s="759"/>
      <c r="G316" s="759"/>
      <c r="H316" s="759"/>
      <c r="I316" s="759"/>
      <c r="J316" s="759"/>
      <c r="K316" s="759"/>
      <c r="L316" s="760"/>
      <c r="M316" s="760"/>
      <c r="N316" s="760"/>
      <c r="O316" s="760"/>
      <c r="P316" s="760"/>
      <c r="Q316" s="760"/>
      <c r="R316" s="760"/>
      <c r="S316" s="760"/>
      <c r="T316" s="760"/>
      <c r="U316" s="760"/>
      <c r="V316" s="760"/>
      <c r="W316" s="760"/>
      <c r="X316" s="760"/>
      <c r="Y316" s="760"/>
      <c r="Z316" s="760"/>
      <c r="AA316" s="760"/>
      <c r="AB316" s="760"/>
      <c r="AC316" s="760"/>
    </row>
    <row r="317" ht="15.75" customHeight="1">
      <c r="A317" s="760"/>
      <c r="B317" s="760"/>
      <c r="C317" s="760"/>
      <c r="D317" s="760"/>
      <c r="E317" s="760"/>
      <c r="F317" s="759"/>
      <c r="G317" s="759"/>
      <c r="H317" s="759"/>
      <c r="I317" s="759"/>
      <c r="J317" s="759"/>
      <c r="K317" s="759"/>
      <c r="L317" s="760"/>
      <c r="M317" s="760"/>
      <c r="N317" s="760"/>
      <c r="O317" s="760"/>
      <c r="P317" s="760"/>
      <c r="Q317" s="760"/>
      <c r="R317" s="760"/>
      <c r="S317" s="760"/>
      <c r="T317" s="760"/>
      <c r="U317" s="760"/>
      <c r="V317" s="760"/>
      <c r="W317" s="760"/>
      <c r="X317" s="760"/>
      <c r="Y317" s="760"/>
      <c r="Z317" s="760"/>
      <c r="AA317" s="760"/>
      <c r="AB317" s="760"/>
      <c r="AC317" s="760"/>
    </row>
    <row r="318" ht="15.75" customHeight="1">
      <c r="A318" s="760"/>
      <c r="B318" s="760"/>
      <c r="C318" s="760"/>
      <c r="D318" s="760"/>
      <c r="E318" s="760"/>
      <c r="F318" s="759"/>
      <c r="G318" s="759"/>
      <c r="H318" s="759"/>
      <c r="I318" s="759"/>
      <c r="J318" s="759"/>
      <c r="K318" s="759"/>
      <c r="L318" s="760"/>
      <c r="M318" s="760"/>
      <c r="N318" s="760"/>
      <c r="O318" s="760"/>
      <c r="P318" s="760"/>
      <c r="Q318" s="760"/>
      <c r="R318" s="760"/>
      <c r="S318" s="760"/>
      <c r="T318" s="760"/>
      <c r="U318" s="760"/>
      <c r="V318" s="760"/>
      <c r="W318" s="760"/>
      <c r="X318" s="760"/>
      <c r="Y318" s="760"/>
      <c r="Z318" s="760"/>
      <c r="AA318" s="760"/>
      <c r="AB318" s="760"/>
      <c r="AC318" s="760"/>
    </row>
    <row r="319" ht="15.75" customHeight="1">
      <c r="A319" s="760"/>
      <c r="B319" s="760"/>
      <c r="C319" s="760"/>
      <c r="D319" s="760"/>
      <c r="E319" s="760"/>
      <c r="F319" s="759"/>
      <c r="G319" s="759"/>
      <c r="H319" s="759"/>
      <c r="I319" s="759"/>
      <c r="J319" s="759"/>
      <c r="K319" s="759"/>
      <c r="L319" s="760"/>
      <c r="M319" s="760"/>
      <c r="N319" s="760"/>
      <c r="O319" s="760"/>
      <c r="P319" s="760"/>
      <c r="Q319" s="760"/>
      <c r="R319" s="760"/>
      <c r="S319" s="760"/>
      <c r="T319" s="760"/>
      <c r="U319" s="760"/>
      <c r="V319" s="760"/>
      <c r="W319" s="760"/>
      <c r="X319" s="760"/>
      <c r="Y319" s="760"/>
      <c r="Z319" s="760"/>
      <c r="AA319" s="760"/>
      <c r="AB319" s="760"/>
      <c r="AC319" s="760"/>
    </row>
    <row r="320" ht="15.75" customHeight="1">
      <c r="A320" s="760"/>
      <c r="B320" s="760"/>
      <c r="C320" s="760"/>
      <c r="D320" s="760"/>
      <c r="E320" s="760"/>
      <c r="F320" s="759"/>
      <c r="G320" s="759"/>
      <c r="H320" s="759"/>
      <c r="I320" s="759"/>
      <c r="J320" s="759"/>
      <c r="K320" s="759"/>
      <c r="L320" s="760"/>
      <c r="M320" s="760"/>
      <c r="N320" s="760"/>
      <c r="O320" s="760"/>
      <c r="P320" s="760"/>
      <c r="Q320" s="760"/>
      <c r="R320" s="760"/>
      <c r="S320" s="760"/>
      <c r="T320" s="760"/>
      <c r="U320" s="760"/>
      <c r="V320" s="760"/>
      <c r="W320" s="760"/>
      <c r="X320" s="760"/>
      <c r="Y320" s="760"/>
      <c r="Z320" s="760"/>
      <c r="AA320" s="760"/>
      <c r="AB320" s="760"/>
      <c r="AC320" s="760"/>
    </row>
    <row r="321" ht="15.75" customHeight="1">
      <c r="A321" s="760"/>
      <c r="B321" s="760"/>
      <c r="C321" s="760"/>
      <c r="D321" s="760"/>
      <c r="E321" s="760"/>
      <c r="F321" s="759"/>
      <c r="G321" s="759"/>
      <c r="H321" s="759"/>
      <c r="I321" s="759"/>
      <c r="J321" s="759"/>
      <c r="K321" s="759"/>
      <c r="L321" s="760"/>
      <c r="M321" s="760"/>
      <c r="N321" s="760"/>
      <c r="O321" s="760"/>
      <c r="P321" s="760"/>
      <c r="Q321" s="760"/>
      <c r="R321" s="760"/>
      <c r="S321" s="760"/>
      <c r="T321" s="760"/>
      <c r="U321" s="760"/>
      <c r="V321" s="760"/>
      <c r="W321" s="760"/>
      <c r="X321" s="760"/>
      <c r="Y321" s="760"/>
      <c r="Z321" s="760"/>
      <c r="AA321" s="760"/>
      <c r="AB321" s="760"/>
      <c r="AC321" s="760"/>
    </row>
    <row r="322" ht="15.75" customHeight="1">
      <c r="A322" s="760"/>
      <c r="B322" s="760"/>
      <c r="C322" s="760"/>
      <c r="D322" s="760"/>
      <c r="E322" s="760"/>
      <c r="F322" s="759"/>
      <c r="G322" s="759"/>
      <c r="H322" s="759"/>
      <c r="I322" s="759"/>
      <c r="J322" s="759"/>
      <c r="K322" s="759"/>
      <c r="L322" s="760"/>
      <c r="M322" s="760"/>
      <c r="N322" s="760"/>
      <c r="O322" s="760"/>
      <c r="P322" s="760"/>
      <c r="Q322" s="760"/>
      <c r="R322" s="760"/>
      <c r="S322" s="760"/>
      <c r="T322" s="760"/>
      <c r="U322" s="760"/>
      <c r="V322" s="760"/>
      <c r="W322" s="760"/>
      <c r="X322" s="760"/>
      <c r="Y322" s="760"/>
      <c r="Z322" s="760"/>
      <c r="AA322" s="760"/>
      <c r="AB322" s="760"/>
      <c r="AC322" s="760"/>
    </row>
    <row r="323" ht="15.75" customHeight="1">
      <c r="A323" s="760"/>
      <c r="B323" s="760"/>
      <c r="C323" s="760"/>
      <c r="D323" s="760"/>
      <c r="E323" s="760"/>
      <c r="F323" s="759"/>
      <c r="G323" s="759"/>
      <c r="H323" s="759"/>
      <c r="I323" s="759"/>
      <c r="J323" s="759"/>
      <c r="K323" s="759"/>
      <c r="L323" s="760"/>
      <c r="M323" s="760"/>
      <c r="N323" s="760"/>
      <c r="O323" s="760"/>
      <c r="P323" s="760"/>
      <c r="Q323" s="760"/>
      <c r="R323" s="760"/>
      <c r="S323" s="760"/>
      <c r="T323" s="760"/>
      <c r="U323" s="760"/>
      <c r="V323" s="760"/>
      <c r="W323" s="760"/>
      <c r="X323" s="760"/>
      <c r="Y323" s="760"/>
      <c r="Z323" s="760"/>
      <c r="AA323" s="760"/>
      <c r="AB323" s="760"/>
      <c r="AC323" s="760"/>
    </row>
    <row r="324" ht="15.75" customHeight="1">
      <c r="A324" s="760"/>
      <c r="B324" s="760"/>
      <c r="C324" s="760"/>
      <c r="D324" s="760"/>
      <c r="E324" s="760"/>
      <c r="F324" s="759"/>
      <c r="G324" s="759"/>
      <c r="H324" s="759"/>
      <c r="I324" s="759"/>
      <c r="J324" s="759"/>
      <c r="K324" s="759"/>
      <c r="L324" s="760"/>
      <c r="M324" s="760"/>
      <c r="N324" s="760"/>
      <c r="O324" s="760"/>
      <c r="P324" s="760"/>
      <c r="Q324" s="760"/>
      <c r="R324" s="760"/>
      <c r="S324" s="760"/>
      <c r="T324" s="760"/>
      <c r="U324" s="760"/>
      <c r="V324" s="760"/>
      <c r="W324" s="760"/>
      <c r="X324" s="760"/>
      <c r="Y324" s="760"/>
      <c r="Z324" s="760"/>
      <c r="AA324" s="760"/>
      <c r="AB324" s="760"/>
      <c r="AC324" s="760"/>
    </row>
    <row r="325" ht="15.75" customHeight="1">
      <c r="A325" s="760"/>
      <c r="B325" s="760"/>
      <c r="C325" s="760"/>
      <c r="D325" s="760"/>
      <c r="E325" s="760"/>
      <c r="F325" s="759"/>
      <c r="G325" s="759"/>
      <c r="H325" s="759"/>
      <c r="I325" s="759"/>
      <c r="J325" s="759"/>
      <c r="K325" s="759"/>
      <c r="L325" s="760"/>
      <c r="M325" s="760"/>
      <c r="N325" s="760"/>
      <c r="O325" s="760"/>
      <c r="P325" s="760"/>
      <c r="Q325" s="760"/>
      <c r="R325" s="760"/>
      <c r="S325" s="760"/>
      <c r="T325" s="760"/>
      <c r="U325" s="760"/>
      <c r="V325" s="760"/>
      <c r="W325" s="760"/>
      <c r="X325" s="760"/>
      <c r="Y325" s="760"/>
      <c r="Z325" s="760"/>
      <c r="AA325" s="760"/>
      <c r="AB325" s="760"/>
      <c r="AC325" s="760"/>
    </row>
    <row r="326" ht="15.75" customHeight="1">
      <c r="A326" s="760"/>
      <c r="B326" s="760"/>
      <c r="C326" s="760"/>
      <c r="D326" s="760"/>
      <c r="E326" s="760"/>
      <c r="F326" s="759"/>
      <c r="G326" s="759"/>
      <c r="H326" s="759"/>
      <c r="I326" s="759"/>
      <c r="J326" s="759"/>
      <c r="K326" s="759"/>
      <c r="L326" s="760"/>
      <c r="M326" s="760"/>
      <c r="N326" s="760"/>
      <c r="O326" s="760"/>
      <c r="P326" s="760"/>
      <c r="Q326" s="760"/>
      <c r="R326" s="760"/>
      <c r="S326" s="760"/>
      <c r="T326" s="760"/>
      <c r="U326" s="760"/>
      <c r="V326" s="760"/>
      <c r="W326" s="760"/>
      <c r="X326" s="760"/>
      <c r="Y326" s="760"/>
      <c r="Z326" s="760"/>
      <c r="AA326" s="760"/>
      <c r="AB326" s="760"/>
      <c r="AC326" s="760"/>
    </row>
    <row r="327" ht="15.75" customHeight="1">
      <c r="A327" s="760"/>
      <c r="B327" s="760"/>
      <c r="C327" s="760"/>
      <c r="D327" s="760"/>
      <c r="E327" s="760"/>
      <c r="F327" s="759"/>
      <c r="G327" s="759"/>
      <c r="H327" s="759"/>
      <c r="I327" s="759"/>
      <c r="J327" s="759"/>
      <c r="K327" s="759"/>
      <c r="L327" s="760"/>
      <c r="M327" s="760"/>
      <c r="N327" s="760"/>
      <c r="O327" s="760"/>
      <c r="P327" s="760"/>
      <c r="Q327" s="760"/>
      <c r="R327" s="760"/>
      <c r="S327" s="760"/>
      <c r="T327" s="760"/>
      <c r="U327" s="760"/>
      <c r="V327" s="760"/>
      <c r="W327" s="760"/>
      <c r="X327" s="760"/>
      <c r="Y327" s="760"/>
      <c r="Z327" s="760"/>
      <c r="AA327" s="760"/>
      <c r="AB327" s="760"/>
      <c r="AC327" s="760"/>
    </row>
    <row r="328" ht="15.75" customHeight="1">
      <c r="A328" s="760"/>
      <c r="B328" s="760"/>
      <c r="C328" s="760"/>
      <c r="D328" s="760"/>
      <c r="E328" s="760"/>
      <c r="F328" s="759"/>
      <c r="G328" s="759"/>
      <c r="H328" s="759"/>
      <c r="I328" s="759"/>
      <c r="J328" s="759"/>
      <c r="K328" s="759"/>
      <c r="L328" s="760"/>
      <c r="M328" s="760"/>
      <c r="N328" s="760"/>
      <c r="O328" s="760"/>
      <c r="P328" s="760"/>
      <c r="Q328" s="760"/>
      <c r="R328" s="760"/>
      <c r="S328" s="760"/>
      <c r="T328" s="760"/>
      <c r="U328" s="760"/>
      <c r="V328" s="760"/>
      <c r="W328" s="760"/>
      <c r="X328" s="760"/>
      <c r="Y328" s="760"/>
      <c r="Z328" s="760"/>
      <c r="AA328" s="760"/>
      <c r="AB328" s="760"/>
      <c r="AC328" s="760"/>
    </row>
    <row r="329" ht="15.75" customHeight="1">
      <c r="A329" s="760"/>
      <c r="B329" s="760"/>
      <c r="C329" s="760"/>
      <c r="D329" s="760"/>
      <c r="E329" s="760"/>
      <c r="F329" s="759"/>
      <c r="G329" s="759"/>
      <c r="H329" s="759"/>
      <c r="I329" s="759"/>
      <c r="J329" s="759"/>
      <c r="K329" s="759"/>
      <c r="L329" s="760"/>
      <c r="M329" s="760"/>
      <c r="N329" s="760"/>
      <c r="O329" s="760"/>
      <c r="P329" s="760"/>
      <c r="Q329" s="760"/>
      <c r="R329" s="760"/>
      <c r="S329" s="760"/>
      <c r="T329" s="760"/>
      <c r="U329" s="760"/>
      <c r="V329" s="760"/>
      <c r="W329" s="760"/>
      <c r="X329" s="760"/>
      <c r="Y329" s="760"/>
      <c r="Z329" s="760"/>
      <c r="AA329" s="760"/>
      <c r="AB329" s="760"/>
      <c r="AC329" s="760"/>
    </row>
    <row r="330" ht="15.75" customHeight="1">
      <c r="A330" s="760"/>
      <c r="B330" s="760"/>
      <c r="C330" s="760"/>
      <c r="D330" s="760"/>
      <c r="E330" s="760"/>
      <c r="F330" s="759"/>
      <c r="G330" s="759"/>
      <c r="H330" s="759"/>
      <c r="I330" s="759"/>
      <c r="J330" s="759"/>
      <c r="K330" s="759"/>
      <c r="L330" s="760"/>
      <c r="M330" s="760"/>
      <c r="N330" s="760"/>
      <c r="O330" s="760"/>
      <c r="P330" s="760"/>
      <c r="Q330" s="760"/>
      <c r="R330" s="760"/>
      <c r="S330" s="760"/>
      <c r="T330" s="760"/>
      <c r="U330" s="760"/>
      <c r="V330" s="760"/>
      <c r="W330" s="760"/>
      <c r="X330" s="760"/>
      <c r="Y330" s="760"/>
      <c r="Z330" s="760"/>
      <c r="AA330" s="760"/>
      <c r="AB330" s="760"/>
      <c r="AC330" s="760"/>
    </row>
    <row r="331" ht="15.75" customHeight="1">
      <c r="A331" s="760"/>
      <c r="B331" s="760"/>
      <c r="C331" s="760"/>
      <c r="D331" s="760"/>
      <c r="E331" s="760"/>
      <c r="F331" s="759"/>
      <c r="G331" s="759"/>
      <c r="H331" s="759"/>
      <c r="I331" s="759"/>
      <c r="J331" s="759"/>
      <c r="K331" s="759"/>
      <c r="L331" s="760"/>
      <c r="M331" s="760"/>
      <c r="N331" s="760"/>
      <c r="O331" s="760"/>
      <c r="P331" s="760"/>
      <c r="Q331" s="760"/>
      <c r="R331" s="760"/>
      <c r="S331" s="760"/>
      <c r="T331" s="760"/>
      <c r="U331" s="760"/>
      <c r="V331" s="760"/>
      <c r="W331" s="760"/>
      <c r="X331" s="760"/>
      <c r="Y331" s="760"/>
      <c r="Z331" s="760"/>
      <c r="AA331" s="760"/>
      <c r="AB331" s="760"/>
      <c r="AC331" s="760"/>
    </row>
    <row r="332" ht="15.75" customHeight="1">
      <c r="A332" s="760"/>
      <c r="B332" s="760"/>
      <c r="C332" s="760"/>
      <c r="D332" s="760"/>
      <c r="E332" s="760"/>
      <c r="F332" s="759"/>
      <c r="G332" s="759"/>
      <c r="H332" s="759"/>
      <c r="I332" s="759"/>
      <c r="J332" s="759"/>
      <c r="K332" s="759"/>
      <c r="L332" s="760"/>
      <c r="M332" s="760"/>
      <c r="N332" s="760"/>
      <c r="O332" s="760"/>
      <c r="P332" s="760"/>
      <c r="Q332" s="760"/>
      <c r="R332" s="760"/>
      <c r="S332" s="760"/>
      <c r="T332" s="760"/>
      <c r="U332" s="760"/>
      <c r="V332" s="760"/>
      <c r="W332" s="760"/>
      <c r="X332" s="760"/>
      <c r="Y332" s="760"/>
      <c r="Z332" s="760"/>
      <c r="AA332" s="760"/>
      <c r="AB332" s="760"/>
      <c r="AC332" s="760"/>
    </row>
    <row r="333" ht="15.75" customHeight="1">
      <c r="A333" s="760"/>
      <c r="B333" s="760"/>
      <c r="C333" s="760"/>
      <c r="D333" s="760"/>
      <c r="E333" s="760"/>
      <c r="F333" s="759"/>
      <c r="G333" s="759"/>
      <c r="H333" s="759"/>
      <c r="I333" s="759"/>
      <c r="J333" s="759"/>
      <c r="K333" s="759"/>
      <c r="L333" s="760"/>
      <c r="M333" s="760"/>
      <c r="N333" s="760"/>
      <c r="O333" s="760"/>
      <c r="P333" s="760"/>
      <c r="Q333" s="760"/>
      <c r="R333" s="760"/>
      <c r="S333" s="760"/>
      <c r="T333" s="760"/>
      <c r="U333" s="760"/>
      <c r="V333" s="760"/>
      <c r="W333" s="760"/>
      <c r="X333" s="760"/>
      <c r="Y333" s="760"/>
      <c r="Z333" s="760"/>
      <c r="AA333" s="760"/>
      <c r="AB333" s="760"/>
      <c r="AC333" s="760"/>
    </row>
    <row r="334" ht="15.75" customHeight="1">
      <c r="A334" s="760"/>
      <c r="B334" s="760"/>
      <c r="C334" s="760"/>
      <c r="D334" s="760"/>
      <c r="E334" s="760"/>
      <c r="F334" s="759"/>
      <c r="G334" s="759"/>
      <c r="H334" s="759"/>
      <c r="I334" s="759"/>
      <c r="J334" s="759"/>
      <c r="K334" s="759"/>
      <c r="L334" s="760"/>
      <c r="M334" s="760"/>
      <c r="N334" s="760"/>
      <c r="O334" s="760"/>
      <c r="P334" s="760"/>
      <c r="Q334" s="760"/>
      <c r="R334" s="760"/>
      <c r="S334" s="760"/>
      <c r="T334" s="760"/>
      <c r="U334" s="760"/>
      <c r="V334" s="760"/>
      <c r="W334" s="760"/>
      <c r="X334" s="760"/>
      <c r="Y334" s="760"/>
      <c r="Z334" s="760"/>
      <c r="AA334" s="760"/>
      <c r="AB334" s="760"/>
      <c r="AC334" s="760"/>
    </row>
    <row r="335" ht="15.75" customHeight="1">
      <c r="A335" s="760"/>
      <c r="B335" s="760"/>
      <c r="C335" s="760"/>
      <c r="D335" s="760"/>
      <c r="E335" s="760"/>
      <c r="F335" s="759"/>
      <c r="G335" s="759"/>
      <c r="H335" s="759"/>
      <c r="I335" s="759"/>
      <c r="J335" s="759"/>
      <c r="K335" s="759"/>
      <c r="L335" s="760"/>
      <c r="M335" s="760"/>
      <c r="N335" s="760"/>
      <c r="O335" s="760"/>
      <c r="P335" s="760"/>
      <c r="Q335" s="760"/>
      <c r="R335" s="760"/>
      <c r="S335" s="760"/>
      <c r="T335" s="760"/>
      <c r="U335" s="760"/>
      <c r="V335" s="760"/>
      <c r="W335" s="760"/>
      <c r="X335" s="760"/>
      <c r="Y335" s="760"/>
      <c r="Z335" s="760"/>
      <c r="AA335" s="760"/>
      <c r="AB335" s="760"/>
      <c r="AC335" s="760"/>
    </row>
    <row r="336" ht="15.75" customHeight="1">
      <c r="A336" s="760"/>
      <c r="B336" s="760"/>
      <c r="C336" s="760"/>
      <c r="D336" s="760"/>
      <c r="E336" s="760"/>
      <c r="F336" s="759"/>
      <c r="G336" s="759"/>
      <c r="H336" s="759"/>
      <c r="I336" s="759"/>
      <c r="J336" s="759"/>
      <c r="K336" s="759"/>
      <c r="L336" s="760"/>
      <c r="M336" s="760"/>
      <c r="N336" s="760"/>
      <c r="O336" s="760"/>
      <c r="P336" s="760"/>
      <c r="Q336" s="760"/>
      <c r="R336" s="760"/>
      <c r="S336" s="760"/>
      <c r="T336" s="760"/>
      <c r="U336" s="760"/>
      <c r="V336" s="760"/>
      <c r="W336" s="760"/>
      <c r="X336" s="760"/>
      <c r="Y336" s="760"/>
      <c r="Z336" s="760"/>
      <c r="AA336" s="760"/>
      <c r="AB336" s="760"/>
      <c r="AC336" s="760"/>
    </row>
    <row r="337" ht="15.75" customHeight="1">
      <c r="A337" s="760"/>
      <c r="B337" s="760"/>
      <c r="C337" s="760"/>
      <c r="D337" s="760"/>
      <c r="E337" s="760"/>
      <c r="F337" s="759"/>
      <c r="G337" s="759"/>
      <c r="H337" s="759"/>
      <c r="I337" s="759"/>
      <c r="J337" s="759"/>
      <c r="K337" s="759"/>
      <c r="L337" s="760"/>
      <c r="M337" s="760"/>
      <c r="N337" s="760"/>
      <c r="O337" s="760"/>
      <c r="P337" s="760"/>
      <c r="Q337" s="760"/>
      <c r="R337" s="760"/>
      <c r="S337" s="760"/>
      <c r="T337" s="760"/>
      <c r="U337" s="760"/>
      <c r="V337" s="760"/>
      <c r="W337" s="760"/>
      <c r="X337" s="760"/>
      <c r="Y337" s="760"/>
      <c r="Z337" s="760"/>
      <c r="AA337" s="760"/>
      <c r="AB337" s="760"/>
      <c r="AC337" s="760"/>
    </row>
    <row r="338" ht="15.75" customHeight="1">
      <c r="A338" s="760"/>
      <c r="B338" s="760"/>
      <c r="C338" s="760"/>
      <c r="D338" s="760"/>
      <c r="E338" s="760"/>
      <c r="F338" s="759"/>
      <c r="G338" s="759"/>
      <c r="H338" s="759"/>
      <c r="I338" s="759"/>
      <c r="J338" s="759"/>
      <c r="K338" s="759"/>
      <c r="L338" s="760"/>
      <c r="M338" s="760"/>
      <c r="N338" s="760"/>
      <c r="O338" s="760"/>
      <c r="P338" s="760"/>
      <c r="Q338" s="760"/>
      <c r="R338" s="760"/>
      <c r="S338" s="760"/>
      <c r="T338" s="760"/>
      <c r="U338" s="760"/>
      <c r="V338" s="760"/>
      <c r="W338" s="760"/>
      <c r="X338" s="760"/>
      <c r="Y338" s="760"/>
      <c r="Z338" s="760"/>
      <c r="AA338" s="760"/>
      <c r="AB338" s="760"/>
      <c r="AC338" s="760"/>
    </row>
    <row r="339" ht="15.75" customHeight="1">
      <c r="A339" s="760"/>
      <c r="B339" s="760"/>
      <c r="C339" s="760"/>
      <c r="D339" s="760"/>
      <c r="E339" s="760"/>
      <c r="F339" s="759"/>
      <c r="G339" s="759"/>
      <c r="H339" s="759"/>
      <c r="I339" s="759"/>
      <c r="J339" s="759"/>
      <c r="K339" s="759"/>
      <c r="L339" s="760"/>
      <c r="M339" s="760"/>
      <c r="N339" s="760"/>
      <c r="O339" s="760"/>
      <c r="P339" s="760"/>
      <c r="Q339" s="760"/>
      <c r="R339" s="760"/>
      <c r="S339" s="760"/>
      <c r="T339" s="760"/>
      <c r="U339" s="760"/>
      <c r="V339" s="760"/>
      <c r="W339" s="760"/>
      <c r="X339" s="760"/>
      <c r="Y339" s="760"/>
      <c r="Z339" s="760"/>
      <c r="AA339" s="760"/>
      <c r="AB339" s="760"/>
      <c r="AC339" s="760"/>
    </row>
    <row r="340" ht="15.75" customHeight="1">
      <c r="A340" s="760"/>
      <c r="B340" s="760"/>
      <c r="C340" s="760"/>
      <c r="D340" s="760"/>
      <c r="E340" s="760"/>
      <c r="F340" s="759"/>
      <c r="G340" s="759"/>
      <c r="H340" s="759"/>
      <c r="I340" s="759"/>
      <c r="J340" s="759"/>
      <c r="K340" s="759"/>
      <c r="L340" s="760"/>
      <c r="M340" s="760"/>
      <c r="N340" s="760"/>
      <c r="O340" s="760"/>
      <c r="P340" s="760"/>
      <c r="Q340" s="760"/>
      <c r="R340" s="760"/>
      <c r="S340" s="760"/>
      <c r="T340" s="760"/>
      <c r="U340" s="760"/>
      <c r="V340" s="760"/>
      <c r="W340" s="760"/>
      <c r="X340" s="760"/>
      <c r="Y340" s="760"/>
      <c r="Z340" s="760"/>
      <c r="AA340" s="760"/>
      <c r="AB340" s="760"/>
      <c r="AC340" s="760"/>
    </row>
    <row r="341" ht="15.75" customHeight="1">
      <c r="A341" s="760"/>
      <c r="B341" s="760"/>
      <c r="C341" s="760"/>
      <c r="D341" s="760"/>
      <c r="E341" s="760"/>
      <c r="F341" s="759"/>
      <c r="G341" s="759"/>
      <c r="H341" s="759"/>
      <c r="I341" s="759"/>
      <c r="J341" s="759"/>
      <c r="K341" s="759"/>
      <c r="L341" s="760"/>
      <c r="M341" s="760"/>
      <c r="N341" s="760"/>
      <c r="O341" s="760"/>
      <c r="P341" s="760"/>
      <c r="Q341" s="760"/>
      <c r="R341" s="760"/>
      <c r="S341" s="760"/>
      <c r="T341" s="760"/>
      <c r="U341" s="760"/>
      <c r="V341" s="760"/>
      <c r="W341" s="760"/>
      <c r="X341" s="760"/>
      <c r="Y341" s="760"/>
      <c r="Z341" s="760"/>
      <c r="AA341" s="760"/>
      <c r="AB341" s="760"/>
      <c r="AC341" s="760"/>
    </row>
    <row r="342" ht="15.75" customHeight="1">
      <c r="A342" s="760"/>
      <c r="B342" s="760"/>
      <c r="C342" s="760"/>
      <c r="D342" s="760"/>
      <c r="E342" s="760"/>
      <c r="F342" s="759"/>
      <c r="G342" s="759"/>
      <c r="H342" s="759"/>
      <c r="I342" s="759"/>
      <c r="J342" s="759"/>
      <c r="K342" s="759"/>
      <c r="L342" s="760"/>
      <c r="M342" s="760"/>
      <c r="N342" s="760"/>
      <c r="O342" s="760"/>
      <c r="P342" s="760"/>
      <c r="Q342" s="760"/>
      <c r="R342" s="760"/>
      <c r="S342" s="760"/>
      <c r="T342" s="760"/>
      <c r="U342" s="760"/>
      <c r="V342" s="760"/>
      <c r="W342" s="760"/>
      <c r="X342" s="760"/>
      <c r="Y342" s="760"/>
      <c r="Z342" s="760"/>
      <c r="AA342" s="760"/>
      <c r="AB342" s="760"/>
      <c r="AC342" s="760"/>
    </row>
    <row r="343" ht="15.75" customHeight="1">
      <c r="A343" s="760"/>
      <c r="B343" s="760"/>
      <c r="C343" s="760"/>
      <c r="D343" s="760"/>
      <c r="E343" s="760"/>
      <c r="F343" s="759"/>
      <c r="G343" s="759"/>
      <c r="H343" s="759"/>
      <c r="I343" s="759"/>
      <c r="J343" s="759"/>
      <c r="K343" s="759"/>
      <c r="L343" s="760"/>
      <c r="M343" s="760"/>
      <c r="N343" s="760"/>
      <c r="O343" s="760"/>
      <c r="P343" s="760"/>
      <c r="Q343" s="760"/>
      <c r="R343" s="760"/>
      <c r="S343" s="760"/>
      <c r="T343" s="760"/>
      <c r="U343" s="760"/>
      <c r="V343" s="760"/>
      <c r="W343" s="760"/>
      <c r="X343" s="760"/>
      <c r="Y343" s="760"/>
      <c r="Z343" s="760"/>
      <c r="AA343" s="760"/>
      <c r="AB343" s="760"/>
      <c r="AC343" s="760"/>
    </row>
    <row r="344" ht="15.75" customHeight="1">
      <c r="A344" s="760"/>
      <c r="B344" s="760"/>
      <c r="C344" s="760"/>
      <c r="D344" s="760"/>
      <c r="E344" s="760"/>
      <c r="F344" s="759"/>
      <c r="G344" s="759"/>
      <c r="H344" s="759"/>
      <c r="I344" s="759"/>
      <c r="J344" s="759"/>
      <c r="K344" s="759"/>
      <c r="L344" s="760"/>
      <c r="M344" s="760"/>
      <c r="N344" s="760"/>
      <c r="O344" s="760"/>
      <c r="P344" s="760"/>
      <c r="Q344" s="760"/>
      <c r="R344" s="760"/>
      <c r="S344" s="760"/>
      <c r="T344" s="760"/>
      <c r="U344" s="760"/>
      <c r="V344" s="760"/>
      <c r="W344" s="760"/>
      <c r="X344" s="760"/>
      <c r="Y344" s="760"/>
      <c r="Z344" s="760"/>
      <c r="AA344" s="760"/>
      <c r="AB344" s="760"/>
      <c r="AC344" s="760"/>
    </row>
    <row r="345" ht="15.75" customHeight="1">
      <c r="A345" s="760"/>
      <c r="B345" s="760"/>
      <c r="C345" s="760"/>
      <c r="D345" s="760"/>
      <c r="E345" s="760"/>
      <c r="F345" s="759"/>
      <c r="G345" s="759"/>
      <c r="H345" s="759"/>
      <c r="I345" s="759"/>
      <c r="J345" s="759"/>
      <c r="K345" s="759"/>
      <c r="L345" s="760"/>
      <c r="M345" s="760"/>
      <c r="N345" s="760"/>
      <c r="O345" s="760"/>
      <c r="P345" s="760"/>
      <c r="Q345" s="760"/>
      <c r="R345" s="760"/>
      <c r="S345" s="760"/>
      <c r="T345" s="760"/>
      <c r="U345" s="760"/>
      <c r="V345" s="760"/>
      <c r="W345" s="760"/>
      <c r="X345" s="760"/>
      <c r="Y345" s="760"/>
      <c r="Z345" s="760"/>
      <c r="AA345" s="760"/>
      <c r="AB345" s="760"/>
      <c r="AC345" s="760"/>
    </row>
    <row r="346" ht="15.75" customHeight="1">
      <c r="A346" s="760"/>
      <c r="B346" s="760"/>
      <c r="C346" s="760"/>
      <c r="D346" s="760"/>
      <c r="E346" s="760"/>
      <c r="F346" s="759"/>
      <c r="G346" s="759"/>
      <c r="H346" s="759"/>
      <c r="I346" s="759"/>
      <c r="J346" s="759"/>
      <c r="K346" s="759"/>
      <c r="L346" s="760"/>
      <c r="M346" s="760"/>
      <c r="N346" s="760"/>
      <c r="O346" s="760"/>
      <c r="P346" s="760"/>
      <c r="Q346" s="760"/>
      <c r="R346" s="760"/>
      <c r="S346" s="760"/>
      <c r="T346" s="760"/>
      <c r="U346" s="760"/>
      <c r="V346" s="760"/>
      <c r="W346" s="760"/>
      <c r="X346" s="760"/>
      <c r="Y346" s="760"/>
      <c r="Z346" s="760"/>
      <c r="AA346" s="760"/>
      <c r="AB346" s="760"/>
      <c r="AC346" s="760"/>
    </row>
    <row r="347" ht="15.75" customHeight="1">
      <c r="A347" s="760"/>
      <c r="B347" s="760"/>
      <c r="C347" s="760"/>
      <c r="D347" s="760"/>
      <c r="E347" s="760"/>
      <c r="F347" s="759"/>
      <c r="G347" s="759"/>
      <c r="H347" s="759"/>
      <c r="I347" s="759"/>
      <c r="J347" s="759"/>
      <c r="K347" s="759"/>
      <c r="L347" s="760"/>
      <c r="M347" s="760"/>
      <c r="N347" s="760"/>
      <c r="O347" s="760"/>
      <c r="P347" s="760"/>
      <c r="Q347" s="760"/>
      <c r="R347" s="760"/>
      <c r="S347" s="760"/>
      <c r="T347" s="760"/>
      <c r="U347" s="760"/>
      <c r="V347" s="760"/>
      <c r="W347" s="760"/>
      <c r="X347" s="760"/>
      <c r="Y347" s="760"/>
      <c r="Z347" s="760"/>
      <c r="AA347" s="760"/>
      <c r="AB347" s="760"/>
      <c r="AC347" s="760"/>
    </row>
    <row r="348" ht="15.75" customHeight="1">
      <c r="A348" s="760"/>
      <c r="B348" s="760"/>
      <c r="C348" s="760"/>
      <c r="D348" s="760"/>
      <c r="E348" s="760"/>
      <c r="F348" s="759"/>
      <c r="G348" s="759"/>
      <c r="H348" s="759"/>
      <c r="I348" s="759"/>
      <c r="J348" s="759"/>
      <c r="K348" s="759"/>
      <c r="L348" s="760"/>
      <c r="M348" s="760"/>
      <c r="N348" s="760"/>
      <c r="O348" s="760"/>
      <c r="P348" s="760"/>
      <c r="Q348" s="760"/>
      <c r="R348" s="760"/>
      <c r="S348" s="760"/>
      <c r="T348" s="760"/>
      <c r="U348" s="760"/>
      <c r="V348" s="760"/>
      <c r="W348" s="760"/>
      <c r="X348" s="760"/>
      <c r="Y348" s="760"/>
      <c r="Z348" s="760"/>
      <c r="AA348" s="760"/>
      <c r="AB348" s="760"/>
      <c r="AC348" s="760"/>
    </row>
    <row r="349" ht="15.75" customHeight="1">
      <c r="A349" s="760"/>
      <c r="B349" s="760"/>
      <c r="C349" s="760"/>
      <c r="D349" s="760"/>
      <c r="E349" s="760"/>
      <c r="F349" s="759"/>
      <c r="G349" s="759"/>
      <c r="H349" s="759"/>
      <c r="I349" s="759"/>
      <c r="J349" s="759"/>
      <c r="K349" s="759"/>
      <c r="L349" s="760"/>
      <c r="M349" s="760"/>
      <c r="N349" s="760"/>
      <c r="O349" s="760"/>
      <c r="P349" s="760"/>
      <c r="Q349" s="760"/>
      <c r="R349" s="760"/>
      <c r="S349" s="760"/>
      <c r="T349" s="760"/>
      <c r="U349" s="760"/>
      <c r="V349" s="760"/>
      <c r="W349" s="760"/>
      <c r="X349" s="760"/>
      <c r="Y349" s="760"/>
      <c r="Z349" s="760"/>
      <c r="AA349" s="760"/>
      <c r="AB349" s="760"/>
      <c r="AC349" s="760"/>
    </row>
    <row r="350" ht="15.75" customHeight="1">
      <c r="A350" s="760"/>
      <c r="B350" s="760"/>
      <c r="C350" s="760"/>
      <c r="D350" s="760"/>
      <c r="E350" s="760"/>
      <c r="F350" s="759"/>
      <c r="G350" s="759"/>
      <c r="H350" s="759"/>
      <c r="I350" s="759"/>
      <c r="J350" s="759"/>
      <c r="K350" s="759"/>
      <c r="L350" s="760"/>
      <c r="M350" s="760"/>
      <c r="N350" s="760"/>
      <c r="O350" s="760"/>
      <c r="P350" s="760"/>
      <c r="Q350" s="760"/>
      <c r="R350" s="760"/>
      <c r="S350" s="760"/>
      <c r="T350" s="760"/>
      <c r="U350" s="760"/>
      <c r="V350" s="760"/>
      <c r="W350" s="760"/>
      <c r="X350" s="760"/>
      <c r="Y350" s="760"/>
      <c r="Z350" s="760"/>
      <c r="AA350" s="760"/>
      <c r="AB350" s="760"/>
      <c r="AC350" s="760"/>
    </row>
    <row r="351" ht="15.75" customHeight="1">
      <c r="A351" s="760"/>
      <c r="B351" s="760"/>
      <c r="C351" s="760"/>
      <c r="D351" s="760"/>
      <c r="E351" s="760"/>
      <c r="F351" s="759"/>
      <c r="G351" s="759"/>
      <c r="H351" s="759"/>
      <c r="I351" s="759"/>
      <c r="J351" s="759"/>
      <c r="K351" s="759"/>
      <c r="L351" s="760"/>
      <c r="M351" s="760"/>
      <c r="N351" s="760"/>
      <c r="O351" s="760"/>
      <c r="P351" s="760"/>
      <c r="Q351" s="760"/>
      <c r="R351" s="760"/>
      <c r="S351" s="760"/>
      <c r="T351" s="760"/>
      <c r="U351" s="760"/>
      <c r="V351" s="760"/>
      <c r="W351" s="760"/>
      <c r="X351" s="760"/>
      <c r="Y351" s="760"/>
      <c r="Z351" s="760"/>
      <c r="AA351" s="760"/>
      <c r="AB351" s="760"/>
      <c r="AC351" s="760"/>
    </row>
    <row r="352" ht="15.75" customHeight="1">
      <c r="A352" s="760"/>
      <c r="B352" s="760"/>
      <c r="C352" s="760"/>
      <c r="D352" s="760"/>
      <c r="E352" s="760"/>
      <c r="F352" s="759"/>
      <c r="G352" s="759"/>
      <c r="H352" s="759"/>
      <c r="I352" s="759"/>
      <c r="J352" s="759"/>
      <c r="K352" s="759"/>
      <c r="L352" s="760"/>
      <c r="M352" s="760"/>
      <c r="N352" s="760"/>
      <c r="O352" s="760"/>
      <c r="P352" s="760"/>
      <c r="Q352" s="760"/>
      <c r="R352" s="760"/>
      <c r="S352" s="760"/>
      <c r="T352" s="760"/>
      <c r="U352" s="760"/>
      <c r="V352" s="760"/>
      <c r="W352" s="760"/>
      <c r="X352" s="760"/>
      <c r="Y352" s="760"/>
      <c r="Z352" s="760"/>
      <c r="AA352" s="760"/>
      <c r="AB352" s="760"/>
      <c r="AC352" s="760"/>
    </row>
    <row r="353" ht="15.75" customHeight="1">
      <c r="A353" s="760"/>
      <c r="B353" s="760"/>
      <c r="C353" s="760"/>
      <c r="D353" s="760"/>
      <c r="E353" s="760"/>
      <c r="F353" s="759"/>
      <c r="G353" s="759"/>
      <c r="H353" s="759"/>
      <c r="I353" s="759"/>
      <c r="J353" s="759"/>
      <c r="K353" s="759"/>
      <c r="L353" s="760"/>
      <c r="M353" s="760"/>
      <c r="N353" s="760"/>
      <c r="O353" s="760"/>
      <c r="P353" s="760"/>
      <c r="Q353" s="760"/>
      <c r="R353" s="760"/>
      <c r="S353" s="760"/>
      <c r="T353" s="760"/>
      <c r="U353" s="760"/>
      <c r="V353" s="760"/>
      <c r="W353" s="760"/>
      <c r="X353" s="760"/>
      <c r="Y353" s="760"/>
      <c r="Z353" s="760"/>
      <c r="AA353" s="760"/>
      <c r="AB353" s="760"/>
      <c r="AC353" s="760"/>
    </row>
    <row r="354" ht="15.75" customHeight="1">
      <c r="A354" s="760"/>
      <c r="B354" s="760"/>
      <c r="C354" s="760"/>
      <c r="D354" s="760"/>
      <c r="E354" s="760"/>
      <c r="F354" s="759"/>
      <c r="G354" s="759"/>
      <c r="H354" s="759"/>
      <c r="I354" s="759"/>
      <c r="J354" s="759"/>
      <c r="K354" s="759"/>
      <c r="L354" s="760"/>
      <c r="M354" s="760"/>
      <c r="N354" s="760"/>
      <c r="O354" s="760"/>
      <c r="P354" s="760"/>
      <c r="Q354" s="760"/>
      <c r="R354" s="760"/>
      <c r="S354" s="760"/>
      <c r="T354" s="760"/>
      <c r="U354" s="760"/>
      <c r="V354" s="760"/>
      <c r="W354" s="760"/>
      <c r="X354" s="760"/>
      <c r="Y354" s="760"/>
      <c r="Z354" s="760"/>
      <c r="AA354" s="760"/>
      <c r="AB354" s="760"/>
      <c r="AC354" s="760"/>
    </row>
    <row r="355" ht="15.75" customHeight="1">
      <c r="A355" s="760"/>
      <c r="B355" s="760"/>
      <c r="C355" s="760"/>
      <c r="D355" s="760"/>
      <c r="E355" s="760"/>
      <c r="F355" s="759"/>
      <c r="G355" s="759"/>
      <c r="H355" s="759"/>
      <c r="I355" s="759"/>
      <c r="J355" s="759"/>
      <c r="K355" s="759"/>
      <c r="L355" s="760"/>
      <c r="M355" s="760"/>
      <c r="N355" s="760"/>
      <c r="O355" s="760"/>
      <c r="P355" s="760"/>
      <c r="Q355" s="760"/>
      <c r="R355" s="760"/>
      <c r="S355" s="760"/>
      <c r="T355" s="760"/>
      <c r="U355" s="760"/>
      <c r="V355" s="760"/>
      <c r="W355" s="760"/>
      <c r="X355" s="760"/>
      <c r="Y355" s="760"/>
      <c r="Z355" s="760"/>
      <c r="AA355" s="760"/>
      <c r="AB355" s="760"/>
      <c r="AC355" s="760"/>
    </row>
    <row r="356" ht="15.75" customHeight="1">
      <c r="A356" s="760"/>
      <c r="B356" s="760"/>
      <c r="C356" s="760"/>
      <c r="D356" s="760"/>
      <c r="E356" s="760"/>
      <c r="F356" s="759"/>
      <c r="G356" s="759"/>
      <c r="H356" s="759"/>
      <c r="I356" s="759"/>
      <c r="J356" s="759"/>
      <c r="K356" s="759"/>
      <c r="L356" s="760"/>
      <c r="M356" s="760"/>
      <c r="N356" s="760"/>
      <c r="O356" s="760"/>
      <c r="P356" s="760"/>
      <c r="Q356" s="760"/>
      <c r="R356" s="760"/>
      <c r="S356" s="760"/>
      <c r="T356" s="760"/>
      <c r="U356" s="760"/>
      <c r="V356" s="760"/>
      <c r="W356" s="760"/>
      <c r="X356" s="760"/>
      <c r="Y356" s="760"/>
      <c r="Z356" s="760"/>
      <c r="AA356" s="760"/>
      <c r="AB356" s="760"/>
      <c r="AC356" s="760"/>
    </row>
    <row r="357" ht="15.75" customHeight="1">
      <c r="A357" s="760"/>
      <c r="B357" s="760"/>
      <c r="C357" s="760"/>
      <c r="D357" s="760"/>
      <c r="E357" s="760"/>
      <c r="F357" s="759"/>
      <c r="G357" s="759"/>
      <c r="H357" s="759"/>
      <c r="I357" s="759"/>
      <c r="J357" s="759"/>
      <c r="K357" s="759"/>
      <c r="L357" s="760"/>
      <c r="M357" s="760"/>
      <c r="N357" s="760"/>
      <c r="O357" s="760"/>
      <c r="P357" s="760"/>
      <c r="Q357" s="760"/>
      <c r="R357" s="760"/>
      <c r="S357" s="760"/>
      <c r="T357" s="760"/>
      <c r="U357" s="760"/>
      <c r="V357" s="760"/>
      <c r="W357" s="760"/>
      <c r="X357" s="760"/>
      <c r="Y357" s="760"/>
      <c r="Z357" s="760"/>
      <c r="AA357" s="760"/>
      <c r="AB357" s="760"/>
      <c r="AC357" s="760"/>
    </row>
    <row r="358" ht="15.75" customHeight="1">
      <c r="A358" s="760"/>
      <c r="B358" s="760"/>
      <c r="C358" s="760"/>
      <c r="D358" s="760"/>
      <c r="E358" s="760"/>
      <c r="F358" s="759"/>
      <c r="G358" s="759"/>
      <c r="H358" s="759"/>
      <c r="I358" s="759"/>
      <c r="J358" s="759"/>
      <c r="K358" s="759"/>
      <c r="L358" s="760"/>
      <c r="M358" s="760"/>
      <c r="N358" s="760"/>
      <c r="O358" s="760"/>
      <c r="P358" s="760"/>
      <c r="Q358" s="760"/>
      <c r="R358" s="760"/>
      <c r="S358" s="760"/>
      <c r="T358" s="760"/>
      <c r="U358" s="760"/>
      <c r="V358" s="760"/>
      <c r="W358" s="760"/>
      <c r="X358" s="760"/>
      <c r="Y358" s="760"/>
      <c r="Z358" s="760"/>
      <c r="AA358" s="760"/>
      <c r="AB358" s="760"/>
      <c r="AC358" s="760"/>
    </row>
    <row r="359" ht="15.75" customHeight="1">
      <c r="A359" s="760"/>
      <c r="B359" s="760"/>
      <c r="C359" s="760"/>
      <c r="D359" s="760"/>
      <c r="E359" s="760"/>
      <c r="F359" s="759"/>
      <c r="G359" s="759"/>
      <c r="H359" s="759"/>
      <c r="I359" s="759"/>
      <c r="J359" s="759"/>
      <c r="K359" s="759"/>
      <c r="L359" s="760"/>
      <c r="M359" s="760"/>
      <c r="N359" s="760"/>
      <c r="O359" s="760"/>
      <c r="P359" s="760"/>
      <c r="Q359" s="760"/>
      <c r="R359" s="760"/>
      <c r="S359" s="760"/>
      <c r="T359" s="760"/>
      <c r="U359" s="760"/>
      <c r="V359" s="760"/>
      <c r="W359" s="760"/>
      <c r="X359" s="760"/>
      <c r="Y359" s="760"/>
      <c r="Z359" s="760"/>
      <c r="AA359" s="760"/>
      <c r="AB359" s="760"/>
      <c r="AC359" s="760"/>
    </row>
    <row r="360" ht="15.75" customHeight="1">
      <c r="A360" s="760"/>
      <c r="B360" s="760"/>
      <c r="C360" s="760"/>
      <c r="D360" s="760"/>
      <c r="E360" s="760"/>
      <c r="F360" s="759"/>
      <c r="G360" s="759"/>
      <c r="H360" s="759"/>
      <c r="I360" s="759"/>
      <c r="J360" s="759"/>
      <c r="K360" s="759"/>
      <c r="L360" s="760"/>
      <c r="M360" s="760"/>
      <c r="N360" s="760"/>
      <c r="O360" s="760"/>
      <c r="P360" s="760"/>
      <c r="Q360" s="760"/>
      <c r="R360" s="760"/>
      <c r="S360" s="760"/>
      <c r="T360" s="760"/>
      <c r="U360" s="760"/>
      <c r="V360" s="760"/>
      <c r="W360" s="760"/>
      <c r="X360" s="760"/>
      <c r="Y360" s="760"/>
      <c r="Z360" s="760"/>
      <c r="AA360" s="760"/>
      <c r="AB360" s="760"/>
      <c r="AC360" s="760"/>
    </row>
    <row r="361" ht="15.75" customHeight="1">
      <c r="A361" s="760"/>
      <c r="B361" s="760"/>
      <c r="C361" s="760"/>
      <c r="D361" s="760"/>
      <c r="E361" s="760"/>
      <c r="F361" s="759"/>
      <c r="G361" s="759"/>
      <c r="H361" s="759"/>
      <c r="I361" s="759"/>
      <c r="J361" s="759"/>
      <c r="K361" s="759"/>
      <c r="L361" s="760"/>
      <c r="M361" s="760"/>
      <c r="N361" s="760"/>
      <c r="O361" s="760"/>
      <c r="P361" s="760"/>
      <c r="Q361" s="760"/>
      <c r="R361" s="760"/>
      <c r="S361" s="760"/>
      <c r="T361" s="760"/>
      <c r="U361" s="760"/>
      <c r="V361" s="760"/>
      <c r="W361" s="760"/>
      <c r="X361" s="760"/>
      <c r="Y361" s="760"/>
      <c r="Z361" s="760"/>
      <c r="AA361" s="760"/>
      <c r="AB361" s="760"/>
      <c r="AC361" s="760"/>
    </row>
    <row r="362" ht="15.75" customHeight="1">
      <c r="A362" s="760"/>
      <c r="B362" s="760"/>
      <c r="C362" s="760"/>
      <c r="D362" s="760"/>
      <c r="E362" s="760"/>
      <c r="F362" s="759"/>
      <c r="G362" s="759"/>
      <c r="H362" s="759"/>
      <c r="I362" s="759"/>
      <c r="J362" s="759"/>
      <c r="K362" s="759"/>
      <c r="L362" s="760"/>
      <c r="M362" s="760"/>
      <c r="N362" s="760"/>
      <c r="O362" s="760"/>
      <c r="P362" s="760"/>
      <c r="Q362" s="760"/>
      <c r="R362" s="760"/>
      <c r="S362" s="760"/>
      <c r="T362" s="760"/>
      <c r="U362" s="760"/>
      <c r="V362" s="760"/>
      <c r="W362" s="760"/>
      <c r="X362" s="760"/>
      <c r="Y362" s="760"/>
      <c r="Z362" s="760"/>
      <c r="AA362" s="760"/>
      <c r="AB362" s="760"/>
      <c r="AC362" s="760"/>
    </row>
    <row r="363" ht="15.75" customHeight="1">
      <c r="A363" s="760"/>
      <c r="B363" s="760"/>
      <c r="C363" s="760"/>
      <c r="D363" s="760"/>
      <c r="E363" s="760"/>
      <c r="F363" s="759"/>
      <c r="G363" s="759"/>
      <c r="H363" s="759"/>
      <c r="I363" s="759"/>
      <c r="J363" s="759"/>
      <c r="K363" s="759"/>
      <c r="L363" s="760"/>
      <c r="M363" s="760"/>
      <c r="N363" s="760"/>
      <c r="O363" s="760"/>
      <c r="P363" s="760"/>
      <c r="Q363" s="760"/>
      <c r="R363" s="760"/>
      <c r="S363" s="760"/>
      <c r="T363" s="760"/>
      <c r="U363" s="760"/>
      <c r="V363" s="760"/>
      <c r="W363" s="760"/>
      <c r="X363" s="760"/>
      <c r="Y363" s="760"/>
      <c r="Z363" s="760"/>
      <c r="AA363" s="760"/>
      <c r="AB363" s="760"/>
      <c r="AC363" s="760"/>
    </row>
    <row r="364" ht="15.75" customHeight="1">
      <c r="A364" s="760"/>
      <c r="B364" s="760"/>
      <c r="C364" s="760"/>
      <c r="D364" s="760"/>
      <c r="E364" s="760"/>
      <c r="F364" s="759"/>
      <c r="G364" s="759"/>
      <c r="H364" s="759"/>
      <c r="I364" s="759"/>
      <c r="J364" s="759"/>
      <c r="K364" s="759"/>
      <c r="L364" s="760"/>
      <c r="M364" s="760"/>
      <c r="N364" s="760"/>
      <c r="O364" s="760"/>
      <c r="P364" s="760"/>
      <c r="Q364" s="760"/>
      <c r="R364" s="760"/>
      <c r="S364" s="760"/>
      <c r="T364" s="760"/>
      <c r="U364" s="760"/>
      <c r="V364" s="760"/>
      <c r="W364" s="760"/>
      <c r="X364" s="760"/>
      <c r="Y364" s="760"/>
      <c r="Z364" s="760"/>
      <c r="AA364" s="760"/>
      <c r="AB364" s="760"/>
      <c r="AC364" s="760"/>
    </row>
    <row r="365" ht="15.75" customHeight="1">
      <c r="A365" s="760"/>
      <c r="B365" s="760"/>
      <c r="C365" s="760"/>
      <c r="D365" s="760"/>
      <c r="E365" s="760"/>
      <c r="F365" s="759"/>
      <c r="G365" s="759"/>
      <c r="H365" s="759"/>
      <c r="I365" s="759"/>
      <c r="J365" s="759"/>
      <c r="K365" s="759"/>
      <c r="L365" s="760"/>
      <c r="M365" s="760"/>
      <c r="N365" s="760"/>
      <c r="O365" s="760"/>
      <c r="P365" s="760"/>
      <c r="Q365" s="760"/>
      <c r="R365" s="760"/>
      <c r="S365" s="760"/>
      <c r="T365" s="760"/>
      <c r="U365" s="760"/>
      <c r="V365" s="760"/>
      <c r="W365" s="760"/>
      <c r="X365" s="760"/>
      <c r="Y365" s="760"/>
      <c r="Z365" s="760"/>
      <c r="AA365" s="760"/>
      <c r="AB365" s="760"/>
      <c r="AC365" s="760"/>
    </row>
    <row r="366" ht="15.75" customHeight="1">
      <c r="A366" s="760"/>
      <c r="B366" s="760"/>
      <c r="C366" s="760"/>
      <c r="D366" s="760"/>
      <c r="E366" s="760"/>
      <c r="F366" s="759"/>
      <c r="G366" s="759"/>
      <c r="H366" s="759"/>
      <c r="I366" s="759"/>
      <c r="J366" s="759"/>
      <c r="K366" s="759"/>
      <c r="L366" s="760"/>
      <c r="M366" s="760"/>
      <c r="N366" s="760"/>
      <c r="O366" s="760"/>
      <c r="P366" s="760"/>
      <c r="Q366" s="760"/>
      <c r="R366" s="760"/>
      <c r="S366" s="760"/>
      <c r="T366" s="760"/>
      <c r="U366" s="760"/>
      <c r="V366" s="760"/>
      <c r="W366" s="760"/>
      <c r="X366" s="760"/>
      <c r="Y366" s="760"/>
      <c r="Z366" s="760"/>
      <c r="AA366" s="760"/>
      <c r="AB366" s="760"/>
      <c r="AC366" s="760"/>
    </row>
    <row r="367" ht="15.75" customHeight="1">
      <c r="A367" s="760"/>
      <c r="B367" s="760"/>
      <c r="C367" s="760"/>
      <c r="D367" s="760"/>
      <c r="E367" s="760"/>
      <c r="F367" s="759"/>
      <c r="G367" s="759"/>
      <c r="H367" s="759"/>
      <c r="I367" s="759"/>
      <c r="J367" s="759"/>
      <c r="K367" s="759"/>
      <c r="L367" s="760"/>
      <c r="M367" s="760"/>
      <c r="N367" s="760"/>
      <c r="O367" s="760"/>
      <c r="P367" s="760"/>
      <c r="Q367" s="760"/>
      <c r="R367" s="760"/>
      <c r="S367" s="760"/>
      <c r="T367" s="760"/>
      <c r="U367" s="760"/>
      <c r="V367" s="760"/>
      <c r="W367" s="760"/>
      <c r="X367" s="760"/>
      <c r="Y367" s="760"/>
      <c r="Z367" s="760"/>
      <c r="AA367" s="760"/>
      <c r="AB367" s="760"/>
      <c r="AC367" s="760"/>
    </row>
    <row r="368" ht="15.75" customHeight="1">
      <c r="A368" s="760"/>
      <c r="B368" s="760"/>
      <c r="C368" s="760"/>
      <c r="D368" s="760"/>
      <c r="E368" s="760"/>
      <c r="F368" s="759"/>
      <c r="G368" s="759"/>
      <c r="H368" s="759"/>
      <c r="I368" s="759"/>
      <c r="J368" s="759"/>
      <c r="K368" s="759"/>
      <c r="L368" s="760"/>
      <c r="M368" s="760"/>
      <c r="N368" s="760"/>
      <c r="O368" s="760"/>
      <c r="P368" s="760"/>
      <c r="Q368" s="760"/>
      <c r="R368" s="760"/>
      <c r="S368" s="760"/>
      <c r="T368" s="760"/>
      <c r="U368" s="760"/>
      <c r="V368" s="760"/>
      <c r="W368" s="760"/>
      <c r="X368" s="760"/>
      <c r="Y368" s="760"/>
      <c r="Z368" s="760"/>
      <c r="AA368" s="760"/>
      <c r="AB368" s="760"/>
      <c r="AC368" s="760"/>
    </row>
    <row r="369" ht="15.75" customHeight="1">
      <c r="A369" s="760"/>
      <c r="B369" s="760"/>
      <c r="C369" s="760"/>
      <c r="D369" s="760"/>
      <c r="E369" s="760"/>
      <c r="F369" s="759"/>
      <c r="G369" s="759"/>
      <c r="H369" s="759"/>
      <c r="I369" s="759"/>
      <c r="J369" s="759"/>
      <c r="K369" s="759"/>
      <c r="L369" s="760"/>
      <c r="M369" s="760"/>
      <c r="N369" s="760"/>
      <c r="O369" s="760"/>
      <c r="P369" s="760"/>
      <c r="Q369" s="760"/>
      <c r="R369" s="760"/>
      <c r="S369" s="760"/>
      <c r="T369" s="760"/>
      <c r="U369" s="760"/>
      <c r="V369" s="760"/>
      <c r="W369" s="760"/>
      <c r="X369" s="760"/>
      <c r="Y369" s="760"/>
      <c r="Z369" s="760"/>
      <c r="AA369" s="760"/>
      <c r="AB369" s="760"/>
      <c r="AC369" s="760"/>
    </row>
    <row r="370" ht="15.75" customHeight="1">
      <c r="A370" s="760"/>
      <c r="B370" s="760"/>
      <c r="C370" s="760"/>
      <c r="D370" s="760"/>
      <c r="E370" s="760"/>
      <c r="F370" s="759"/>
      <c r="G370" s="759"/>
      <c r="H370" s="759"/>
      <c r="I370" s="759"/>
      <c r="J370" s="759"/>
      <c r="K370" s="759"/>
      <c r="L370" s="760"/>
      <c r="M370" s="760"/>
      <c r="N370" s="760"/>
      <c r="O370" s="760"/>
      <c r="P370" s="760"/>
      <c r="Q370" s="760"/>
      <c r="R370" s="760"/>
      <c r="S370" s="760"/>
      <c r="T370" s="760"/>
      <c r="U370" s="760"/>
      <c r="V370" s="760"/>
      <c r="W370" s="760"/>
      <c r="X370" s="760"/>
      <c r="Y370" s="760"/>
      <c r="Z370" s="760"/>
      <c r="AA370" s="760"/>
      <c r="AB370" s="760"/>
      <c r="AC370" s="760"/>
    </row>
    <row r="371" ht="15.75" customHeight="1">
      <c r="A371" s="760"/>
      <c r="B371" s="760"/>
      <c r="C371" s="760"/>
      <c r="D371" s="760"/>
      <c r="E371" s="760"/>
      <c r="F371" s="759"/>
      <c r="G371" s="759"/>
      <c r="H371" s="759"/>
      <c r="I371" s="759"/>
      <c r="J371" s="759"/>
      <c r="K371" s="759"/>
      <c r="L371" s="760"/>
      <c r="M371" s="760"/>
      <c r="N371" s="760"/>
      <c r="O371" s="760"/>
      <c r="P371" s="760"/>
      <c r="Q371" s="760"/>
      <c r="R371" s="760"/>
      <c r="S371" s="760"/>
      <c r="T371" s="760"/>
      <c r="U371" s="760"/>
      <c r="V371" s="760"/>
      <c r="W371" s="760"/>
      <c r="X371" s="760"/>
      <c r="Y371" s="760"/>
      <c r="Z371" s="760"/>
      <c r="AA371" s="760"/>
      <c r="AB371" s="760"/>
      <c r="AC371" s="760"/>
    </row>
    <row r="372" ht="15.75" customHeight="1">
      <c r="A372" s="760"/>
      <c r="B372" s="760"/>
      <c r="C372" s="760"/>
      <c r="D372" s="760"/>
      <c r="E372" s="760"/>
      <c r="F372" s="759"/>
      <c r="G372" s="759"/>
      <c r="H372" s="759"/>
      <c r="I372" s="759"/>
      <c r="J372" s="759"/>
      <c r="K372" s="759"/>
      <c r="L372" s="760"/>
      <c r="M372" s="760"/>
      <c r="N372" s="760"/>
      <c r="O372" s="760"/>
      <c r="P372" s="760"/>
      <c r="Q372" s="760"/>
      <c r="R372" s="760"/>
      <c r="S372" s="760"/>
      <c r="T372" s="760"/>
      <c r="U372" s="760"/>
      <c r="V372" s="760"/>
      <c r="W372" s="760"/>
      <c r="X372" s="760"/>
      <c r="Y372" s="760"/>
      <c r="Z372" s="760"/>
      <c r="AA372" s="760"/>
      <c r="AB372" s="760"/>
      <c r="AC372" s="760"/>
    </row>
    <row r="373" ht="15.75" customHeight="1">
      <c r="A373" s="760"/>
      <c r="B373" s="760"/>
      <c r="C373" s="760"/>
      <c r="D373" s="760"/>
      <c r="E373" s="760"/>
      <c r="F373" s="759"/>
      <c r="G373" s="759"/>
      <c r="H373" s="759"/>
      <c r="I373" s="759"/>
      <c r="J373" s="759"/>
      <c r="K373" s="759"/>
      <c r="L373" s="760"/>
      <c r="M373" s="760"/>
      <c r="N373" s="760"/>
      <c r="O373" s="760"/>
      <c r="P373" s="760"/>
      <c r="Q373" s="760"/>
      <c r="R373" s="760"/>
      <c r="S373" s="760"/>
      <c r="T373" s="760"/>
      <c r="U373" s="760"/>
      <c r="V373" s="760"/>
      <c r="W373" s="760"/>
      <c r="X373" s="760"/>
      <c r="Y373" s="760"/>
      <c r="Z373" s="760"/>
      <c r="AA373" s="760"/>
      <c r="AB373" s="760"/>
      <c r="AC373" s="760"/>
    </row>
    <row r="374" ht="15.75" customHeight="1">
      <c r="A374" s="760"/>
      <c r="B374" s="760"/>
      <c r="C374" s="760"/>
      <c r="D374" s="760"/>
      <c r="E374" s="760"/>
      <c r="F374" s="759"/>
      <c r="G374" s="759"/>
      <c r="H374" s="759"/>
      <c r="I374" s="759"/>
      <c r="J374" s="759"/>
      <c r="K374" s="759"/>
      <c r="L374" s="760"/>
      <c r="M374" s="760"/>
      <c r="N374" s="760"/>
      <c r="O374" s="760"/>
      <c r="P374" s="760"/>
      <c r="Q374" s="760"/>
      <c r="R374" s="760"/>
      <c r="S374" s="760"/>
      <c r="T374" s="760"/>
      <c r="U374" s="760"/>
      <c r="V374" s="760"/>
      <c r="W374" s="760"/>
      <c r="X374" s="760"/>
      <c r="Y374" s="760"/>
      <c r="Z374" s="760"/>
      <c r="AA374" s="760"/>
      <c r="AB374" s="760"/>
      <c r="AC374" s="760"/>
    </row>
    <row r="375" ht="15.75" customHeight="1">
      <c r="A375" s="760"/>
      <c r="B375" s="760"/>
      <c r="C375" s="760"/>
      <c r="D375" s="760"/>
      <c r="E375" s="760"/>
      <c r="F375" s="759"/>
      <c r="G375" s="759"/>
      <c r="H375" s="759"/>
      <c r="I375" s="759"/>
      <c r="J375" s="759"/>
      <c r="K375" s="759"/>
      <c r="L375" s="760"/>
      <c r="M375" s="760"/>
      <c r="N375" s="760"/>
      <c r="O375" s="760"/>
      <c r="P375" s="760"/>
      <c r="Q375" s="760"/>
      <c r="R375" s="760"/>
      <c r="S375" s="760"/>
      <c r="T375" s="760"/>
      <c r="U375" s="760"/>
      <c r="V375" s="760"/>
      <c r="W375" s="760"/>
      <c r="X375" s="760"/>
      <c r="Y375" s="760"/>
      <c r="Z375" s="760"/>
      <c r="AA375" s="760"/>
      <c r="AB375" s="760"/>
      <c r="AC375" s="760"/>
    </row>
    <row r="376" ht="15.75" customHeight="1">
      <c r="A376" s="760"/>
      <c r="B376" s="760"/>
      <c r="C376" s="760"/>
      <c r="D376" s="760"/>
      <c r="E376" s="760"/>
      <c r="F376" s="759"/>
      <c r="G376" s="759"/>
      <c r="H376" s="759"/>
      <c r="I376" s="759"/>
      <c r="J376" s="759"/>
      <c r="K376" s="759"/>
      <c r="L376" s="760"/>
      <c r="M376" s="760"/>
      <c r="N376" s="760"/>
      <c r="O376" s="760"/>
      <c r="P376" s="760"/>
      <c r="Q376" s="760"/>
      <c r="R376" s="760"/>
      <c r="S376" s="760"/>
      <c r="T376" s="760"/>
      <c r="U376" s="760"/>
      <c r="V376" s="760"/>
      <c r="W376" s="760"/>
      <c r="X376" s="760"/>
      <c r="Y376" s="760"/>
      <c r="Z376" s="760"/>
      <c r="AA376" s="760"/>
      <c r="AB376" s="760"/>
      <c r="AC376" s="760"/>
    </row>
    <row r="377" ht="15.75" customHeight="1">
      <c r="A377" s="760"/>
      <c r="B377" s="760"/>
      <c r="C377" s="760"/>
      <c r="D377" s="760"/>
      <c r="E377" s="760"/>
      <c r="F377" s="759"/>
      <c r="G377" s="759"/>
      <c r="H377" s="759"/>
      <c r="I377" s="759"/>
      <c r="J377" s="759"/>
      <c r="K377" s="759"/>
      <c r="L377" s="760"/>
      <c r="M377" s="760"/>
      <c r="N377" s="760"/>
      <c r="O377" s="760"/>
      <c r="P377" s="760"/>
      <c r="Q377" s="760"/>
      <c r="R377" s="760"/>
      <c r="S377" s="760"/>
      <c r="T377" s="760"/>
      <c r="U377" s="760"/>
      <c r="V377" s="760"/>
      <c r="W377" s="760"/>
      <c r="X377" s="760"/>
      <c r="Y377" s="760"/>
      <c r="Z377" s="760"/>
      <c r="AA377" s="760"/>
      <c r="AB377" s="760"/>
      <c r="AC377" s="760"/>
    </row>
    <row r="378" ht="15.75" customHeight="1">
      <c r="A378" s="760"/>
      <c r="B378" s="760"/>
      <c r="C378" s="760"/>
      <c r="D378" s="760"/>
      <c r="E378" s="760"/>
      <c r="F378" s="759"/>
      <c r="G378" s="759"/>
      <c r="H378" s="759"/>
      <c r="I378" s="759"/>
      <c r="J378" s="759"/>
      <c r="K378" s="759"/>
      <c r="L378" s="760"/>
      <c r="M378" s="760"/>
      <c r="N378" s="760"/>
      <c r="O378" s="760"/>
      <c r="P378" s="760"/>
      <c r="Q378" s="760"/>
      <c r="R378" s="760"/>
      <c r="S378" s="760"/>
      <c r="T378" s="760"/>
      <c r="U378" s="760"/>
      <c r="V378" s="760"/>
      <c r="W378" s="760"/>
      <c r="X378" s="760"/>
      <c r="Y378" s="760"/>
      <c r="Z378" s="760"/>
      <c r="AA378" s="760"/>
      <c r="AB378" s="760"/>
      <c r="AC378" s="760"/>
    </row>
    <row r="379" ht="15.75" customHeight="1">
      <c r="A379" s="760"/>
      <c r="B379" s="760"/>
      <c r="C379" s="760"/>
      <c r="D379" s="760"/>
      <c r="E379" s="760"/>
      <c r="F379" s="759"/>
      <c r="G379" s="759"/>
      <c r="H379" s="759"/>
      <c r="I379" s="759"/>
      <c r="J379" s="759"/>
      <c r="K379" s="759"/>
      <c r="L379" s="760"/>
      <c r="M379" s="760"/>
      <c r="N379" s="760"/>
      <c r="O379" s="760"/>
      <c r="P379" s="760"/>
      <c r="Q379" s="760"/>
      <c r="R379" s="760"/>
      <c r="S379" s="760"/>
      <c r="T379" s="760"/>
      <c r="U379" s="760"/>
      <c r="V379" s="760"/>
      <c r="W379" s="760"/>
      <c r="X379" s="760"/>
      <c r="Y379" s="760"/>
      <c r="Z379" s="760"/>
      <c r="AA379" s="760"/>
      <c r="AB379" s="760"/>
      <c r="AC379" s="760"/>
    </row>
    <row r="380" ht="15.75" customHeight="1">
      <c r="A380" s="760"/>
      <c r="B380" s="760"/>
      <c r="C380" s="760"/>
      <c r="D380" s="760"/>
      <c r="E380" s="760"/>
      <c r="F380" s="759"/>
      <c r="G380" s="759"/>
      <c r="H380" s="759"/>
      <c r="I380" s="759"/>
      <c r="J380" s="759"/>
      <c r="K380" s="759"/>
      <c r="L380" s="760"/>
      <c r="M380" s="760"/>
      <c r="N380" s="760"/>
      <c r="O380" s="760"/>
      <c r="P380" s="760"/>
      <c r="Q380" s="760"/>
      <c r="R380" s="760"/>
      <c r="S380" s="760"/>
      <c r="T380" s="760"/>
      <c r="U380" s="760"/>
      <c r="V380" s="760"/>
      <c r="W380" s="760"/>
      <c r="X380" s="760"/>
      <c r="Y380" s="760"/>
      <c r="Z380" s="760"/>
      <c r="AA380" s="760"/>
      <c r="AB380" s="760"/>
      <c r="AC380" s="760"/>
    </row>
    <row r="381" ht="15.75" customHeight="1">
      <c r="A381" s="760"/>
      <c r="B381" s="760"/>
      <c r="C381" s="760"/>
      <c r="D381" s="760"/>
      <c r="E381" s="760"/>
      <c r="F381" s="759"/>
      <c r="G381" s="759"/>
      <c r="H381" s="759"/>
      <c r="I381" s="759"/>
      <c r="J381" s="759"/>
      <c r="K381" s="759"/>
      <c r="L381" s="760"/>
      <c r="M381" s="760"/>
      <c r="N381" s="760"/>
      <c r="O381" s="760"/>
      <c r="P381" s="760"/>
      <c r="Q381" s="760"/>
      <c r="R381" s="760"/>
      <c r="S381" s="760"/>
      <c r="T381" s="760"/>
      <c r="U381" s="760"/>
      <c r="V381" s="760"/>
      <c r="W381" s="760"/>
      <c r="X381" s="760"/>
      <c r="Y381" s="760"/>
      <c r="Z381" s="760"/>
      <c r="AA381" s="760"/>
      <c r="AB381" s="760"/>
      <c r="AC381" s="760"/>
    </row>
    <row r="382" ht="15.75" customHeight="1">
      <c r="A382" s="760"/>
      <c r="B382" s="760"/>
      <c r="C382" s="760"/>
      <c r="D382" s="760"/>
      <c r="E382" s="760"/>
      <c r="F382" s="759"/>
      <c r="G382" s="759"/>
      <c r="H382" s="759"/>
      <c r="I382" s="759"/>
      <c r="J382" s="759"/>
      <c r="K382" s="759"/>
      <c r="L382" s="760"/>
      <c r="M382" s="760"/>
      <c r="N382" s="760"/>
      <c r="O382" s="760"/>
      <c r="P382" s="760"/>
      <c r="Q382" s="760"/>
      <c r="R382" s="760"/>
      <c r="S382" s="760"/>
      <c r="T382" s="760"/>
      <c r="U382" s="760"/>
      <c r="V382" s="760"/>
      <c r="W382" s="760"/>
      <c r="X382" s="760"/>
      <c r="Y382" s="760"/>
      <c r="Z382" s="760"/>
      <c r="AA382" s="760"/>
      <c r="AB382" s="760"/>
      <c r="AC382" s="760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7:M90 L95:M104 L109:M182 N65:N66 N68:N75 N96:N99 N101:O101 N120:N134 N145:N153 N161 N170:N172 N174:N175 N177:N182 P105:P108">
    <cfRule type="containsText" dxfId="1" priority="1" operator="containsText" text="да">
      <formula>NOT(ISERROR(SEARCH(("да"),(L57))))</formula>
    </cfRule>
  </conditionalFormatting>
  <conditionalFormatting sqref="L56:M90 L95:L104 L109:L182 M95:M182 N56:N182 O65:O66 O101 O105:P108">
    <cfRule type="containsText" dxfId="0" priority="2" operator="containsText" text="нет">
      <formula>NOT(ISERROR(SEARCH(("нет"),(L56))))</formula>
    </cfRule>
  </conditionalFormatting>
  <conditionalFormatting sqref="L65:L66 M56:M64 M67:M90 M95:M182">
    <cfRule type="containsText" dxfId="1" priority="3" operator="containsText" text="да">
      <formula>NOT(ISERROR(SEARCH(("да"),(L65))))</formula>
    </cfRule>
  </conditionalFormatting>
  <conditionalFormatting sqref="D33:D43 F1:F53 H56:I56 H61:I61 H103:I103 H135:I135 H144:I144 H154:I154 H160:I160 H165:I165 H170:I170 H173:I173 H176:I176 H180:I18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1 D3:D12 D14:D17 D19:D31 D45:D49 D51:D53">
    <cfRule type="colorScale" priority="5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L57:M90 L91 K92:K94 L95:M104 L105:N108 P105:P108 L109:M182">
      <formula1>"да,нет"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 outlineLevelCol="1" outlineLevelRow="1"/>
  <cols>
    <col customWidth="1" min="1" max="1" width="6.14"/>
    <col customWidth="1" min="2" max="2" width="26.86"/>
    <col customWidth="1" min="3" max="3" width="22.14"/>
    <col customWidth="1" min="4" max="4" width="15.14"/>
    <col customWidth="1" min="5" max="5" width="7.57"/>
    <col customWidth="1" min="6" max="6" width="13.71"/>
    <col customWidth="1" min="7" max="7" width="6.86"/>
    <col customWidth="1" min="8" max="8" width="9.0" outlineLevel="1"/>
    <col customWidth="1" min="9" max="9" width="7.29" outlineLevel="1"/>
    <col customWidth="1" min="10" max="10" width="6.71" outlineLevel="1"/>
    <col customWidth="1" min="11" max="11" width="13.71"/>
    <col customWidth="1" min="12" max="12" width="5.43"/>
    <col customWidth="1" hidden="1" min="13" max="13" width="7.71" outlineLevel="1"/>
    <col customWidth="1" hidden="1" min="14" max="14" width="7.29" outlineLevel="1"/>
    <col customWidth="1" hidden="1" min="15" max="15" width="6.71" outlineLevel="1"/>
    <col customWidth="1" min="16" max="16" width="13.71"/>
    <col customWidth="1" min="17" max="17" width="7.14"/>
    <col customWidth="1" min="18" max="18" width="9.71" outlineLevel="1"/>
    <col customWidth="1" min="19" max="19" width="7.29" outlineLevel="1"/>
    <col customWidth="1" min="20" max="20" width="6.71" outlineLevel="1"/>
    <col customWidth="1" min="21" max="21" width="13.71"/>
    <col customWidth="1" min="22" max="22" width="5.43"/>
    <col customWidth="1" hidden="1" min="23" max="23" width="7.57" outlineLevel="1"/>
    <col customWidth="1" hidden="1" min="24" max="24" width="7.29" outlineLevel="1"/>
    <col customWidth="1" hidden="1" min="25" max="25" width="6.71" outlineLevel="1"/>
    <col customWidth="1" min="26" max="26" width="9.71"/>
    <col customWidth="1" hidden="1" min="27" max="27" width="12.57"/>
  </cols>
  <sheetData>
    <row r="1" ht="25.5" customHeight="1">
      <c r="A1" s="239"/>
      <c r="C1" s="75" t="s">
        <v>1436</v>
      </c>
      <c r="D1" s="824">
        <v>45678.0</v>
      </c>
      <c r="E1" s="240"/>
      <c r="F1" s="243" t="s">
        <v>1437</v>
      </c>
      <c r="G1" s="239">
        <v>183.0</v>
      </c>
      <c r="H1" s="275"/>
      <c r="I1" s="239"/>
      <c r="J1" s="239"/>
      <c r="K1" s="243"/>
      <c r="L1" s="247"/>
      <c r="M1" s="275"/>
      <c r="N1" s="239"/>
      <c r="O1" s="239"/>
      <c r="P1" s="243"/>
      <c r="Q1" s="247"/>
      <c r="R1" s="275"/>
      <c r="S1" s="239"/>
      <c r="T1" s="239"/>
      <c r="U1" s="243"/>
      <c r="V1" s="247"/>
      <c r="W1" s="275"/>
      <c r="X1" s="239"/>
      <c r="Y1" s="239"/>
      <c r="Z1" s="239"/>
      <c r="AA1" s="239"/>
    </row>
    <row r="2" ht="41.25" customHeight="1">
      <c r="A2" s="75" t="s">
        <v>1012</v>
      </c>
      <c r="B2" s="75" t="s">
        <v>1438</v>
      </c>
      <c r="C2" s="75" t="s">
        <v>1439</v>
      </c>
      <c r="D2" s="825" t="s">
        <v>1440</v>
      </c>
      <c r="E2" s="249" t="s">
        <v>96</v>
      </c>
      <c r="F2" s="825" t="s">
        <v>1441</v>
      </c>
      <c r="G2" s="252" t="s">
        <v>100</v>
      </c>
      <c r="H2" s="251" t="s">
        <v>99</v>
      </c>
      <c r="I2" s="75" t="s">
        <v>466</v>
      </c>
      <c r="J2" s="75" t="s">
        <v>102</v>
      </c>
      <c r="K2" s="825" t="s">
        <v>1442</v>
      </c>
      <c r="L2" s="252" t="s">
        <v>100</v>
      </c>
      <c r="M2" s="251" t="s">
        <v>99</v>
      </c>
      <c r="N2" s="75" t="s">
        <v>466</v>
      </c>
      <c r="O2" s="75" t="s">
        <v>102</v>
      </c>
      <c r="P2" s="825" t="s">
        <v>1443</v>
      </c>
      <c r="Q2" s="252" t="s">
        <v>100</v>
      </c>
      <c r="R2" s="251" t="s">
        <v>99</v>
      </c>
      <c r="S2" s="75" t="s">
        <v>466</v>
      </c>
      <c r="T2" s="75" t="s">
        <v>102</v>
      </c>
      <c r="U2" s="825" t="s">
        <v>1444</v>
      </c>
      <c r="V2" s="252" t="s">
        <v>100</v>
      </c>
      <c r="W2" s="251" t="s">
        <v>99</v>
      </c>
      <c r="X2" s="75" t="s">
        <v>466</v>
      </c>
      <c r="Y2" s="75" t="s">
        <v>102</v>
      </c>
      <c r="Z2" s="75" t="s">
        <v>506</v>
      </c>
      <c r="AA2" s="75" t="s">
        <v>1445</v>
      </c>
    </row>
    <row r="3" ht="24.0" customHeight="1" collapsed="1">
      <c r="A3" s="614"/>
      <c r="B3" s="615" t="str">
        <f>"Торты на заказ "&amp;COUNTA(B4:B38)&amp;" шт"</f>
        <v>Торты на заказ 35 шт</v>
      </c>
      <c r="C3" s="614"/>
      <c r="D3" s="695"/>
      <c r="E3" s="616"/>
      <c r="F3" s="695"/>
      <c r="G3" s="647">
        <f>AVERAGE(G4:G18)</f>
        <v>0.2187458298</v>
      </c>
      <c r="H3" s="618"/>
      <c r="I3" s="614"/>
      <c r="J3" s="614"/>
      <c r="K3" s="695"/>
      <c r="L3" s="255">
        <f>AVERAGE(L24:L28)</f>
        <v>0.2035119273</v>
      </c>
      <c r="M3" s="618"/>
      <c r="N3" s="614"/>
      <c r="O3" s="614"/>
      <c r="P3" s="695"/>
      <c r="Q3" s="255">
        <f>AVERAGE(Q24:Q28)</f>
        <v>0.1959351855</v>
      </c>
      <c r="R3" s="618"/>
      <c r="S3" s="614"/>
      <c r="T3" s="614"/>
      <c r="U3" s="695"/>
      <c r="V3" s="255">
        <f>AVERAGE(V24:V28)</f>
        <v>0.1997158788</v>
      </c>
      <c r="W3" s="618"/>
      <c r="X3" s="614"/>
      <c r="Y3" s="614"/>
      <c r="Z3" s="86"/>
      <c r="AA3" s="86" t="s">
        <v>112</v>
      </c>
    </row>
    <row r="4" ht="25.5" hidden="1" customHeight="1" outlineLevel="1">
      <c r="A4" s="826">
        <v>1.0</v>
      </c>
      <c r="B4" s="240" t="s">
        <v>1446</v>
      </c>
      <c r="C4" s="826" t="s">
        <v>1447</v>
      </c>
      <c r="D4" s="161">
        <v>2200.0</v>
      </c>
      <c r="E4" s="827">
        <v>1000.0</v>
      </c>
      <c r="F4" s="161">
        <f t="shared" ref="F4:F38" si="1">D4*1.5</f>
        <v>3300</v>
      </c>
      <c r="G4" s="828">
        <f t="shared" ref="G4:G38" si="2">H4/F4</f>
        <v>0.2187212121</v>
      </c>
      <c r="H4" s="829">
        <v>721.78</v>
      </c>
      <c r="I4" s="161">
        <f t="shared" ref="I4:I38" si="3">F4-H4</f>
        <v>2578.22</v>
      </c>
      <c r="J4" s="828">
        <f t="shared" ref="J4:J38" si="4">F4/H4-1</f>
        <v>3.572030259</v>
      </c>
      <c r="K4" s="161">
        <f>D4*2</f>
        <v>4400</v>
      </c>
      <c r="L4" s="828">
        <f t="shared" ref="L4:L38" si="5">M4/K4</f>
        <v>0.2080840909</v>
      </c>
      <c r="M4" s="829">
        <v>915.57</v>
      </c>
      <c r="N4" s="161">
        <f t="shared" ref="N4:N38" si="6">K4-M4</f>
        <v>3484.43</v>
      </c>
      <c r="O4" s="828">
        <f t="shared" ref="O4:O38" si="7">K4/M4-1</f>
        <v>3.805749424</v>
      </c>
      <c r="P4" s="161" t="s">
        <v>1448</v>
      </c>
      <c r="U4" s="161" t="s">
        <v>1448</v>
      </c>
      <c r="Z4" s="826" t="s">
        <v>111</v>
      </c>
      <c r="AA4" s="826"/>
    </row>
    <row r="5" ht="25.5" hidden="1" customHeight="1" outlineLevel="1">
      <c r="A5" s="826">
        <v>2.0</v>
      </c>
      <c r="B5" s="239" t="s">
        <v>1449</v>
      </c>
      <c r="C5" s="826" t="s">
        <v>1447</v>
      </c>
      <c r="D5" s="161">
        <v>2200.0</v>
      </c>
      <c r="E5" s="827">
        <v>1000.0</v>
      </c>
      <c r="F5" s="161">
        <f t="shared" si="1"/>
        <v>3300</v>
      </c>
      <c r="G5" s="828">
        <f t="shared" si="2"/>
        <v>0.2273060606</v>
      </c>
      <c r="H5" s="829">
        <v>750.11</v>
      </c>
      <c r="I5" s="161">
        <f t="shared" si="3"/>
        <v>2549.89</v>
      </c>
      <c r="J5" s="828">
        <f t="shared" si="4"/>
        <v>3.399354761</v>
      </c>
      <c r="K5" s="161">
        <f>D5*1.9</f>
        <v>4180</v>
      </c>
      <c r="L5" s="828">
        <f t="shared" si="5"/>
        <v>0.2254784689</v>
      </c>
      <c r="M5" s="829">
        <v>942.5</v>
      </c>
      <c r="N5" s="161">
        <f t="shared" si="6"/>
        <v>3237.5</v>
      </c>
      <c r="O5" s="828">
        <f t="shared" si="7"/>
        <v>3.435013263</v>
      </c>
      <c r="P5" s="161">
        <f>D5*2.3</f>
        <v>5060</v>
      </c>
      <c r="Q5" s="828">
        <f t="shared" ref="Q5:Q20" si="8">R5/P5</f>
        <v>0.2253695652</v>
      </c>
      <c r="R5" s="829">
        <v>1140.37</v>
      </c>
      <c r="S5" s="161">
        <f t="shared" ref="S5:S20" si="9">P5-R5</f>
        <v>3919.63</v>
      </c>
      <c r="T5" s="828">
        <f t="shared" ref="T5:T20" si="10">P5/R5-1</f>
        <v>3.437156362</v>
      </c>
      <c r="U5" s="161">
        <f>D5*2.7</f>
        <v>5940</v>
      </c>
      <c r="V5" s="828">
        <f t="shared" ref="V5:V7" si="11">W5/U5</f>
        <v>0.2302777778</v>
      </c>
      <c r="W5" s="829">
        <v>1367.85</v>
      </c>
      <c r="X5" s="161">
        <f t="shared" ref="X5:X7" si="12">U5-W5</f>
        <v>4572.15</v>
      </c>
      <c r="Y5" s="828">
        <f t="shared" ref="Y5:Y7" si="13">U5/W5-1</f>
        <v>3.342581423</v>
      </c>
      <c r="Z5" s="826" t="s">
        <v>111</v>
      </c>
      <c r="AA5" s="87"/>
    </row>
    <row r="6" ht="25.5" hidden="1" customHeight="1" outlineLevel="1">
      <c r="A6" s="826">
        <v>3.0</v>
      </c>
      <c r="B6" s="239" t="s">
        <v>1450</v>
      </c>
      <c r="C6" s="826" t="s">
        <v>1447</v>
      </c>
      <c r="D6" s="161">
        <v>2500.0</v>
      </c>
      <c r="E6" s="827">
        <v>1000.0</v>
      </c>
      <c r="F6" s="161">
        <f t="shared" si="1"/>
        <v>3750</v>
      </c>
      <c r="G6" s="828">
        <f t="shared" si="2"/>
        <v>0.217248</v>
      </c>
      <c r="H6" s="829">
        <v>814.68</v>
      </c>
      <c r="I6" s="161">
        <f t="shared" si="3"/>
        <v>2935.32</v>
      </c>
      <c r="J6" s="828">
        <f t="shared" si="4"/>
        <v>3.60303432</v>
      </c>
      <c r="K6" s="161">
        <f t="shared" ref="K6:K38" si="14">D6*2</f>
        <v>5000</v>
      </c>
      <c r="L6" s="828">
        <f t="shared" si="5"/>
        <v>0.20446</v>
      </c>
      <c r="M6" s="829">
        <v>1022.3</v>
      </c>
      <c r="N6" s="161">
        <f t="shared" si="6"/>
        <v>3977.7</v>
      </c>
      <c r="O6" s="828">
        <f t="shared" si="7"/>
        <v>3.890932212</v>
      </c>
      <c r="P6" s="161">
        <f t="shared" ref="P6:P20" si="15">D6*2.5</f>
        <v>6250</v>
      </c>
      <c r="Q6" s="828">
        <f t="shared" si="8"/>
        <v>0.1981248</v>
      </c>
      <c r="R6" s="829">
        <v>1238.28</v>
      </c>
      <c r="S6" s="161">
        <f t="shared" si="9"/>
        <v>5011.72</v>
      </c>
      <c r="T6" s="828">
        <f t="shared" si="10"/>
        <v>4.047323707</v>
      </c>
      <c r="U6" s="161">
        <f t="shared" ref="U6:U7" si="16">D6*3</f>
        <v>7500</v>
      </c>
      <c r="V6" s="828">
        <f t="shared" si="11"/>
        <v>0.1972653333</v>
      </c>
      <c r="W6" s="829">
        <v>1479.49</v>
      </c>
      <c r="X6" s="161">
        <f t="shared" si="12"/>
        <v>6020.51</v>
      </c>
      <c r="Y6" s="828">
        <f t="shared" si="13"/>
        <v>4.069314426</v>
      </c>
      <c r="Z6" s="826" t="s">
        <v>111</v>
      </c>
      <c r="AA6" s="826"/>
    </row>
    <row r="7" ht="25.5" hidden="1" customHeight="1" outlineLevel="1">
      <c r="A7" s="826">
        <v>4.0</v>
      </c>
      <c r="B7" s="239" t="s">
        <v>1451</v>
      </c>
      <c r="C7" s="826" t="s">
        <v>1447</v>
      </c>
      <c r="D7" s="161">
        <v>2200.0</v>
      </c>
      <c r="E7" s="827">
        <v>1000.0</v>
      </c>
      <c r="F7" s="161">
        <f t="shared" si="1"/>
        <v>3300</v>
      </c>
      <c r="G7" s="828">
        <f t="shared" si="2"/>
        <v>0.2130969697</v>
      </c>
      <c r="H7" s="829">
        <v>703.22</v>
      </c>
      <c r="I7" s="161">
        <f t="shared" si="3"/>
        <v>2596.78</v>
      </c>
      <c r="J7" s="828">
        <f t="shared" si="4"/>
        <v>3.692699298</v>
      </c>
      <c r="K7" s="161">
        <f t="shared" si="14"/>
        <v>4400</v>
      </c>
      <c r="L7" s="828">
        <f t="shared" si="5"/>
        <v>0.2027068182</v>
      </c>
      <c r="M7" s="829">
        <v>891.91</v>
      </c>
      <c r="N7" s="161">
        <f t="shared" si="6"/>
        <v>3508.09</v>
      </c>
      <c r="O7" s="828">
        <f t="shared" si="7"/>
        <v>3.933233174</v>
      </c>
      <c r="P7" s="161">
        <f t="shared" si="15"/>
        <v>5500</v>
      </c>
      <c r="Q7" s="828">
        <f t="shared" si="8"/>
        <v>0.1958927273</v>
      </c>
      <c r="R7" s="829">
        <v>1077.41</v>
      </c>
      <c r="S7" s="161">
        <f t="shared" si="9"/>
        <v>4422.59</v>
      </c>
      <c r="T7" s="828">
        <f t="shared" si="10"/>
        <v>4.104834743</v>
      </c>
      <c r="U7" s="161">
        <f t="shared" si="16"/>
        <v>6600</v>
      </c>
      <c r="V7" s="828">
        <f t="shared" si="11"/>
        <v>0.1953</v>
      </c>
      <c r="W7" s="829">
        <v>1288.98</v>
      </c>
      <c r="X7" s="161">
        <f t="shared" si="12"/>
        <v>5311.02</v>
      </c>
      <c r="Y7" s="828">
        <f t="shared" si="13"/>
        <v>4.120327701</v>
      </c>
      <c r="Z7" s="826" t="s">
        <v>111</v>
      </c>
      <c r="AA7" s="826"/>
    </row>
    <row r="8" ht="25.5" hidden="1" customHeight="1" outlineLevel="1">
      <c r="A8" s="826">
        <v>5.0</v>
      </c>
      <c r="B8" s="239" t="s">
        <v>1452</v>
      </c>
      <c r="C8" s="826" t="s">
        <v>1447</v>
      </c>
      <c r="D8" s="161">
        <v>2500.0</v>
      </c>
      <c r="E8" s="827">
        <v>1000.0</v>
      </c>
      <c r="F8" s="161">
        <f t="shared" si="1"/>
        <v>3750</v>
      </c>
      <c r="G8" s="828">
        <f t="shared" si="2"/>
        <v>0.19844</v>
      </c>
      <c r="H8" s="829">
        <v>744.15</v>
      </c>
      <c r="I8" s="161">
        <f t="shared" si="3"/>
        <v>3005.85</v>
      </c>
      <c r="J8" s="828">
        <f t="shared" si="4"/>
        <v>4.039306591</v>
      </c>
      <c r="K8" s="161">
        <f t="shared" si="14"/>
        <v>5000</v>
      </c>
      <c r="L8" s="828">
        <f t="shared" si="5"/>
        <v>0.189152</v>
      </c>
      <c r="M8" s="829">
        <v>945.76</v>
      </c>
      <c r="N8" s="161">
        <f t="shared" si="6"/>
        <v>4054.24</v>
      </c>
      <c r="O8" s="828">
        <f t="shared" si="7"/>
        <v>4.28675351</v>
      </c>
      <c r="P8" s="161">
        <f t="shared" si="15"/>
        <v>6250</v>
      </c>
      <c r="Q8" s="828">
        <f t="shared" si="8"/>
        <v>0.1798736</v>
      </c>
      <c r="R8" s="829">
        <v>1124.21</v>
      </c>
      <c r="S8" s="161">
        <f t="shared" si="9"/>
        <v>5125.79</v>
      </c>
      <c r="T8" s="828">
        <f t="shared" si="10"/>
        <v>4.559459532</v>
      </c>
      <c r="U8" s="161" t="s">
        <v>1448</v>
      </c>
      <c r="Z8" s="826" t="s">
        <v>111</v>
      </c>
      <c r="AA8" s="826"/>
    </row>
    <row r="9" ht="25.5" hidden="1" customHeight="1" outlineLevel="1">
      <c r="A9" s="826">
        <v>6.0</v>
      </c>
      <c r="B9" s="239" t="s">
        <v>1453</v>
      </c>
      <c r="C9" s="826" t="s">
        <v>1447</v>
      </c>
      <c r="D9" s="161">
        <v>2500.0</v>
      </c>
      <c r="E9" s="827">
        <v>1000.0</v>
      </c>
      <c r="F9" s="161">
        <f t="shared" si="1"/>
        <v>3750</v>
      </c>
      <c r="G9" s="828">
        <f t="shared" si="2"/>
        <v>0.201744</v>
      </c>
      <c r="H9" s="829">
        <v>756.54</v>
      </c>
      <c r="I9" s="161">
        <f t="shared" si="3"/>
        <v>2993.46</v>
      </c>
      <c r="J9" s="828">
        <f t="shared" si="4"/>
        <v>3.956776905</v>
      </c>
      <c r="K9" s="161">
        <f t="shared" si="14"/>
        <v>5000</v>
      </c>
      <c r="L9" s="828">
        <f t="shared" si="5"/>
        <v>0.1888</v>
      </c>
      <c r="M9" s="829">
        <v>944.0</v>
      </c>
      <c r="N9" s="161">
        <f t="shared" si="6"/>
        <v>4056</v>
      </c>
      <c r="O9" s="828">
        <f t="shared" si="7"/>
        <v>4.296610169</v>
      </c>
      <c r="P9" s="161">
        <f t="shared" si="15"/>
        <v>6250</v>
      </c>
      <c r="Q9" s="828">
        <f t="shared" si="8"/>
        <v>0.1805232</v>
      </c>
      <c r="R9" s="829">
        <v>1128.27</v>
      </c>
      <c r="S9" s="161">
        <f t="shared" si="9"/>
        <v>5121.73</v>
      </c>
      <c r="T9" s="828">
        <f t="shared" si="10"/>
        <v>4.539454209</v>
      </c>
      <c r="U9" s="161" t="s">
        <v>1448</v>
      </c>
      <c r="Z9" s="826" t="s">
        <v>111</v>
      </c>
      <c r="AA9" s="826"/>
    </row>
    <row r="10" ht="25.5" hidden="1" customHeight="1" outlineLevel="1">
      <c r="A10" s="826">
        <v>7.0</v>
      </c>
      <c r="B10" s="239" t="s">
        <v>1454</v>
      </c>
      <c r="C10" s="826" t="s">
        <v>1447</v>
      </c>
      <c r="D10" s="161">
        <v>2950.0</v>
      </c>
      <c r="E10" s="827">
        <v>1000.0</v>
      </c>
      <c r="F10" s="161">
        <f t="shared" si="1"/>
        <v>4425</v>
      </c>
      <c r="G10" s="828">
        <f t="shared" si="2"/>
        <v>0.2218711864</v>
      </c>
      <c r="H10" s="829">
        <v>981.78</v>
      </c>
      <c r="I10" s="161">
        <f t="shared" si="3"/>
        <v>3443.22</v>
      </c>
      <c r="J10" s="828">
        <f t="shared" si="4"/>
        <v>3.507119721</v>
      </c>
      <c r="K10" s="161">
        <f t="shared" si="14"/>
        <v>5900</v>
      </c>
      <c r="L10" s="828">
        <f t="shared" si="5"/>
        <v>0.2097983051</v>
      </c>
      <c r="M10" s="829">
        <v>1237.81</v>
      </c>
      <c r="N10" s="161">
        <f t="shared" si="6"/>
        <v>4662.19</v>
      </c>
      <c r="O10" s="828">
        <f t="shared" si="7"/>
        <v>3.76648274</v>
      </c>
      <c r="P10" s="161">
        <f t="shared" si="15"/>
        <v>7375</v>
      </c>
      <c r="Q10" s="828">
        <f t="shared" si="8"/>
        <v>0.2049071186</v>
      </c>
      <c r="R10" s="829">
        <v>1511.19</v>
      </c>
      <c r="S10" s="161">
        <f t="shared" si="9"/>
        <v>5863.81</v>
      </c>
      <c r="T10" s="828">
        <f t="shared" si="10"/>
        <v>3.880259928</v>
      </c>
      <c r="U10" s="161">
        <f t="shared" ref="U10:U13" si="17">D10*3</f>
        <v>8850</v>
      </c>
      <c r="V10" s="828">
        <f t="shared" ref="V10:V13" si="18">W10/U10</f>
        <v>0.2048418079</v>
      </c>
      <c r="W10" s="829">
        <v>1812.85</v>
      </c>
      <c r="X10" s="161">
        <f t="shared" ref="X10:X13" si="19">U10-W10</f>
        <v>7037.15</v>
      </c>
      <c r="Y10" s="828">
        <f t="shared" ref="Y10:Y13" si="20">U10/W10-1</f>
        <v>3.881815925</v>
      </c>
      <c r="Z10" s="826" t="s">
        <v>111</v>
      </c>
      <c r="AA10" s="826"/>
    </row>
    <row r="11" ht="25.5" hidden="1" customHeight="1" outlineLevel="1">
      <c r="A11" s="826">
        <v>8.0</v>
      </c>
      <c r="B11" s="239" t="s">
        <v>1455</v>
      </c>
      <c r="C11" s="826" t="s">
        <v>1447</v>
      </c>
      <c r="D11" s="161">
        <v>2500.0</v>
      </c>
      <c r="E11" s="827">
        <v>1000.0</v>
      </c>
      <c r="F11" s="161">
        <f t="shared" si="1"/>
        <v>3750</v>
      </c>
      <c r="G11" s="828">
        <f t="shared" si="2"/>
        <v>0.198016</v>
      </c>
      <c r="H11" s="829">
        <v>742.56</v>
      </c>
      <c r="I11" s="161">
        <f t="shared" si="3"/>
        <v>3007.44</v>
      </c>
      <c r="J11" s="828">
        <f t="shared" si="4"/>
        <v>4.050096962</v>
      </c>
      <c r="K11" s="161">
        <f t="shared" si="14"/>
        <v>5000</v>
      </c>
      <c r="L11" s="828">
        <f t="shared" si="5"/>
        <v>0.186882</v>
      </c>
      <c r="M11" s="829">
        <v>934.41</v>
      </c>
      <c r="N11" s="161">
        <f t="shared" si="6"/>
        <v>4065.59</v>
      </c>
      <c r="O11" s="828">
        <f t="shared" si="7"/>
        <v>4.350970131</v>
      </c>
      <c r="P11" s="161">
        <f t="shared" si="15"/>
        <v>6250</v>
      </c>
      <c r="Q11" s="828">
        <f t="shared" si="8"/>
        <v>0.1800272</v>
      </c>
      <c r="R11" s="829">
        <v>1125.17</v>
      </c>
      <c r="S11" s="161">
        <f t="shared" si="9"/>
        <v>5124.83</v>
      </c>
      <c r="T11" s="828">
        <f t="shared" si="10"/>
        <v>4.554716176</v>
      </c>
      <c r="U11" s="161">
        <f t="shared" si="17"/>
        <v>7500</v>
      </c>
      <c r="V11" s="828">
        <f t="shared" si="18"/>
        <v>0.1794946667</v>
      </c>
      <c r="W11" s="829">
        <v>1346.21</v>
      </c>
      <c r="X11" s="161">
        <f t="shared" si="19"/>
        <v>6153.79</v>
      </c>
      <c r="Y11" s="828">
        <f t="shared" si="20"/>
        <v>4.571196173</v>
      </c>
      <c r="Z11" s="826" t="s">
        <v>111</v>
      </c>
      <c r="AA11" s="826"/>
    </row>
    <row r="12" ht="25.5" hidden="1" customHeight="1" outlineLevel="1">
      <c r="A12" s="826">
        <v>9.0</v>
      </c>
      <c r="B12" s="239" t="s">
        <v>1456</v>
      </c>
      <c r="C12" s="826" t="s">
        <v>1447</v>
      </c>
      <c r="D12" s="161">
        <v>2500.0</v>
      </c>
      <c r="E12" s="827">
        <v>1000.0</v>
      </c>
      <c r="F12" s="161">
        <f t="shared" si="1"/>
        <v>3750</v>
      </c>
      <c r="G12" s="828">
        <f t="shared" si="2"/>
        <v>0.219848</v>
      </c>
      <c r="H12" s="829">
        <v>824.43</v>
      </c>
      <c r="I12" s="161">
        <f t="shared" si="3"/>
        <v>2925.57</v>
      </c>
      <c r="J12" s="828">
        <f t="shared" si="4"/>
        <v>3.548597213</v>
      </c>
      <c r="K12" s="161">
        <f t="shared" si="14"/>
        <v>5000</v>
      </c>
      <c r="L12" s="828">
        <f t="shared" si="5"/>
        <v>0.203258</v>
      </c>
      <c r="M12" s="829">
        <v>1016.29</v>
      </c>
      <c r="N12" s="161">
        <f t="shared" si="6"/>
        <v>3983.71</v>
      </c>
      <c r="O12" s="828">
        <f t="shared" si="7"/>
        <v>3.919855553</v>
      </c>
      <c r="P12" s="161">
        <f t="shared" si="15"/>
        <v>6250</v>
      </c>
      <c r="Q12" s="828">
        <f t="shared" si="8"/>
        <v>0.1947872</v>
      </c>
      <c r="R12" s="829">
        <v>1217.42</v>
      </c>
      <c r="S12" s="161">
        <f t="shared" si="9"/>
        <v>5032.58</v>
      </c>
      <c r="T12" s="828">
        <f t="shared" si="10"/>
        <v>4.13380756</v>
      </c>
      <c r="U12" s="161">
        <f t="shared" si="17"/>
        <v>7500</v>
      </c>
      <c r="V12" s="828">
        <f t="shared" si="18"/>
        <v>0.192748</v>
      </c>
      <c r="W12" s="829">
        <v>1445.61</v>
      </c>
      <c r="X12" s="161">
        <f t="shared" si="19"/>
        <v>6054.39</v>
      </c>
      <c r="Y12" s="828">
        <f t="shared" si="20"/>
        <v>4.188121278</v>
      </c>
      <c r="Z12" s="826" t="s">
        <v>111</v>
      </c>
      <c r="AA12" s="826"/>
    </row>
    <row r="13" ht="25.5" hidden="1" customHeight="1" outlineLevel="1">
      <c r="A13" s="826">
        <v>10.0</v>
      </c>
      <c r="B13" s="239" t="s">
        <v>1457</v>
      </c>
      <c r="C13" s="826" t="s">
        <v>1447</v>
      </c>
      <c r="D13" s="161">
        <v>2500.0</v>
      </c>
      <c r="E13" s="827">
        <v>1000.0</v>
      </c>
      <c r="F13" s="161">
        <f t="shared" si="1"/>
        <v>3750</v>
      </c>
      <c r="G13" s="828">
        <f t="shared" si="2"/>
        <v>0.2434106667</v>
      </c>
      <c r="H13" s="829">
        <v>912.79</v>
      </c>
      <c r="I13" s="161">
        <f t="shared" si="3"/>
        <v>2837.21</v>
      </c>
      <c r="J13" s="828">
        <f t="shared" si="4"/>
        <v>3.108283395</v>
      </c>
      <c r="K13" s="161">
        <f t="shared" si="14"/>
        <v>5000</v>
      </c>
      <c r="L13" s="828">
        <f t="shared" si="5"/>
        <v>0.23069</v>
      </c>
      <c r="M13" s="829">
        <v>1153.45</v>
      </c>
      <c r="N13" s="161">
        <f t="shared" si="6"/>
        <v>3846.55</v>
      </c>
      <c r="O13" s="828">
        <f t="shared" si="7"/>
        <v>3.334821622</v>
      </c>
      <c r="P13" s="161">
        <f t="shared" si="15"/>
        <v>6250</v>
      </c>
      <c r="Q13" s="828">
        <f t="shared" si="8"/>
        <v>0.2241424</v>
      </c>
      <c r="R13" s="829">
        <v>1400.89</v>
      </c>
      <c r="S13" s="161">
        <f t="shared" si="9"/>
        <v>4849.11</v>
      </c>
      <c r="T13" s="828">
        <f t="shared" si="10"/>
        <v>3.461449507</v>
      </c>
      <c r="U13" s="161">
        <f t="shared" si="17"/>
        <v>7500</v>
      </c>
      <c r="V13" s="828">
        <f t="shared" si="18"/>
        <v>0.2236866667</v>
      </c>
      <c r="W13" s="829">
        <v>1677.65</v>
      </c>
      <c r="X13" s="161">
        <f t="shared" si="19"/>
        <v>5822.35</v>
      </c>
      <c r="Y13" s="828">
        <f t="shared" si="20"/>
        <v>3.470539147</v>
      </c>
      <c r="Z13" s="826" t="s">
        <v>111</v>
      </c>
      <c r="AA13" s="826"/>
    </row>
    <row r="14" ht="25.5" hidden="1" customHeight="1" outlineLevel="1">
      <c r="A14" s="826">
        <v>11.0</v>
      </c>
      <c r="B14" s="239" t="s">
        <v>1458</v>
      </c>
      <c r="C14" s="826" t="s">
        <v>1447</v>
      </c>
      <c r="D14" s="161">
        <v>2500.0</v>
      </c>
      <c r="E14" s="827">
        <v>1000.0</v>
      </c>
      <c r="F14" s="161">
        <f t="shared" si="1"/>
        <v>3750</v>
      </c>
      <c r="G14" s="828">
        <f t="shared" si="2"/>
        <v>0.228584</v>
      </c>
      <c r="H14" s="829">
        <v>857.19</v>
      </c>
      <c r="I14" s="161">
        <f t="shared" si="3"/>
        <v>2892.81</v>
      </c>
      <c r="J14" s="828">
        <f t="shared" si="4"/>
        <v>3.374759388</v>
      </c>
      <c r="K14" s="161">
        <f t="shared" si="14"/>
        <v>5000</v>
      </c>
      <c r="L14" s="828">
        <f t="shared" si="5"/>
        <v>0.21583</v>
      </c>
      <c r="M14" s="829">
        <v>1079.15</v>
      </c>
      <c r="N14" s="161">
        <f t="shared" si="6"/>
        <v>3920.85</v>
      </c>
      <c r="O14" s="828">
        <f t="shared" si="7"/>
        <v>3.63327619</v>
      </c>
      <c r="P14" s="161">
        <f t="shared" si="15"/>
        <v>6250</v>
      </c>
      <c r="Q14" s="828">
        <f t="shared" si="8"/>
        <v>0.2094448</v>
      </c>
      <c r="R14" s="829">
        <v>1309.03</v>
      </c>
      <c r="S14" s="161">
        <f t="shared" si="9"/>
        <v>4940.97</v>
      </c>
      <c r="T14" s="828">
        <f t="shared" si="10"/>
        <v>3.774527704</v>
      </c>
      <c r="U14" s="161" t="s">
        <v>1448</v>
      </c>
      <c r="Z14" s="826" t="s">
        <v>111</v>
      </c>
      <c r="AA14" s="826"/>
    </row>
    <row r="15" ht="25.5" hidden="1" customHeight="1" outlineLevel="1">
      <c r="A15" s="826">
        <v>12.0</v>
      </c>
      <c r="B15" s="239" t="s">
        <v>1459</v>
      </c>
      <c r="C15" s="826" t="s">
        <v>1447</v>
      </c>
      <c r="D15" s="161">
        <v>2200.0</v>
      </c>
      <c r="E15" s="827">
        <v>1000.0</v>
      </c>
      <c r="F15" s="161">
        <f t="shared" si="1"/>
        <v>3300</v>
      </c>
      <c r="G15" s="828">
        <f t="shared" si="2"/>
        <v>0.2349787879</v>
      </c>
      <c r="H15" s="829">
        <v>775.43</v>
      </c>
      <c r="I15" s="161">
        <f t="shared" si="3"/>
        <v>2524.57</v>
      </c>
      <c r="J15" s="828">
        <f t="shared" si="4"/>
        <v>3.255703287</v>
      </c>
      <c r="K15" s="161">
        <f t="shared" si="14"/>
        <v>4400</v>
      </c>
      <c r="L15" s="828">
        <f t="shared" si="5"/>
        <v>0.2240409091</v>
      </c>
      <c r="M15" s="829">
        <v>985.78</v>
      </c>
      <c r="N15" s="161">
        <f t="shared" si="6"/>
        <v>3414.22</v>
      </c>
      <c r="O15" s="828">
        <f t="shared" si="7"/>
        <v>3.463470551</v>
      </c>
      <c r="P15" s="161">
        <f t="shared" si="15"/>
        <v>5500</v>
      </c>
      <c r="Q15" s="828">
        <f t="shared" si="8"/>
        <v>0.2174163636</v>
      </c>
      <c r="R15" s="829">
        <v>1195.79</v>
      </c>
      <c r="S15" s="161">
        <f t="shared" si="9"/>
        <v>4304.21</v>
      </c>
      <c r="T15" s="828">
        <f t="shared" si="10"/>
        <v>3.599469807</v>
      </c>
      <c r="U15" s="161">
        <f t="shared" ref="U15:U16" si="21">D15*3</f>
        <v>6600</v>
      </c>
      <c r="V15" s="828">
        <f t="shared" ref="V15:V16" si="22">W15/U15</f>
        <v>0.2169515152</v>
      </c>
      <c r="W15" s="829">
        <v>1431.88</v>
      </c>
      <c r="X15" s="161">
        <f t="shared" ref="X15:X16" si="23">U15-W15</f>
        <v>5168.12</v>
      </c>
      <c r="Y15" s="828">
        <f t="shared" ref="Y15:Y16" si="24">U15/W15-1</f>
        <v>3.609324804</v>
      </c>
      <c r="Z15" s="826" t="s">
        <v>111</v>
      </c>
      <c r="AA15" s="826"/>
    </row>
    <row r="16" ht="25.5" hidden="1" customHeight="1" outlineLevel="1">
      <c r="A16" s="826">
        <v>13.0</v>
      </c>
      <c r="B16" s="239" t="s">
        <v>1460</v>
      </c>
      <c r="C16" s="826" t="s">
        <v>1447</v>
      </c>
      <c r="D16" s="161">
        <v>2500.0</v>
      </c>
      <c r="E16" s="827">
        <v>1000.0</v>
      </c>
      <c r="F16" s="161">
        <f t="shared" si="1"/>
        <v>3750</v>
      </c>
      <c r="G16" s="828">
        <f t="shared" si="2"/>
        <v>0.22172</v>
      </c>
      <c r="H16" s="829">
        <v>831.45</v>
      </c>
      <c r="I16" s="161">
        <f t="shared" si="3"/>
        <v>2918.55</v>
      </c>
      <c r="J16" s="828">
        <f t="shared" si="4"/>
        <v>3.510193036</v>
      </c>
      <c r="K16" s="161">
        <f t="shared" si="14"/>
        <v>5000</v>
      </c>
      <c r="L16" s="828">
        <f t="shared" si="5"/>
        <v>0.211332</v>
      </c>
      <c r="M16" s="829">
        <v>1056.66</v>
      </c>
      <c r="N16" s="161">
        <f t="shared" si="6"/>
        <v>3943.34</v>
      </c>
      <c r="O16" s="828">
        <f t="shared" si="7"/>
        <v>3.731891053</v>
      </c>
      <c r="P16" s="161">
        <f t="shared" si="15"/>
        <v>6250</v>
      </c>
      <c r="Q16" s="828">
        <f t="shared" si="8"/>
        <v>0.205568</v>
      </c>
      <c r="R16" s="829">
        <v>1284.8</v>
      </c>
      <c r="S16" s="161">
        <f t="shared" si="9"/>
        <v>4965.2</v>
      </c>
      <c r="T16" s="828">
        <f t="shared" si="10"/>
        <v>3.864570361</v>
      </c>
      <c r="U16" s="161">
        <f t="shared" si="21"/>
        <v>7500</v>
      </c>
      <c r="V16" s="828">
        <f t="shared" si="22"/>
        <v>0.2056066667</v>
      </c>
      <c r="W16" s="829">
        <v>1542.05</v>
      </c>
      <c r="X16" s="161">
        <f t="shared" si="23"/>
        <v>5957.95</v>
      </c>
      <c r="Y16" s="828">
        <f t="shared" si="24"/>
        <v>3.863655523</v>
      </c>
      <c r="Z16" s="826" t="s">
        <v>111</v>
      </c>
      <c r="AA16" s="826"/>
    </row>
    <row r="17" ht="25.5" hidden="1" customHeight="1" outlineLevel="1">
      <c r="A17" s="826">
        <v>14.0</v>
      </c>
      <c r="B17" s="239" t="s">
        <v>1461</v>
      </c>
      <c r="C17" s="826" t="s">
        <v>1447</v>
      </c>
      <c r="D17" s="161">
        <v>2200.0</v>
      </c>
      <c r="E17" s="827">
        <v>1000.0</v>
      </c>
      <c r="F17" s="161">
        <f t="shared" si="1"/>
        <v>3300</v>
      </c>
      <c r="G17" s="828">
        <f t="shared" si="2"/>
        <v>0.236</v>
      </c>
      <c r="H17" s="829">
        <v>778.8</v>
      </c>
      <c r="I17" s="161">
        <f t="shared" si="3"/>
        <v>2521.2</v>
      </c>
      <c r="J17" s="828">
        <f t="shared" si="4"/>
        <v>3.237288136</v>
      </c>
      <c r="K17" s="161">
        <f t="shared" si="14"/>
        <v>4400</v>
      </c>
      <c r="L17" s="828">
        <f t="shared" si="5"/>
        <v>0.2276795455</v>
      </c>
      <c r="M17" s="829">
        <v>1001.79</v>
      </c>
      <c r="N17" s="161">
        <f t="shared" si="6"/>
        <v>3398.21</v>
      </c>
      <c r="O17" s="828">
        <f t="shared" si="7"/>
        <v>3.392138073</v>
      </c>
      <c r="P17" s="161">
        <f t="shared" si="15"/>
        <v>5500</v>
      </c>
      <c r="Q17" s="828">
        <f t="shared" si="8"/>
        <v>0.2327</v>
      </c>
      <c r="R17" s="829">
        <v>1279.85</v>
      </c>
      <c r="S17" s="161">
        <f t="shared" si="9"/>
        <v>4220.15</v>
      </c>
      <c r="T17" s="828">
        <f t="shared" si="10"/>
        <v>3.297378599</v>
      </c>
      <c r="U17" s="161" t="s">
        <v>1448</v>
      </c>
      <c r="Z17" s="826" t="s">
        <v>111</v>
      </c>
      <c r="AA17" s="826"/>
    </row>
    <row r="18" ht="25.5" hidden="1" customHeight="1" outlineLevel="1">
      <c r="A18" s="826">
        <v>15.0</v>
      </c>
      <c r="B18" s="239" t="s">
        <v>1462</v>
      </c>
      <c r="C18" s="826" t="s">
        <v>1447</v>
      </c>
      <c r="D18" s="161">
        <v>2600.0</v>
      </c>
      <c r="E18" s="827">
        <v>1000.0</v>
      </c>
      <c r="F18" s="161">
        <f t="shared" si="1"/>
        <v>3900</v>
      </c>
      <c r="G18" s="828">
        <f t="shared" si="2"/>
        <v>0.2002025641</v>
      </c>
      <c r="H18" s="829">
        <v>780.79</v>
      </c>
      <c r="I18" s="161">
        <f t="shared" si="3"/>
        <v>3119.21</v>
      </c>
      <c r="J18" s="828">
        <f t="shared" si="4"/>
        <v>3.994941021</v>
      </c>
      <c r="K18" s="161">
        <f t="shared" si="14"/>
        <v>5200</v>
      </c>
      <c r="L18" s="828">
        <f t="shared" si="5"/>
        <v>0.1880961538</v>
      </c>
      <c r="M18" s="829">
        <v>978.1</v>
      </c>
      <c r="N18" s="161">
        <f t="shared" si="6"/>
        <v>4221.9</v>
      </c>
      <c r="O18" s="828">
        <f t="shared" si="7"/>
        <v>4.316429813</v>
      </c>
      <c r="P18" s="161">
        <f t="shared" si="15"/>
        <v>6500</v>
      </c>
      <c r="Q18" s="828">
        <f t="shared" si="8"/>
        <v>0.1797553846</v>
      </c>
      <c r="R18" s="829">
        <v>1168.41</v>
      </c>
      <c r="S18" s="161">
        <f t="shared" si="9"/>
        <v>5331.59</v>
      </c>
      <c r="T18" s="828">
        <f t="shared" si="10"/>
        <v>4.563115687</v>
      </c>
      <c r="U18" s="161">
        <f t="shared" ref="U18:U20" si="25">D18*3</f>
        <v>7800</v>
      </c>
      <c r="V18" s="828">
        <f t="shared" ref="V18:V20" si="26">W18/U18</f>
        <v>0.176024359</v>
      </c>
      <c r="W18" s="829">
        <v>1372.99</v>
      </c>
      <c r="X18" s="161">
        <f t="shared" ref="X18:X20" si="27">U18-W18</f>
        <v>6427.01</v>
      </c>
      <c r="Y18" s="828">
        <f t="shared" ref="Y18:Y20" si="28">U18/W18-1</f>
        <v>4.681031908</v>
      </c>
      <c r="Z18" s="826" t="s">
        <v>111</v>
      </c>
      <c r="AA18" s="826"/>
    </row>
    <row r="19" ht="25.5" hidden="1" customHeight="1" outlineLevel="1">
      <c r="A19" s="826">
        <v>17.0</v>
      </c>
      <c r="B19" s="239" t="s">
        <v>1463</v>
      </c>
      <c r="C19" s="826" t="s">
        <v>1447</v>
      </c>
      <c r="D19" s="161">
        <v>2200.0</v>
      </c>
      <c r="E19" s="827">
        <v>1000.0</v>
      </c>
      <c r="F19" s="161">
        <f t="shared" si="1"/>
        <v>3300</v>
      </c>
      <c r="G19" s="828">
        <f t="shared" si="2"/>
        <v>0.2198757576</v>
      </c>
      <c r="H19" s="829">
        <v>725.59</v>
      </c>
      <c r="I19" s="161">
        <f t="shared" si="3"/>
        <v>2574.41</v>
      </c>
      <c r="J19" s="828">
        <f t="shared" si="4"/>
        <v>3.548022988</v>
      </c>
      <c r="K19" s="161">
        <f t="shared" si="14"/>
        <v>4400</v>
      </c>
      <c r="L19" s="828">
        <f t="shared" si="5"/>
        <v>0.2086659091</v>
      </c>
      <c r="M19" s="829">
        <v>918.13</v>
      </c>
      <c r="N19" s="161">
        <f t="shared" si="6"/>
        <v>3481.87</v>
      </c>
      <c r="O19" s="828">
        <f t="shared" si="7"/>
        <v>3.792349667</v>
      </c>
      <c r="P19" s="161">
        <f t="shared" si="15"/>
        <v>5500</v>
      </c>
      <c r="Q19" s="828">
        <f t="shared" si="8"/>
        <v>0.2023545455</v>
      </c>
      <c r="R19" s="829">
        <v>1112.95</v>
      </c>
      <c r="S19" s="161">
        <f t="shared" si="9"/>
        <v>4387.05</v>
      </c>
      <c r="T19" s="828">
        <f t="shared" si="10"/>
        <v>3.941821286</v>
      </c>
      <c r="U19" s="161">
        <f t="shared" si="25"/>
        <v>6600</v>
      </c>
      <c r="V19" s="828">
        <f t="shared" si="26"/>
        <v>0.2028969697</v>
      </c>
      <c r="W19" s="829">
        <v>1339.12</v>
      </c>
      <c r="X19" s="161">
        <f t="shared" si="27"/>
        <v>5260.88</v>
      </c>
      <c r="Y19" s="828">
        <f t="shared" si="28"/>
        <v>3.928609833</v>
      </c>
      <c r="Z19" s="826" t="s">
        <v>111</v>
      </c>
      <c r="AA19" s="826"/>
    </row>
    <row r="20" ht="25.5" hidden="1" customHeight="1" outlineLevel="1">
      <c r="A20" s="826">
        <v>16.0</v>
      </c>
      <c r="B20" s="239" t="s">
        <v>1464</v>
      </c>
      <c r="C20" s="826" t="s">
        <v>1447</v>
      </c>
      <c r="D20" s="161">
        <v>2200.0</v>
      </c>
      <c r="E20" s="827">
        <v>1000.0</v>
      </c>
      <c r="F20" s="161">
        <f t="shared" si="1"/>
        <v>3300</v>
      </c>
      <c r="G20" s="828">
        <f t="shared" si="2"/>
        <v>0.2225818182</v>
      </c>
      <c r="H20" s="829">
        <v>734.52</v>
      </c>
      <c r="I20" s="161">
        <f t="shared" si="3"/>
        <v>2565.48</v>
      </c>
      <c r="J20" s="828">
        <f t="shared" si="4"/>
        <v>3.492729946</v>
      </c>
      <c r="K20" s="161">
        <f t="shared" si="14"/>
        <v>4400</v>
      </c>
      <c r="L20" s="828">
        <f t="shared" si="5"/>
        <v>0.2113545455</v>
      </c>
      <c r="M20" s="829">
        <v>929.96</v>
      </c>
      <c r="N20" s="161">
        <f t="shared" si="6"/>
        <v>3470.04</v>
      </c>
      <c r="O20" s="828">
        <f t="shared" si="7"/>
        <v>3.731386296</v>
      </c>
      <c r="P20" s="161">
        <f t="shared" si="15"/>
        <v>5500</v>
      </c>
      <c r="Q20" s="828">
        <f t="shared" si="8"/>
        <v>0.2048309091</v>
      </c>
      <c r="R20" s="829">
        <v>1126.57</v>
      </c>
      <c r="S20" s="161">
        <f t="shared" si="9"/>
        <v>4373.43</v>
      </c>
      <c r="T20" s="828">
        <f t="shared" si="10"/>
        <v>3.882075681</v>
      </c>
      <c r="U20" s="161">
        <f t="shared" si="25"/>
        <v>6600</v>
      </c>
      <c r="V20" s="828">
        <f t="shared" si="26"/>
        <v>0.2047515152</v>
      </c>
      <c r="W20" s="829">
        <v>1351.36</v>
      </c>
      <c r="X20" s="161">
        <f t="shared" si="27"/>
        <v>5248.64</v>
      </c>
      <c r="Y20" s="828">
        <f t="shared" si="28"/>
        <v>3.883968743</v>
      </c>
      <c r="Z20" s="826" t="s">
        <v>111</v>
      </c>
      <c r="AA20" s="826"/>
    </row>
    <row r="21" ht="25.5" hidden="1" customHeight="1" outlineLevel="1">
      <c r="A21" s="826">
        <v>18.0</v>
      </c>
      <c r="B21" s="239" t="s">
        <v>1465</v>
      </c>
      <c r="C21" s="826" t="s">
        <v>1447</v>
      </c>
      <c r="D21" s="161">
        <v>2200.0</v>
      </c>
      <c r="E21" s="827">
        <v>1000.0</v>
      </c>
      <c r="F21" s="161">
        <f t="shared" si="1"/>
        <v>3300</v>
      </c>
      <c r="G21" s="828">
        <f t="shared" si="2"/>
        <v>0.2204090909</v>
      </c>
      <c r="H21" s="829">
        <v>727.35</v>
      </c>
      <c r="I21" s="161">
        <f t="shared" si="3"/>
        <v>2572.65</v>
      </c>
      <c r="J21" s="828">
        <f t="shared" si="4"/>
        <v>3.537017942</v>
      </c>
      <c r="K21" s="161">
        <f t="shared" si="14"/>
        <v>4400</v>
      </c>
      <c r="L21" s="828">
        <f t="shared" si="5"/>
        <v>0.2085613636</v>
      </c>
      <c r="M21" s="829">
        <v>917.67</v>
      </c>
      <c r="N21" s="161">
        <f t="shared" si="6"/>
        <v>3482.33</v>
      </c>
      <c r="O21" s="828">
        <f t="shared" si="7"/>
        <v>3.794751926</v>
      </c>
      <c r="P21" s="161" t="s">
        <v>1448</v>
      </c>
      <c r="U21" s="161" t="s">
        <v>1448</v>
      </c>
      <c r="Z21" s="826" t="s">
        <v>111</v>
      </c>
      <c r="AA21" s="826"/>
    </row>
    <row r="22" ht="25.5" hidden="1" customHeight="1" outlineLevel="1">
      <c r="A22" s="826">
        <v>19.0</v>
      </c>
      <c r="B22" s="239" t="s">
        <v>1466</v>
      </c>
      <c r="C22" s="826" t="s">
        <v>1447</v>
      </c>
      <c r="D22" s="161">
        <v>2500.0</v>
      </c>
      <c r="E22" s="827">
        <v>1000.0</v>
      </c>
      <c r="F22" s="161">
        <f t="shared" si="1"/>
        <v>3750</v>
      </c>
      <c r="G22" s="828">
        <f t="shared" si="2"/>
        <v>0.2249946667</v>
      </c>
      <c r="H22" s="829">
        <v>843.73</v>
      </c>
      <c r="I22" s="161">
        <f t="shared" si="3"/>
        <v>2906.27</v>
      </c>
      <c r="J22" s="828">
        <f t="shared" si="4"/>
        <v>3.444549797</v>
      </c>
      <c r="K22" s="161">
        <f t="shared" si="14"/>
        <v>5000</v>
      </c>
      <c r="L22" s="828">
        <f t="shared" si="5"/>
        <v>0.209062</v>
      </c>
      <c r="M22" s="829">
        <v>1045.31</v>
      </c>
      <c r="N22" s="161">
        <f t="shared" si="6"/>
        <v>3954.69</v>
      </c>
      <c r="O22" s="828">
        <f t="shared" si="7"/>
        <v>3.783270035</v>
      </c>
      <c r="P22" s="161">
        <f t="shared" ref="P22:P36" si="29">D22*2.5</f>
        <v>6250</v>
      </c>
      <c r="Q22" s="828">
        <f t="shared" ref="Q22:Q36" si="30">R22/P22</f>
        <v>0.2003232</v>
      </c>
      <c r="R22" s="829">
        <v>1252.02</v>
      </c>
      <c r="S22" s="161">
        <f t="shared" ref="S22:S36" si="31">P22-R22</f>
        <v>4997.98</v>
      </c>
      <c r="T22" s="828">
        <f t="shared" ref="T22:T36" si="32">P22/R22-1</f>
        <v>3.991933036</v>
      </c>
      <c r="U22" s="161" t="s">
        <v>1448</v>
      </c>
      <c r="Z22" s="826" t="s">
        <v>111</v>
      </c>
      <c r="AA22" s="826"/>
    </row>
    <row r="23" ht="25.5" hidden="1" customHeight="1" outlineLevel="1">
      <c r="A23" s="826">
        <v>20.0</v>
      </c>
      <c r="B23" s="239" t="s">
        <v>1467</v>
      </c>
      <c r="C23" s="826" t="s">
        <v>1447</v>
      </c>
      <c r="D23" s="161">
        <v>2500.0</v>
      </c>
      <c r="E23" s="827">
        <v>1000.0</v>
      </c>
      <c r="F23" s="161">
        <f t="shared" si="1"/>
        <v>3750</v>
      </c>
      <c r="G23" s="828">
        <f t="shared" si="2"/>
        <v>0.223936</v>
      </c>
      <c r="H23" s="829">
        <v>839.76</v>
      </c>
      <c r="I23" s="161">
        <f t="shared" si="3"/>
        <v>2910.24</v>
      </c>
      <c r="J23" s="828">
        <f t="shared" si="4"/>
        <v>3.465561589</v>
      </c>
      <c r="K23" s="161">
        <f t="shared" si="14"/>
        <v>5000</v>
      </c>
      <c r="L23" s="828">
        <f t="shared" si="5"/>
        <v>0.203544</v>
      </c>
      <c r="M23" s="829">
        <v>1017.72</v>
      </c>
      <c r="N23" s="161">
        <f t="shared" si="6"/>
        <v>3982.28</v>
      </c>
      <c r="O23" s="828">
        <f t="shared" si="7"/>
        <v>3.912942656</v>
      </c>
      <c r="P23" s="161">
        <f t="shared" si="29"/>
        <v>6250</v>
      </c>
      <c r="Q23" s="828">
        <f t="shared" si="30"/>
        <v>0.203136</v>
      </c>
      <c r="R23" s="829">
        <v>1269.6</v>
      </c>
      <c r="S23" s="161">
        <f t="shared" si="31"/>
        <v>4980.4</v>
      </c>
      <c r="T23" s="828">
        <f t="shared" si="32"/>
        <v>3.922810334</v>
      </c>
      <c r="U23" s="161" t="s">
        <v>1448</v>
      </c>
      <c r="Z23" s="826" t="s">
        <v>111</v>
      </c>
      <c r="AA23" s="826"/>
    </row>
    <row r="24" ht="25.5" hidden="1" customHeight="1" outlineLevel="1">
      <c r="A24" s="826">
        <v>21.0</v>
      </c>
      <c r="B24" s="239" t="s">
        <v>1468</v>
      </c>
      <c r="C24" s="826" t="s">
        <v>1447</v>
      </c>
      <c r="D24" s="161">
        <v>2500.0</v>
      </c>
      <c r="E24" s="827">
        <v>1000.0</v>
      </c>
      <c r="F24" s="161">
        <f t="shared" si="1"/>
        <v>3750</v>
      </c>
      <c r="G24" s="828">
        <f t="shared" si="2"/>
        <v>0.2209333333</v>
      </c>
      <c r="H24" s="829">
        <v>828.5</v>
      </c>
      <c r="I24" s="161">
        <f t="shared" si="3"/>
        <v>2921.5</v>
      </c>
      <c r="J24" s="828">
        <f t="shared" si="4"/>
        <v>3.526252263</v>
      </c>
      <c r="K24" s="161">
        <f t="shared" si="14"/>
        <v>5000</v>
      </c>
      <c r="L24" s="828">
        <f t="shared" si="5"/>
        <v>0.206882</v>
      </c>
      <c r="M24" s="829">
        <v>1034.41</v>
      </c>
      <c r="N24" s="161">
        <f t="shared" si="6"/>
        <v>3965.59</v>
      </c>
      <c r="O24" s="828">
        <f t="shared" si="7"/>
        <v>3.833673302</v>
      </c>
      <c r="P24" s="161">
        <f t="shared" si="29"/>
        <v>6250</v>
      </c>
      <c r="Q24" s="828">
        <f t="shared" si="30"/>
        <v>0.1979424</v>
      </c>
      <c r="R24" s="829">
        <v>1237.14</v>
      </c>
      <c r="S24" s="161">
        <f t="shared" si="31"/>
        <v>5012.86</v>
      </c>
      <c r="T24" s="828">
        <f t="shared" si="32"/>
        <v>4.051974716</v>
      </c>
      <c r="U24" s="161">
        <f>D24*3</f>
        <v>7500</v>
      </c>
      <c r="V24" s="828">
        <f>W24/U24</f>
        <v>0.1979546667</v>
      </c>
      <c r="W24" s="829">
        <v>1484.66</v>
      </c>
      <c r="X24" s="161">
        <f>U24-W24</f>
        <v>6015.34</v>
      </c>
      <c r="Y24" s="828">
        <f>U24/W24-1</f>
        <v>4.05166166</v>
      </c>
      <c r="Z24" s="826" t="s">
        <v>111</v>
      </c>
      <c r="AA24" s="826"/>
    </row>
    <row r="25" ht="25.5" hidden="1" customHeight="1" outlineLevel="1">
      <c r="A25" s="826">
        <v>22.0</v>
      </c>
      <c r="B25" s="239" t="s">
        <v>1469</v>
      </c>
      <c r="C25" s="826" t="s">
        <v>1447</v>
      </c>
      <c r="D25" s="161">
        <v>2500.0</v>
      </c>
      <c r="E25" s="827">
        <v>1000.0</v>
      </c>
      <c r="F25" s="161">
        <f t="shared" si="1"/>
        <v>3750</v>
      </c>
      <c r="G25" s="828">
        <f t="shared" si="2"/>
        <v>0.1897653333</v>
      </c>
      <c r="H25" s="829">
        <v>711.62</v>
      </c>
      <c r="I25" s="161">
        <f t="shared" si="3"/>
        <v>3038.38</v>
      </c>
      <c r="J25" s="828">
        <f t="shared" si="4"/>
        <v>4.269666395</v>
      </c>
      <c r="K25" s="161">
        <f t="shared" si="14"/>
        <v>5000</v>
      </c>
      <c r="L25" s="828">
        <f t="shared" si="5"/>
        <v>0.18118</v>
      </c>
      <c r="M25" s="829">
        <v>905.9</v>
      </c>
      <c r="N25" s="161">
        <f t="shared" si="6"/>
        <v>4094.1</v>
      </c>
      <c r="O25" s="828">
        <f t="shared" si="7"/>
        <v>4.519372999</v>
      </c>
      <c r="P25" s="161">
        <f t="shared" si="29"/>
        <v>6250</v>
      </c>
      <c r="Q25" s="828">
        <f t="shared" si="30"/>
        <v>0.1756448</v>
      </c>
      <c r="R25" s="829">
        <v>1097.78</v>
      </c>
      <c r="S25" s="161">
        <f t="shared" si="31"/>
        <v>5152.22</v>
      </c>
      <c r="T25" s="828">
        <f t="shared" si="32"/>
        <v>4.693308313</v>
      </c>
      <c r="U25" s="161" t="s">
        <v>1448</v>
      </c>
      <c r="Z25" s="826" t="s">
        <v>111</v>
      </c>
      <c r="AA25" s="826"/>
    </row>
    <row r="26" ht="25.5" hidden="1" customHeight="1" outlineLevel="1">
      <c r="A26" s="826">
        <v>23.0</v>
      </c>
      <c r="B26" s="239" t="s">
        <v>1470</v>
      </c>
      <c r="C26" s="826" t="s">
        <v>1447</v>
      </c>
      <c r="D26" s="161">
        <v>2200.0</v>
      </c>
      <c r="E26" s="827">
        <v>1000.0</v>
      </c>
      <c r="F26" s="161">
        <f t="shared" si="1"/>
        <v>3300</v>
      </c>
      <c r="G26" s="828">
        <f t="shared" si="2"/>
        <v>0.2195424242</v>
      </c>
      <c r="H26" s="829">
        <v>724.49</v>
      </c>
      <c r="I26" s="161">
        <f t="shared" si="3"/>
        <v>2575.51</v>
      </c>
      <c r="J26" s="828">
        <f t="shared" si="4"/>
        <v>3.554928294</v>
      </c>
      <c r="K26" s="161">
        <f t="shared" si="14"/>
        <v>4400</v>
      </c>
      <c r="L26" s="828">
        <f t="shared" si="5"/>
        <v>0.2072636364</v>
      </c>
      <c r="M26" s="829">
        <v>911.96</v>
      </c>
      <c r="N26" s="161">
        <f t="shared" si="6"/>
        <v>3488.04</v>
      </c>
      <c r="O26" s="828">
        <f t="shared" si="7"/>
        <v>3.824773016</v>
      </c>
      <c r="P26" s="161">
        <f t="shared" si="29"/>
        <v>5500</v>
      </c>
      <c r="Q26" s="828">
        <f t="shared" si="30"/>
        <v>0.2011527273</v>
      </c>
      <c r="R26" s="829">
        <v>1106.34</v>
      </c>
      <c r="S26" s="161">
        <f t="shared" si="31"/>
        <v>4393.66</v>
      </c>
      <c r="T26" s="828">
        <f t="shared" si="32"/>
        <v>3.971346964</v>
      </c>
      <c r="U26" s="161">
        <f t="shared" ref="U26:U30" si="33">D26*3</f>
        <v>6600</v>
      </c>
      <c r="V26" s="828">
        <f t="shared" ref="V26:V30" si="34">W26/U26</f>
        <v>0.1995848485</v>
      </c>
      <c r="W26" s="829">
        <v>1317.26</v>
      </c>
      <c r="X26" s="161">
        <f t="shared" ref="X26:X30" si="35">U26-W26</f>
        <v>5282.74</v>
      </c>
      <c r="Y26" s="828">
        <f t="shared" ref="Y26:Y30" si="36">U26/W26-1</f>
        <v>4.010400377</v>
      </c>
      <c r="Z26" s="826" t="s">
        <v>111</v>
      </c>
      <c r="AA26" s="826"/>
    </row>
    <row r="27" ht="25.5" hidden="1" customHeight="1" outlineLevel="1">
      <c r="A27" s="826">
        <v>24.0</v>
      </c>
      <c r="B27" s="239" t="s">
        <v>1471</v>
      </c>
      <c r="C27" s="826" t="s">
        <v>1447</v>
      </c>
      <c r="D27" s="161">
        <v>2500.0</v>
      </c>
      <c r="E27" s="827">
        <v>1000.0</v>
      </c>
      <c r="F27" s="161">
        <f t="shared" si="1"/>
        <v>3750</v>
      </c>
      <c r="G27" s="828">
        <f t="shared" si="2"/>
        <v>0.2472746667</v>
      </c>
      <c r="H27" s="829">
        <v>927.28</v>
      </c>
      <c r="I27" s="161">
        <f t="shared" si="3"/>
        <v>2822.72</v>
      </c>
      <c r="J27" s="828">
        <f t="shared" si="4"/>
        <v>3.044085929</v>
      </c>
      <c r="K27" s="161">
        <f t="shared" si="14"/>
        <v>5000</v>
      </c>
      <c r="L27" s="828">
        <f t="shared" si="5"/>
        <v>0.225704</v>
      </c>
      <c r="M27" s="829">
        <v>1128.52</v>
      </c>
      <c r="N27" s="161">
        <f t="shared" si="6"/>
        <v>3871.48</v>
      </c>
      <c r="O27" s="828">
        <f t="shared" si="7"/>
        <v>3.430581647</v>
      </c>
      <c r="P27" s="161">
        <f t="shared" si="29"/>
        <v>6250</v>
      </c>
      <c r="Q27" s="828">
        <f t="shared" si="30"/>
        <v>0.2168384</v>
      </c>
      <c r="R27" s="829">
        <v>1355.24</v>
      </c>
      <c r="S27" s="161">
        <f t="shared" si="31"/>
        <v>4894.76</v>
      </c>
      <c r="T27" s="828">
        <f t="shared" si="32"/>
        <v>3.611729288</v>
      </c>
      <c r="U27" s="161">
        <f t="shared" si="33"/>
        <v>7500</v>
      </c>
      <c r="V27" s="828">
        <f t="shared" si="34"/>
        <v>0.214992</v>
      </c>
      <c r="W27" s="829">
        <v>1612.44</v>
      </c>
      <c r="X27" s="161">
        <f t="shared" si="35"/>
        <v>5887.56</v>
      </c>
      <c r="Y27" s="828">
        <f t="shared" si="36"/>
        <v>3.651335864</v>
      </c>
      <c r="Z27" s="826" t="s">
        <v>111</v>
      </c>
      <c r="AA27" s="826"/>
    </row>
    <row r="28" ht="25.5" hidden="1" customHeight="1" outlineLevel="1">
      <c r="A28" s="826">
        <v>25.0</v>
      </c>
      <c r="B28" s="239" t="s">
        <v>1472</v>
      </c>
      <c r="C28" s="826" t="s">
        <v>1447</v>
      </c>
      <c r="D28" s="161">
        <v>2500.0</v>
      </c>
      <c r="E28" s="827">
        <v>1000.0</v>
      </c>
      <c r="F28" s="161">
        <f t="shared" si="1"/>
        <v>3750</v>
      </c>
      <c r="G28" s="828">
        <f t="shared" si="2"/>
        <v>0.211184</v>
      </c>
      <c r="H28" s="829">
        <v>791.94</v>
      </c>
      <c r="I28" s="161">
        <f t="shared" si="3"/>
        <v>2958.06</v>
      </c>
      <c r="J28" s="828">
        <f t="shared" si="4"/>
        <v>3.735207213</v>
      </c>
      <c r="K28" s="161">
        <f t="shared" si="14"/>
        <v>5000</v>
      </c>
      <c r="L28" s="828">
        <f t="shared" si="5"/>
        <v>0.19653</v>
      </c>
      <c r="M28" s="829">
        <v>982.65</v>
      </c>
      <c r="N28" s="161">
        <f t="shared" si="6"/>
        <v>4017.35</v>
      </c>
      <c r="O28" s="828">
        <f t="shared" si="7"/>
        <v>4.088281687</v>
      </c>
      <c r="P28" s="161">
        <f t="shared" si="29"/>
        <v>6250</v>
      </c>
      <c r="Q28" s="828">
        <f t="shared" si="30"/>
        <v>0.1880976</v>
      </c>
      <c r="R28" s="829">
        <v>1175.61</v>
      </c>
      <c r="S28" s="161">
        <f t="shared" si="31"/>
        <v>5074.39</v>
      </c>
      <c r="T28" s="828">
        <f t="shared" si="32"/>
        <v>4.316388939</v>
      </c>
      <c r="U28" s="161">
        <f t="shared" si="33"/>
        <v>7500</v>
      </c>
      <c r="V28" s="828">
        <f t="shared" si="34"/>
        <v>0.186332</v>
      </c>
      <c r="W28" s="829">
        <v>1397.49</v>
      </c>
      <c r="X28" s="161">
        <f t="shared" si="35"/>
        <v>6102.51</v>
      </c>
      <c r="Y28" s="828">
        <f t="shared" si="36"/>
        <v>4.3667647</v>
      </c>
      <c r="Z28" s="826" t="s">
        <v>111</v>
      </c>
      <c r="AA28" s="87"/>
    </row>
    <row r="29" ht="25.5" hidden="1" customHeight="1" outlineLevel="1">
      <c r="A29" s="826">
        <v>26.0</v>
      </c>
      <c r="B29" s="239" t="s">
        <v>1473</v>
      </c>
      <c r="C29" s="826" t="s">
        <v>1447</v>
      </c>
      <c r="D29" s="161">
        <v>2500.0</v>
      </c>
      <c r="E29" s="827">
        <v>1000.0</v>
      </c>
      <c r="F29" s="161">
        <f t="shared" si="1"/>
        <v>3750</v>
      </c>
      <c r="G29" s="828">
        <f t="shared" si="2"/>
        <v>0.216616</v>
      </c>
      <c r="H29" s="829">
        <v>812.31</v>
      </c>
      <c r="I29" s="161">
        <f t="shared" si="3"/>
        <v>2937.69</v>
      </c>
      <c r="J29" s="828">
        <f t="shared" si="4"/>
        <v>3.616464158</v>
      </c>
      <c r="K29" s="161">
        <f t="shared" si="14"/>
        <v>5000</v>
      </c>
      <c r="L29" s="828">
        <f t="shared" si="5"/>
        <v>0.202646</v>
      </c>
      <c r="M29" s="829">
        <v>1013.23</v>
      </c>
      <c r="N29" s="161">
        <f t="shared" si="6"/>
        <v>3986.77</v>
      </c>
      <c r="O29" s="828">
        <f t="shared" si="7"/>
        <v>3.934713737</v>
      </c>
      <c r="P29" s="161">
        <f t="shared" si="29"/>
        <v>6250</v>
      </c>
      <c r="Q29" s="828">
        <f t="shared" si="30"/>
        <v>0.1943792</v>
      </c>
      <c r="R29" s="829">
        <v>1214.87</v>
      </c>
      <c r="S29" s="161">
        <f t="shared" si="31"/>
        <v>5035.13</v>
      </c>
      <c r="T29" s="828">
        <f t="shared" si="32"/>
        <v>4.144583371</v>
      </c>
      <c r="U29" s="161">
        <f t="shared" si="33"/>
        <v>7500</v>
      </c>
      <c r="V29" s="828">
        <f t="shared" si="34"/>
        <v>0.1927706667</v>
      </c>
      <c r="W29" s="829">
        <v>1445.78</v>
      </c>
      <c r="X29" s="161">
        <f t="shared" si="35"/>
        <v>6054.22</v>
      </c>
      <c r="Y29" s="828">
        <f t="shared" si="36"/>
        <v>4.18751124</v>
      </c>
      <c r="Z29" s="826" t="s">
        <v>111</v>
      </c>
      <c r="AA29" s="87"/>
    </row>
    <row r="30" ht="25.5" hidden="1" customHeight="1" outlineLevel="1">
      <c r="A30" s="826">
        <v>27.0</v>
      </c>
      <c r="B30" s="239" t="s">
        <v>1474</v>
      </c>
      <c r="C30" s="826" t="s">
        <v>1447</v>
      </c>
      <c r="D30" s="161">
        <v>2950.0</v>
      </c>
      <c r="E30" s="827">
        <v>1000.0</v>
      </c>
      <c r="F30" s="161">
        <f t="shared" si="1"/>
        <v>4425</v>
      </c>
      <c r="G30" s="828">
        <f t="shared" si="2"/>
        <v>0.2212271186</v>
      </c>
      <c r="H30" s="829">
        <v>978.93</v>
      </c>
      <c r="I30" s="161">
        <f t="shared" si="3"/>
        <v>3446.07</v>
      </c>
      <c r="J30" s="828">
        <f t="shared" si="4"/>
        <v>3.520241488</v>
      </c>
      <c r="K30" s="161">
        <f t="shared" si="14"/>
        <v>5900</v>
      </c>
      <c r="L30" s="828">
        <f t="shared" si="5"/>
        <v>0.2099728814</v>
      </c>
      <c r="M30" s="829">
        <v>1238.84</v>
      </c>
      <c r="N30" s="161">
        <f t="shared" si="6"/>
        <v>4661.16</v>
      </c>
      <c r="O30" s="828">
        <f t="shared" si="7"/>
        <v>3.762519777</v>
      </c>
      <c r="P30" s="161">
        <f t="shared" si="29"/>
        <v>7375</v>
      </c>
      <c r="Q30" s="828">
        <f t="shared" si="30"/>
        <v>0.2048854237</v>
      </c>
      <c r="R30" s="829">
        <v>1511.03</v>
      </c>
      <c r="S30" s="161">
        <f t="shared" si="31"/>
        <v>5863.97</v>
      </c>
      <c r="T30" s="828">
        <f t="shared" si="32"/>
        <v>3.880776689</v>
      </c>
      <c r="U30" s="161">
        <f t="shared" si="33"/>
        <v>8850</v>
      </c>
      <c r="V30" s="828">
        <f t="shared" si="34"/>
        <v>0.2058644068</v>
      </c>
      <c r="W30" s="829">
        <v>1821.9</v>
      </c>
      <c r="X30" s="161">
        <f t="shared" si="35"/>
        <v>7028.1</v>
      </c>
      <c r="Y30" s="828">
        <f t="shared" si="36"/>
        <v>3.857566277</v>
      </c>
      <c r="Z30" s="826" t="s">
        <v>111</v>
      </c>
      <c r="AA30" s="87"/>
    </row>
    <row r="31" ht="25.5" hidden="1" customHeight="1" outlineLevel="1">
      <c r="A31" s="826">
        <v>28.0</v>
      </c>
      <c r="B31" s="239" t="s">
        <v>1475</v>
      </c>
      <c r="C31" s="826" t="s">
        <v>1447</v>
      </c>
      <c r="D31" s="161">
        <v>2500.0</v>
      </c>
      <c r="E31" s="827">
        <v>1000.0</v>
      </c>
      <c r="F31" s="161">
        <f t="shared" si="1"/>
        <v>3750</v>
      </c>
      <c r="G31" s="828">
        <f t="shared" si="2"/>
        <v>0.228008</v>
      </c>
      <c r="H31" s="829">
        <v>855.03</v>
      </c>
      <c r="I31" s="161">
        <f t="shared" si="3"/>
        <v>2894.97</v>
      </c>
      <c r="J31" s="828">
        <f t="shared" si="4"/>
        <v>3.385811024</v>
      </c>
      <c r="K31" s="161">
        <f t="shared" si="14"/>
        <v>5000</v>
      </c>
      <c r="L31" s="828">
        <f t="shared" si="5"/>
        <v>0.20958</v>
      </c>
      <c r="M31" s="829">
        <v>1047.9</v>
      </c>
      <c r="N31" s="161">
        <f t="shared" si="6"/>
        <v>3952.1</v>
      </c>
      <c r="O31" s="828">
        <f t="shared" si="7"/>
        <v>3.771447657</v>
      </c>
      <c r="P31" s="161">
        <f t="shared" si="29"/>
        <v>6250</v>
      </c>
      <c r="Q31" s="828">
        <f t="shared" si="30"/>
        <v>0.203864</v>
      </c>
      <c r="R31" s="829">
        <v>1274.15</v>
      </c>
      <c r="S31" s="161">
        <f t="shared" si="31"/>
        <v>4975.85</v>
      </c>
      <c r="T31" s="828">
        <f t="shared" si="32"/>
        <v>3.905230938</v>
      </c>
      <c r="U31" s="161" t="s">
        <v>1448</v>
      </c>
      <c r="Z31" s="826" t="s">
        <v>111</v>
      </c>
      <c r="AA31" s="87"/>
    </row>
    <row r="32" ht="25.5" hidden="1" customHeight="1" outlineLevel="1">
      <c r="A32" s="826">
        <v>29.0</v>
      </c>
      <c r="B32" s="239" t="s">
        <v>1476</v>
      </c>
      <c r="C32" s="826" t="s">
        <v>1447</v>
      </c>
      <c r="D32" s="161">
        <v>2200.0</v>
      </c>
      <c r="E32" s="827">
        <v>1000.0</v>
      </c>
      <c r="F32" s="161">
        <f t="shared" si="1"/>
        <v>3300</v>
      </c>
      <c r="G32" s="828">
        <f t="shared" si="2"/>
        <v>0.2192818182</v>
      </c>
      <c r="H32" s="829">
        <v>723.63</v>
      </c>
      <c r="I32" s="161">
        <f t="shared" si="3"/>
        <v>2576.37</v>
      </c>
      <c r="J32" s="828">
        <f t="shared" si="4"/>
        <v>3.560341611</v>
      </c>
      <c r="K32" s="161">
        <f t="shared" si="14"/>
        <v>4400</v>
      </c>
      <c r="L32" s="828">
        <f t="shared" si="5"/>
        <v>0.2081954545</v>
      </c>
      <c r="M32" s="829">
        <v>916.06</v>
      </c>
      <c r="N32" s="161">
        <f t="shared" si="6"/>
        <v>3483.94</v>
      </c>
      <c r="O32" s="828">
        <f t="shared" si="7"/>
        <v>3.803178831</v>
      </c>
      <c r="P32" s="161">
        <f t="shared" si="29"/>
        <v>5500</v>
      </c>
      <c r="Q32" s="828">
        <f t="shared" si="30"/>
        <v>0.2013472727</v>
      </c>
      <c r="R32" s="829">
        <v>1107.41</v>
      </c>
      <c r="S32" s="161">
        <f t="shared" si="31"/>
        <v>4392.59</v>
      </c>
      <c r="T32" s="828">
        <f t="shared" si="32"/>
        <v>3.966543557</v>
      </c>
      <c r="U32" s="161">
        <f t="shared" ref="U32:U36" si="37">D32*3</f>
        <v>6600</v>
      </c>
      <c r="V32" s="828">
        <f t="shared" ref="V32:V36" si="38">W32/U32</f>
        <v>0.2014272727</v>
      </c>
      <c r="W32" s="829">
        <v>1329.42</v>
      </c>
      <c r="X32" s="161">
        <f t="shared" ref="X32:X36" si="39">U32-W32</f>
        <v>5270.58</v>
      </c>
      <c r="Y32" s="828">
        <f t="shared" ref="Y32:Y36" si="40">U32/W32-1</f>
        <v>3.964571016</v>
      </c>
      <c r="Z32" s="826" t="s">
        <v>111</v>
      </c>
      <c r="AA32" s="87"/>
    </row>
    <row r="33" ht="25.5" hidden="1" customHeight="1" outlineLevel="1">
      <c r="A33" s="826">
        <v>30.0</v>
      </c>
      <c r="B33" s="239" t="s">
        <v>1477</v>
      </c>
      <c r="C33" s="826" t="s">
        <v>1447</v>
      </c>
      <c r="D33" s="161">
        <v>2500.0</v>
      </c>
      <c r="E33" s="827">
        <v>1000.0</v>
      </c>
      <c r="F33" s="161">
        <f t="shared" si="1"/>
        <v>3750</v>
      </c>
      <c r="G33" s="828">
        <f t="shared" si="2"/>
        <v>0.2030986667</v>
      </c>
      <c r="H33" s="829">
        <v>761.62</v>
      </c>
      <c r="I33" s="161">
        <f t="shared" si="3"/>
        <v>2988.38</v>
      </c>
      <c r="J33" s="828">
        <f t="shared" si="4"/>
        <v>3.923715239</v>
      </c>
      <c r="K33" s="161">
        <f t="shared" si="14"/>
        <v>5000</v>
      </c>
      <c r="L33" s="828">
        <f t="shared" si="5"/>
        <v>0.191046</v>
      </c>
      <c r="M33" s="829">
        <v>955.23</v>
      </c>
      <c r="N33" s="161">
        <f t="shared" si="6"/>
        <v>4044.77</v>
      </c>
      <c r="O33" s="828">
        <f t="shared" si="7"/>
        <v>4.234341467</v>
      </c>
      <c r="P33" s="161">
        <f t="shared" si="29"/>
        <v>6250</v>
      </c>
      <c r="Q33" s="828">
        <f t="shared" si="30"/>
        <v>0.185592</v>
      </c>
      <c r="R33" s="829">
        <v>1159.95</v>
      </c>
      <c r="S33" s="161">
        <f t="shared" si="31"/>
        <v>5090.05</v>
      </c>
      <c r="T33" s="828">
        <f t="shared" si="32"/>
        <v>4.388163283</v>
      </c>
      <c r="U33" s="161">
        <f t="shared" si="37"/>
        <v>7500</v>
      </c>
      <c r="V33" s="828">
        <f t="shared" si="38"/>
        <v>0.183352</v>
      </c>
      <c r="W33" s="829">
        <v>1375.14</v>
      </c>
      <c r="X33" s="161">
        <f t="shared" si="39"/>
        <v>6124.86</v>
      </c>
      <c r="Y33" s="828">
        <f t="shared" si="40"/>
        <v>4.453990139</v>
      </c>
      <c r="Z33" s="826" t="s">
        <v>111</v>
      </c>
      <c r="AA33" s="87"/>
    </row>
    <row r="34" ht="25.5" hidden="1" customHeight="1" outlineLevel="1">
      <c r="A34" s="826">
        <v>31.0</v>
      </c>
      <c r="B34" s="239" t="s">
        <v>1478</v>
      </c>
      <c r="C34" s="826" t="s">
        <v>1447</v>
      </c>
      <c r="D34" s="161">
        <v>2200.0</v>
      </c>
      <c r="E34" s="827">
        <v>1000.0</v>
      </c>
      <c r="F34" s="161">
        <f t="shared" si="1"/>
        <v>3300</v>
      </c>
      <c r="G34" s="828">
        <f t="shared" si="2"/>
        <v>0.2454666667</v>
      </c>
      <c r="H34" s="829">
        <v>810.04</v>
      </c>
      <c r="I34" s="161">
        <f t="shared" si="3"/>
        <v>2489.96</v>
      </c>
      <c r="J34" s="828">
        <f t="shared" si="4"/>
        <v>3.073872895</v>
      </c>
      <c r="K34" s="161">
        <f t="shared" si="14"/>
        <v>4400</v>
      </c>
      <c r="L34" s="828">
        <f t="shared" si="5"/>
        <v>0.230425</v>
      </c>
      <c r="M34" s="829">
        <v>1013.87</v>
      </c>
      <c r="N34" s="161">
        <f t="shared" si="6"/>
        <v>3386.13</v>
      </c>
      <c r="O34" s="828">
        <f t="shared" si="7"/>
        <v>3.339806879</v>
      </c>
      <c r="P34" s="161">
        <f t="shared" si="29"/>
        <v>5500</v>
      </c>
      <c r="Q34" s="828">
        <f t="shared" si="30"/>
        <v>0.2221363636</v>
      </c>
      <c r="R34" s="829">
        <v>1221.75</v>
      </c>
      <c r="S34" s="161">
        <f t="shared" si="31"/>
        <v>4278.25</v>
      </c>
      <c r="T34" s="828">
        <f t="shared" si="32"/>
        <v>3.501739308</v>
      </c>
      <c r="U34" s="161">
        <f t="shared" si="37"/>
        <v>6600</v>
      </c>
      <c r="V34" s="828">
        <f t="shared" si="38"/>
        <v>0.2223045455</v>
      </c>
      <c r="W34" s="829">
        <v>1467.21</v>
      </c>
      <c r="X34" s="161">
        <f t="shared" si="39"/>
        <v>5132.79</v>
      </c>
      <c r="Y34" s="828">
        <f t="shared" si="40"/>
        <v>3.498333572</v>
      </c>
      <c r="Z34" s="826" t="s">
        <v>111</v>
      </c>
      <c r="AA34" s="826"/>
    </row>
    <row r="35" ht="25.5" hidden="1" customHeight="1" outlineLevel="1">
      <c r="A35" s="826">
        <v>32.0</v>
      </c>
      <c r="B35" s="239" t="s">
        <v>1479</v>
      </c>
      <c r="C35" s="826" t="s">
        <v>1447</v>
      </c>
      <c r="D35" s="161">
        <v>2200.0</v>
      </c>
      <c r="E35" s="827">
        <v>1000.0</v>
      </c>
      <c r="F35" s="161">
        <f t="shared" si="1"/>
        <v>3300</v>
      </c>
      <c r="G35" s="828">
        <f t="shared" si="2"/>
        <v>0.2114484848</v>
      </c>
      <c r="H35" s="829">
        <v>697.78</v>
      </c>
      <c r="I35" s="161">
        <f t="shared" si="3"/>
        <v>2602.22</v>
      </c>
      <c r="J35" s="828">
        <f t="shared" si="4"/>
        <v>3.729284302</v>
      </c>
      <c r="K35" s="161">
        <f t="shared" si="14"/>
        <v>4400</v>
      </c>
      <c r="L35" s="828">
        <f t="shared" si="5"/>
        <v>0.2014704545</v>
      </c>
      <c r="M35" s="829">
        <v>886.47</v>
      </c>
      <c r="N35" s="161">
        <f t="shared" si="6"/>
        <v>3513.53</v>
      </c>
      <c r="O35" s="828">
        <f t="shared" si="7"/>
        <v>3.963506943</v>
      </c>
      <c r="P35" s="161">
        <f t="shared" si="29"/>
        <v>5500</v>
      </c>
      <c r="Q35" s="828">
        <f t="shared" si="30"/>
        <v>0.1949036364</v>
      </c>
      <c r="R35" s="829">
        <v>1071.97</v>
      </c>
      <c r="S35" s="161">
        <f t="shared" si="31"/>
        <v>4428.03</v>
      </c>
      <c r="T35" s="828">
        <f t="shared" si="32"/>
        <v>4.130740599</v>
      </c>
      <c r="U35" s="161">
        <f t="shared" si="37"/>
        <v>6600</v>
      </c>
      <c r="V35" s="828">
        <f t="shared" si="38"/>
        <v>0.1944757576</v>
      </c>
      <c r="W35" s="829">
        <v>1283.54</v>
      </c>
      <c r="X35" s="161">
        <f t="shared" si="39"/>
        <v>5316.46</v>
      </c>
      <c r="Y35" s="828">
        <f t="shared" si="40"/>
        <v>4.142029076</v>
      </c>
      <c r="Z35" s="826" t="s">
        <v>111</v>
      </c>
      <c r="AA35" s="826"/>
    </row>
    <row r="36" ht="25.5" hidden="1" customHeight="1" outlineLevel="1">
      <c r="A36" s="826">
        <v>34.0</v>
      </c>
      <c r="B36" s="239" t="s">
        <v>1480</v>
      </c>
      <c r="C36" s="826" t="s">
        <v>1447</v>
      </c>
      <c r="D36" s="161">
        <v>2950.0</v>
      </c>
      <c r="E36" s="827">
        <v>1000.0</v>
      </c>
      <c r="F36" s="161">
        <f t="shared" si="1"/>
        <v>4425</v>
      </c>
      <c r="G36" s="828">
        <f t="shared" si="2"/>
        <v>0.2021920904</v>
      </c>
      <c r="H36" s="829">
        <v>894.7</v>
      </c>
      <c r="I36" s="161">
        <f t="shared" si="3"/>
        <v>3530.3</v>
      </c>
      <c r="J36" s="828">
        <f t="shared" si="4"/>
        <v>3.945791886</v>
      </c>
      <c r="K36" s="161">
        <f t="shared" si="14"/>
        <v>5900</v>
      </c>
      <c r="L36" s="828">
        <f t="shared" si="5"/>
        <v>0.1911152542</v>
      </c>
      <c r="M36" s="829">
        <v>1127.58</v>
      </c>
      <c r="N36" s="161">
        <f t="shared" si="6"/>
        <v>4772.42</v>
      </c>
      <c r="O36" s="828">
        <f t="shared" si="7"/>
        <v>4.232444705</v>
      </c>
      <c r="P36" s="161">
        <f t="shared" si="29"/>
        <v>7375</v>
      </c>
      <c r="Q36" s="828">
        <f t="shared" si="30"/>
        <v>0.1870847458</v>
      </c>
      <c r="R36" s="829">
        <v>1379.75</v>
      </c>
      <c r="S36" s="161">
        <f t="shared" si="31"/>
        <v>5995.25</v>
      </c>
      <c r="T36" s="828">
        <f t="shared" si="32"/>
        <v>4.345171227</v>
      </c>
      <c r="U36" s="161">
        <f t="shared" si="37"/>
        <v>8850</v>
      </c>
      <c r="V36" s="828">
        <f t="shared" si="38"/>
        <v>0.1875084746</v>
      </c>
      <c r="W36" s="829">
        <v>1659.45</v>
      </c>
      <c r="X36" s="161">
        <f t="shared" si="39"/>
        <v>7190.55</v>
      </c>
      <c r="Y36" s="828">
        <f t="shared" si="40"/>
        <v>4.33309229</v>
      </c>
      <c r="Z36" s="826" t="s">
        <v>111</v>
      </c>
      <c r="AA36" s="87"/>
    </row>
    <row r="37" ht="25.5" hidden="1" customHeight="1" outlineLevel="1">
      <c r="A37" s="826">
        <v>33.0</v>
      </c>
      <c r="B37" s="239" t="s">
        <v>1481</v>
      </c>
      <c r="C37" s="826" t="s">
        <v>1447</v>
      </c>
      <c r="D37" s="161">
        <v>2500.0</v>
      </c>
      <c r="E37" s="827">
        <v>1000.0</v>
      </c>
      <c r="F37" s="161">
        <f t="shared" si="1"/>
        <v>3750</v>
      </c>
      <c r="G37" s="828">
        <f t="shared" si="2"/>
        <v>0.2106</v>
      </c>
      <c r="H37" s="829">
        <v>789.75</v>
      </c>
      <c r="I37" s="161">
        <f t="shared" si="3"/>
        <v>2960.25</v>
      </c>
      <c r="J37" s="828">
        <f t="shared" si="4"/>
        <v>3.748338082</v>
      </c>
      <c r="K37" s="161">
        <f t="shared" si="14"/>
        <v>5000</v>
      </c>
      <c r="L37" s="828">
        <f t="shared" si="5"/>
        <v>0.196014</v>
      </c>
      <c r="M37" s="829">
        <v>980.07</v>
      </c>
      <c r="N37" s="161">
        <f t="shared" si="6"/>
        <v>4019.93</v>
      </c>
      <c r="O37" s="828">
        <f t="shared" si="7"/>
        <v>4.101676411</v>
      </c>
      <c r="P37" s="161" t="s">
        <v>1448</v>
      </c>
      <c r="U37" s="161" t="s">
        <v>1448</v>
      </c>
      <c r="Z37" s="826" t="s">
        <v>111</v>
      </c>
      <c r="AA37" s="87"/>
    </row>
    <row r="38" ht="25.5" hidden="1" customHeight="1" outlineLevel="1">
      <c r="A38" s="826">
        <v>35.0</v>
      </c>
      <c r="B38" s="239" t="s">
        <v>1482</v>
      </c>
      <c r="C38" s="826" t="s">
        <v>1447</v>
      </c>
      <c r="D38" s="161">
        <v>2950.0</v>
      </c>
      <c r="E38" s="827">
        <v>1000.0</v>
      </c>
      <c r="F38" s="161">
        <f t="shared" si="1"/>
        <v>4425</v>
      </c>
      <c r="G38" s="828">
        <f t="shared" si="2"/>
        <v>0.2906960452</v>
      </c>
      <c r="H38" s="829">
        <v>1286.33</v>
      </c>
      <c r="I38" s="161">
        <f t="shared" si="3"/>
        <v>3138.67</v>
      </c>
      <c r="J38" s="828">
        <f t="shared" si="4"/>
        <v>2.44001928</v>
      </c>
      <c r="K38" s="161">
        <f t="shared" si="14"/>
        <v>5900</v>
      </c>
      <c r="L38" s="828">
        <f t="shared" si="5"/>
        <v>0.2729050847</v>
      </c>
      <c r="M38" s="829">
        <v>1610.14</v>
      </c>
      <c r="N38" s="161">
        <f t="shared" si="6"/>
        <v>4289.86</v>
      </c>
      <c r="O38" s="828">
        <f t="shared" si="7"/>
        <v>2.66427764</v>
      </c>
      <c r="P38" s="161">
        <f>D38*2.5</f>
        <v>7375</v>
      </c>
      <c r="Q38" s="828">
        <f>R38/P38</f>
        <v>0.2615850847</v>
      </c>
      <c r="R38" s="829">
        <v>1929.19</v>
      </c>
      <c r="S38" s="161">
        <f>P38-R38</f>
        <v>5445.81</v>
      </c>
      <c r="T38" s="828">
        <f>P38/R38-1</f>
        <v>2.822847931</v>
      </c>
      <c r="U38" s="161">
        <f>D38*3</f>
        <v>8850</v>
      </c>
      <c r="V38" s="828">
        <f>W38/U38</f>
        <v>0.2544621469</v>
      </c>
      <c r="W38" s="829">
        <v>2251.99</v>
      </c>
      <c r="X38" s="161">
        <f>U38-W38</f>
        <v>6598.01</v>
      </c>
      <c r="Y38" s="828">
        <f>U38/W38-1</f>
        <v>2.929857593</v>
      </c>
      <c r="Z38" s="826" t="s">
        <v>111</v>
      </c>
      <c r="AA38" s="87"/>
    </row>
    <row r="39" ht="25.5" customHeight="1" collapsed="1">
      <c r="A39" s="615"/>
      <c r="B39" s="830" t="str">
        <f>"МИНИТОРТЫ "&amp;COUNTA(B40:B42)&amp;" шт"</f>
        <v>МИНИТОРТЫ 3 шт</v>
      </c>
      <c r="C39" s="615"/>
      <c r="D39" s="698"/>
      <c r="E39" s="669"/>
      <c r="F39" s="698"/>
      <c r="G39" s="247">
        <f>AVERAGE(G40)</f>
        <v>0.2011596639</v>
      </c>
      <c r="H39" s="618"/>
      <c r="I39" s="615"/>
      <c r="J39" s="615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8"/>
      <c r="V39" s="698"/>
      <c r="W39" s="698"/>
      <c r="X39" s="698"/>
      <c r="Y39" s="698"/>
      <c r="Z39" s="672"/>
      <c r="AA39" s="672"/>
    </row>
    <row r="40" ht="25.5" hidden="1" customHeight="1" outlineLevel="1">
      <c r="A40" s="826">
        <v>36.0</v>
      </c>
      <c r="B40" s="239" t="s">
        <v>1483</v>
      </c>
      <c r="C40" s="831"/>
      <c r="D40" s="161">
        <v>1190.0</v>
      </c>
      <c r="E40" s="827">
        <v>650.0</v>
      </c>
      <c r="F40" s="161"/>
      <c r="G40" s="828">
        <f t="shared" ref="G40:G42" si="41">H40/D40</f>
        <v>0.2011596639</v>
      </c>
      <c r="H40" s="829">
        <v>239.38</v>
      </c>
      <c r="I40" s="161">
        <f t="shared" ref="I40:I42" si="42">D40-H40</f>
        <v>950.62</v>
      </c>
      <c r="J40" s="828">
        <f t="shared" ref="J40:J42" si="43">D40/H40-1</f>
        <v>3.971175537</v>
      </c>
      <c r="K40" s="161"/>
      <c r="L40" s="828"/>
      <c r="M40" s="832"/>
      <c r="N40" s="826"/>
      <c r="O40" s="828"/>
      <c r="P40" s="161"/>
      <c r="Q40" s="828"/>
      <c r="R40" s="832"/>
      <c r="S40" s="826"/>
      <c r="T40" s="828"/>
      <c r="U40" s="161"/>
      <c r="V40" s="828"/>
      <c r="W40" s="832"/>
      <c r="X40" s="826"/>
      <c r="Y40" s="828"/>
      <c r="Z40" s="826"/>
      <c r="AA40" s="826"/>
    </row>
    <row r="41" ht="25.5" hidden="1" customHeight="1" outlineLevel="1">
      <c r="A41" s="826">
        <v>37.0</v>
      </c>
      <c r="B41" s="239" t="s">
        <v>1484</v>
      </c>
      <c r="C41" s="831"/>
      <c r="D41" s="161">
        <v>990.0</v>
      </c>
      <c r="E41" s="827">
        <v>300.0</v>
      </c>
      <c r="F41" s="161"/>
      <c r="G41" s="828">
        <f t="shared" si="41"/>
        <v>0.2183131313</v>
      </c>
      <c r="H41" s="829">
        <v>216.13</v>
      </c>
      <c r="I41" s="161">
        <f t="shared" si="42"/>
        <v>773.87</v>
      </c>
      <c r="J41" s="828">
        <f t="shared" si="43"/>
        <v>3.580576505</v>
      </c>
      <c r="K41" s="161"/>
      <c r="L41" s="828"/>
      <c r="M41" s="832"/>
      <c r="N41" s="826"/>
      <c r="O41" s="828"/>
      <c r="P41" s="161"/>
      <c r="Q41" s="828"/>
      <c r="R41" s="832"/>
      <c r="S41" s="826"/>
      <c r="T41" s="828"/>
      <c r="U41" s="161"/>
      <c r="V41" s="828"/>
      <c r="W41" s="832"/>
      <c r="X41" s="826"/>
      <c r="Y41" s="828"/>
      <c r="Z41" s="826"/>
      <c r="AA41" s="826"/>
    </row>
    <row r="42" ht="25.5" hidden="1" customHeight="1" outlineLevel="1">
      <c r="A42" s="826">
        <v>38.0</v>
      </c>
      <c r="B42" s="239" t="s">
        <v>1485</v>
      </c>
      <c r="C42" s="831"/>
      <c r="D42" s="161">
        <v>990.0</v>
      </c>
      <c r="E42" s="827">
        <v>300.0</v>
      </c>
      <c r="F42" s="161"/>
      <c r="G42" s="828">
        <f t="shared" si="41"/>
        <v>0.2187171717</v>
      </c>
      <c r="H42" s="829">
        <v>216.53</v>
      </c>
      <c r="I42" s="161">
        <f t="shared" si="42"/>
        <v>773.47</v>
      </c>
      <c r="J42" s="828">
        <f t="shared" si="43"/>
        <v>3.572114719</v>
      </c>
      <c r="K42" s="161"/>
      <c r="L42" s="828"/>
      <c r="M42" s="832"/>
      <c r="N42" s="826"/>
      <c r="O42" s="828"/>
      <c r="P42" s="161"/>
      <c r="Q42" s="828"/>
      <c r="R42" s="832"/>
      <c r="S42" s="826"/>
      <c r="T42" s="828"/>
      <c r="U42" s="161"/>
      <c r="V42" s="828"/>
      <c r="W42" s="832"/>
      <c r="X42" s="826"/>
      <c r="Y42" s="828"/>
      <c r="Z42" s="826"/>
      <c r="AA42" s="826"/>
    </row>
    <row r="43" ht="25.5" customHeight="1" collapsed="1">
      <c r="A43" s="614"/>
      <c r="B43" s="830" t="str">
        <f>"ИНДИВИДУАЛЬНЫЙ ТОРТ "&amp;COUNTA(B44:B73)&amp;" шт"</f>
        <v>ИНДИВИДУАЛЬНЫЙ ТОРТ 30 шт</v>
      </c>
      <c r="C43" s="614"/>
      <c r="D43" s="695"/>
      <c r="E43" s="616"/>
      <c r="F43" s="695"/>
      <c r="G43" s="647">
        <f>AVERAGE(G44:G56)</f>
        <v>0.2118457923</v>
      </c>
      <c r="H43" s="618"/>
      <c r="I43" s="614"/>
      <c r="J43" s="614"/>
      <c r="K43" s="695"/>
      <c r="L43" s="695"/>
      <c r="M43" s="695"/>
      <c r="N43" s="695"/>
      <c r="O43" s="695"/>
      <c r="P43" s="695"/>
      <c r="Q43" s="695"/>
      <c r="R43" s="695"/>
      <c r="S43" s="695"/>
      <c r="T43" s="695"/>
      <c r="U43" s="695"/>
      <c r="V43" s="695"/>
      <c r="W43" s="695"/>
      <c r="X43" s="695"/>
      <c r="Y43" s="695"/>
      <c r="Z43" s="86"/>
      <c r="AA43" s="86"/>
    </row>
    <row r="44" ht="54.75" hidden="1" customHeight="1" outlineLevel="1">
      <c r="A44" s="826">
        <v>39.0</v>
      </c>
      <c r="B44" s="239" t="s">
        <v>1486</v>
      </c>
      <c r="C44" s="87" t="s">
        <v>1487</v>
      </c>
      <c r="D44" s="93">
        <v>2500.0</v>
      </c>
      <c r="E44" s="258">
        <v>1000.0</v>
      </c>
      <c r="F44" s="93"/>
      <c r="G44" s="158">
        <f t="shared" ref="G44:G46" si="44">H44/D44</f>
        <v>0.28</v>
      </c>
      <c r="H44" s="162">
        <v>700.0</v>
      </c>
      <c r="I44" s="93">
        <f t="shared" ref="I44:I46" si="45">D44-H44</f>
        <v>1800</v>
      </c>
      <c r="J44" s="158">
        <f t="shared" ref="J44:J46" si="46">D44/H44-1</f>
        <v>2.571428571</v>
      </c>
      <c r="K44" s="93"/>
      <c r="L44" s="158"/>
      <c r="M44" s="162"/>
      <c r="N44" s="87"/>
      <c r="O44" s="158"/>
      <c r="P44" s="93"/>
      <c r="Q44" s="158"/>
      <c r="R44" s="162"/>
      <c r="S44" s="87"/>
      <c r="T44" s="158"/>
      <c r="U44" s="93"/>
      <c r="V44" s="158"/>
      <c r="W44" s="162"/>
      <c r="X44" s="87"/>
      <c r="Y44" s="158"/>
      <c r="Z44" s="87"/>
      <c r="AA44" s="87"/>
    </row>
    <row r="45" ht="52.5" hidden="1" customHeight="1" outlineLevel="1">
      <c r="A45" s="826">
        <v>40.0</v>
      </c>
      <c r="B45" s="239" t="s">
        <v>1488</v>
      </c>
      <c r="C45" s="87" t="s">
        <v>1487</v>
      </c>
      <c r="D45" s="93">
        <v>2950.0</v>
      </c>
      <c r="E45" s="258">
        <v>1000.0</v>
      </c>
      <c r="F45" s="93"/>
      <c r="G45" s="158">
        <f t="shared" si="44"/>
        <v>0.2881355932</v>
      </c>
      <c r="H45" s="162">
        <v>850.0</v>
      </c>
      <c r="I45" s="93">
        <f t="shared" si="45"/>
        <v>2100</v>
      </c>
      <c r="J45" s="158">
        <f t="shared" si="46"/>
        <v>2.470588235</v>
      </c>
      <c r="K45" s="93"/>
      <c r="L45" s="158"/>
      <c r="M45" s="162"/>
      <c r="N45" s="87"/>
      <c r="O45" s="158"/>
      <c r="P45" s="93"/>
      <c r="Q45" s="158"/>
      <c r="R45" s="162"/>
      <c r="S45" s="87"/>
      <c r="T45" s="158"/>
      <c r="U45" s="93"/>
      <c r="V45" s="158"/>
      <c r="W45" s="162"/>
      <c r="X45" s="87"/>
      <c r="Y45" s="158"/>
      <c r="Z45" s="87"/>
      <c r="AA45" s="87"/>
    </row>
    <row r="46" ht="52.5" hidden="1" customHeight="1" outlineLevel="1">
      <c r="A46" s="826">
        <v>41.0</v>
      </c>
      <c r="B46" s="239" t="s">
        <v>1489</v>
      </c>
      <c r="C46" s="87" t="s">
        <v>1487</v>
      </c>
      <c r="D46" s="93">
        <v>3950.0</v>
      </c>
      <c r="E46" s="258">
        <v>1000.0</v>
      </c>
      <c r="F46" s="93"/>
      <c r="G46" s="158">
        <f t="shared" si="44"/>
        <v>0.3037974684</v>
      </c>
      <c r="H46" s="162">
        <v>1200.0</v>
      </c>
      <c r="I46" s="93">
        <f t="shared" si="45"/>
        <v>2750</v>
      </c>
      <c r="J46" s="158">
        <f t="shared" si="46"/>
        <v>2.291666667</v>
      </c>
      <c r="K46" s="93"/>
      <c r="L46" s="158"/>
      <c r="M46" s="162"/>
      <c r="N46" s="87"/>
      <c r="O46" s="158"/>
      <c r="P46" s="93"/>
      <c r="Q46" s="158"/>
      <c r="R46" s="162"/>
      <c r="S46" s="87"/>
      <c r="T46" s="158"/>
      <c r="U46" s="93"/>
      <c r="V46" s="158"/>
      <c r="W46" s="162"/>
      <c r="X46" s="87"/>
      <c r="Y46" s="158"/>
      <c r="Z46" s="87"/>
      <c r="AA46" s="87"/>
    </row>
    <row r="47" ht="25.5" customHeight="1" collapsed="1">
      <c r="A47" s="614"/>
      <c r="B47" s="830" t="str">
        <f>"ДОПЫ "&amp;COUNTA(B48:B76)&amp;" шт"</f>
        <v>ДОПЫ 29 шт</v>
      </c>
      <c r="C47" s="614"/>
      <c r="D47" s="695"/>
      <c r="E47" s="616"/>
      <c r="F47" s="695"/>
      <c r="G47" s="647">
        <f>AVERAGE(G48:G60)</f>
        <v>0.1745384282</v>
      </c>
      <c r="H47" s="618"/>
      <c r="I47" s="614"/>
      <c r="J47" s="614"/>
      <c r="K47" s="695"/>
      <c r="L47" s="695"/>
      <c r="M47" s="695"/>
      <c r="N47" s="695"/>
      <c r="O47" s="695"/>
      <c r="P47" s="695"/>
      <c r="Q47" s="695"/>
      <c r="R47" s="695"/>
      <c r="S47" s="695"/>
      <c r="T47" s="695"/>
      <c r="U47" s="695"/>
      <c r="V47" s="695"/>
      <c r="W47" s="695"/>
      <c r="X47" s="695"/>
      <c r="Y47" s="695"/>
      <c r="Z47" s="86"/>
      <c r="AA47" s="86"/>
    </row>
    <row r="48" ht="25.5" hidden="1" customHeight="1" outlineLevel="1">
      <c r="A48" s="826">
        <v>42.0</v>
      </c>
      <c r="B48" s="239" t="s">
        <v>1490</v>
      </c>
      <c r="C48" s="181" t="s">
        <v>1491</v>
      </c>
      <c r="D48" s="93">
        <v>1500.0</v>
      </c>
      <c r="E48" s="93" t="s">
        <v>1492</v>
      </c>
      <c r="F48" s="93"/>
      <c r="G48" s="158">
        <f t="shared" ref="G48:G73" si="47">H48/D48</f>
        <v>0.1898</v>
      </c>
      <c r="H48" s="162">
        <f>0.15*1898</f>
        <v>284.7</v>
      </c>
      <c r="I48" s="93">
        <f t="shared" ref="I48:I73" si="48">D48-H48</f>
        <v>1215.3</v>
      </c>
      <c r="J48" s="158">
        <f t="shared" ref="J48:J73" si="49">D48/H48-1</f>
        <v>4.268703899</v>
      </c>
      <c r="K48" s="93"/>
      <c r="L48" s="158"/>
      <c r="M48" s="162"/>
      <c r="N48" s="87"/>
      <c r="O48" s="158"/>
      <c r="P48" s="93"/>
      <c r="Q48" s="158"/>
      <c r="R48" s="162"/>
      <c r="S48" s="87"/>
      <c r="T48" s="158"/>
      <c r="U48" s="93"/>
      <c r="V48" s="158"/>
      <c r="W48" s="162"/>
      <c r="X48" s="87"/>
      <c r="Y48" s="158"/>
      <c r="Z48" s="87"/>
      <c r="AA48" s="87"/>
    </row>
    <row r="49" ht="25.5" hidden="1" customHeight="1" outlineLevel="1">
      <c r="A49" s="826">
        <v>43.0</v>
      </c>
      <c r="B49" s="239" t="s">
        <v>1493</v>
      </c>
      <c r="C49" s="181" t="s">
        <v>1494</v>
      </c>
      <c r="D49" s="93">
        <v>100.0</v>
      </c>
      <c r="E49" s="93" t="s">
        <v>1495</v>
      </c>
      <c r="F49" s="93"/>
      <c r="G49" s="158">
        <f t="shared" si="47"/>
        <v>0.2412</v>
      </c>
      <c r="H49" s="162">
        <v>24.12</v>
      </c>
      <c r="I49" s="93">
        <f t="shared" si="48"/>
        <v>75.88</v>
      </c>
      <c r="J49" s="158">
        <f t="shared" si="49"/>
        <v>3.145936982</v>
      </c>
      <c r="K49" s="93"/>
      <c r="L49" s="158"/>
      <c r="M49" s="162"/>
      <c r="N49" s="87"/>
      <c r="O49" s="158"/>
      <c r="P49" s="93"/>
      <c r="Q49" s="158"/>
      <c r="R49" s="162"/>
      <c r="S49" s="87"/>
      <c r="T49" s="158"/>
      <c r="U49" s="93"/>
      <c r="V49" s="158"/>
      <c r="W49" s="162"/>
      <c r="X49" s="87"/>
      <c r="Y49" s="158"/>
      <c r="Z49" s="87"/>
      <c r="AA49" s="87"/>
    </row>
    <row r="50" ht="25.5" hidden="1" customHeight="1" outlineLevel="1">
      <c r="A50" s="826">
        <v>44.0</v>
      </c>
      <c r="B50" s="239" t="s">
        <v>1496</v>
      </c>
      <c r="C50" s="181" t="s">
        <v>1497</v>
      </c>
      <c r="D50" s="93">
        <v>30.0</v>
      </c>
      <c r="E50" s="93" t="s">
        <v>1498</v>
      </c>
      <c r="F50" s="93"/>
      <c r="G50" s="158">
        <f t="shared" si="47"/>
        <v>0.14</v>
      </c>
      <c r="H50" s="162">
        <v>4.2</v>
      </c>
      <c r="I50" s="93">
        <f t="shared" si="48"/>
        <v>25.8</v>
      </c>
      <c r="J50" s="158">
        <f t="shared" si="49"/>
        <v>6.142857143</v>
      </c>
      <c r="K50" s="93"/>
      <c r="L50" s="158"/>
      <c r="M50" s="162"/>
      <c r="N50" s="87"/>
      <c r="O50" s="158"/>
      <c r="P50" s="93"/>
      <c r="Q50" s="158"/>
      <c r="R50" s="162"/>
      <c r="S50" s="87"/>
      <c r="T50" s="158"/>
      <c r="U50" s="93"/>
      <c r="V50" s="158"/>
      <c r="W50" s="162"/>
      <c r="X50" s="87"/>
      <c r="Y50" s="158"/>
      <c r="Z50" s="87"/>
      <c r="AA50" s="87"/>
    </row>
    <row r="51" ht="25.5" hidden="1" customHeight="1" outlineLevel="1">
      <c r="A51" s="826">
        <v>45.0</v>
      </c>
      <c r="B51" s="239" t="s">
        <v>1499</v>
      </c>
      <c r="C51" s="181" t="s">
        <v>1500</v>
      </c>
      <c r="D51" s="93">
        <v>1500.0</v>
      </c>
      <c r="E51" s="93" t="s">
        <v>1501</v>
      </c>
      <c r="F51" s="93"/>
      <c r="G51" s="158">
        <f t="shared" si="47"/>
        <v>0.1146666667</v>
      </c>
      <c r="H51" s="162">
        <v>172.0</v>
      </c>
      <c r="I51" s="93">
        <f t="shared" si="48"/>
        <v>1328</v>
      </c>
      <c r="J51" s="158">
        <f t="shared" si="49"/>
        <v>7.720930233</v>
      </c>
      <c r="K51" s="93"/>
      <c r="L51" s="158"/>
      <c r="M51" s="162"/>
      <c r="N51" s="87"/>
      <c r="O51" s="158"/>
      <c r="P51" s="93"/>
      <c r="Q51" s="158"/>
      <c r="R51" s="162"/>
      <c r="S51" s="87"/>
      <c r="T51" s="158"/>
      <c r="U51" s="93"/>
      <c r="V51" s="158"/>
      <c r="W51" s="162"/>
      <c r="X51" s="87"/>
      <c r="Y51" s="158"/>
      <c r="Z51" s="87"/>
      <c r="AA51" s="87"/>
    </row>
    <row r="52" ht="25.5" hidden="1" customHeight="1" outlineLevel="1">
      <c r="A52" s="826">
        <v>46.0</v>
      </c>
      <c r="B52" s="239" t="s">
        <v>1502</v>
      </c>
      <c r="C52" s="181" t="s">
        <v>1503</v>
      </c>
      <c r="D52" s="93">
        <v>700.0</v>
      </c>
      <c r="E52" s="93" t="s">
        <v>1504</v>
      </c>
      <c r="F52" s="93"/>
      <c r="G52" s="158">
        <f t="shared" si="47"/>
        <v>0.1228571429</v>
      </c>
      <c r="H52" s="162">
        <v>86.0</v>
      </c>
      <c r="I52" s="93">
        <f t="shared" si="48"/>
        <v>614</v>
      </c>
      <c r="J52" s="158">
        <f t="shared" si="49"/>
        <v>7.139534884</v>
      </c>
      <c r="K52" s="93"/>
      <c r="L52" s="158"/>
      <c r="M52" s="162"/>
      <c r="N52" s="87"/>
      <c r="O52" s="158"/>
      <c r="P52" s="93"/>
      <c r="Q52" s="158"/>
      <c r="R52" s="162"/>
      <c r="S52" s="87"/>
      <c r="T52" s="158"/>
      <c r="U52" s="93"/>
      <c r="V52" s="158"/>
      <c r="W52" s="162"/>
      <c r="X52" s="87"/>
      <c r="Y52" s="158"/>
      <c r="Z52" s="87"/>
      <c r="AA52" s="87"/>
    </row>
    <row r="53" ht="25.5" hidden="1" customHeight="1" outlineLevel="1">
      <c r="A53" s="826">
        <v>47.0</v>
      </c>
      <c r="B53" s="239" t="s">
        <v>1505</v>
      </c>
      <c r="C53" s="181" t="s">
        <v>1506</v>
      </c>
      <c r="D53" s="93">
        <v>250.0</v>
      </c>
      <c r="E53" s="93" t="s">
        <v>1507</v>
      </c>
      <c r="F53" s="93"/>
      <c r="G53" s="158">
        <f t="shared" si="47"/>
        <v>0.2584</v>
      </c>
      <c r="H53" s="162">
        <v>64.6</v>
      </c>
      <c r="I53" s="93">
        <f t="shared" si="48"/>
        <v>185.4</v>
      </c>
      <c r="J53" s="158">
        <f t="shared" si="49"/>
        <v>2.86996904</v>
      </c>
      <c r="K53" s="93"/>
      <c r="L53" s="158"/>
      <c r="M53" s="162"/>
      <c r="N53" s="87"/>
      <c r="O53" s="158"/>
      <c r="P53" s="93"/>
      <c r="Q53" s="158"/>
      <c r="R53" s="162"/>
      <c r="S53" s="87"/>
      <c r="T53" s="158"/>
      <c r="U53" s="93"/>
      <c r="V53" s="158"/>
      <c r="W53" s="162"/>
      <c r="X53" s="87"/>
      <c r="Y53" s="158"/>
      <c r="Z53" s="87"/>
      <c r="AA53" s="87"/>
    </row>
    <row r="54" ht="25.5" hidden="1" customHeight="1" outlineLevel="1">
      <c r="A54" s="826">
        <v>48.0</v>
      </c>
      <c r="B54" s="239" t="s">
        <v>1508</v>
      </c>
      <c r="C54" s="181" t="s">
        <v>1509</v>
      </c>
      <c r="D54" s="93">
        <v>50.0</v>
      </c>
      <c r="E54" s="93" t="s">
        <v>1510</v>
      </c>
      <c r="F54" s="93"/>
      <c r="G54" s="158">
        <f t="shared" si="47"/>
        <v>0.0418</v>
      </c>
      <c r="H54" s="162">
        <v>2.09</v>
      </c>
      <c r="I54" s="93">
        <f t="shared" si="48"/>
        <v>47.91</v>
      </c>
      <c r="J54" s="158">
        <f t="shared" si="49"/>
        <v>22.92344498</v>
      </c>
      <c r="K54" s="93"/>
      <c r="L54" s="158"/>
      <c r="M54" s="162"/>
      <c r="N54" s="87"/>
      <c r="O54" s="158"/>
      <c r="P54" s="93"/>
      <c r="Q54" s="158"/>
      <c r="R54" s="162"/>
      <c r="S54" s="87"/>
      <c r="T54" s="158"/>
      <c r="U54" s="93"/>
      <c r="V54" s="158"/>
      <c r="W54" s="162"/>
      <c r="X54" s="87"/>
      <c r="Y54" s="158"/>
      <c r="Z54" s="87"/>
      <c r="AA54" s="87"/>
    </row>
    <row r="55" ht="25.5" hidden="1" customHeight="1" outlineLevel="1">
      <c r="A55" s="826">
        <v>49.0</v>
      </c>
      <c r="B55" s="239" t="s">
        <v>1511</v>
      </c>
      <c r="C55" s="181" t="s">
        <v>1512</v>
      </c>
      <c r="D55" s="93">
        <v>100.0</v>
      </c>
      <c r="E55" s="93" t="s">
        <v>1513</v>
      </c>
      <c r="F55" s="93"/>
      <c r="G55" s="158">
        <f t="shared" si="47"/>
        <v>0.364</v>
      </c>
      <c r="H55" s="162">
        <v>36.4</v>
      </c>
      <c r="I55" s="93">
        <f t="shared" si="48"/>
        <v>63.6</v>
      </c>
      <c r="J55" s="158">
        <f t="shared" si="49"/>
        <v>1.747252747</v>
      </c>
      <c r="K55" s="93"/>
      <c r="L55" s="158"/>
      <c r="M55" s="162"/>
      <c r="N55" s="87"/>
      <c r="O55" s="158"/>
      <c r="P55" s="93"/>
      <c r="Q55" s="158"/>
      <c r="R55" s="162"/>
      <c r="S55" s="87"/>
      <c r="T55" s="158"/>
      <c r="U55" s="93"/>
      <c r="V55" s="158"/>
      <c r="W55" s="162"/>
      <c r="X55" s="87"/>
      <c r="Y55" s="158"/>
      <c r="Z55" s="87"/>
      <c r="AA55" s="87"/>
    </row>
    <row r="56" ht="25.5" hidden="1" customHeight="1" outlineLevel="1">
      <c r="A56" s="826">
        <v>50.0</v>
      </c>
      <c r="B56" s="239" t="s">
        <v>1514</v>
      </c>
      <c r="C56" s="181" t="s">
        <v>1515</v>
      </c>
      <c r="D56" s="93">
        <v>200.0</v>
      </c>
      <c r="E56" s="93" t="s">
        <v>1516</v>
      </c>
      <c r="F56" s="93"/>
      <c r="G56" s="158">
        <f t="shared" si="47"/>
        <v>0.2348</v>
      </c>
      <c r="H56" s="162">
        <v>46.96</v>
      </c>
      <c r="I56" s="93">
        <f t="shared" si="48"/>
        <v>153.04</v>
      </c>
      <c r="J56" s="158">
        <f t="shared" si="49"/>
        <v>3.258943782</v>
      </c>
      <c r="K56" s="93"/>
      <c r="L56" s="158"/>
      <c r="M56" s="162"/>
      <c r="N56" s="87"/>
      <c r="O56" s="158"/>
      <c r="P56" s="93"/>
      <c r="Q56" s="158"/>
      <c r="R56" s="162"/>
      <c r="S56" s="87"/>
      <c r="T56" s="158"/>
      <c r="U56" s="93"/>
      <c r="V56" s="158"/>
      <c r="W56" s="162"/>
      <c r="X56" s="87"/>
      <c r="Y56" s="158"/>
      <c r="Z56" s="87"/>
      <c r="AA56" s="87"/>
    </row>
    <row r="57" ht="25.5" hidden="1" customHeight="1" outlineLevel="1">
      <c r="A57" s="826">
        <v>51.0</v>
      </c>
      <c r="B57" s="239" t="s">
        <v>1517</v>
      </c>
      <c r="C57" s="239" t="s">
        <v>1518</v>
      </c>
      <c r="D57" s="93">
        <v>100.0</v>
      </c>
      <c r="E57" s="93" t="s">
        <v>1519</v>
      </c>
      <c r="F57" s="161"/>
      <c r="G57" s="828">
        <f t="shared" si="47"/>
        <v>0.0189</v>
      </c>
      <c r="H57" s="829">
        <v>1.89</v>
      </c>
      <c r="I57" s="161">
        <f t="shared" si="48"/>
        <v>98.11</v>
      </c>
      <c r="J57" s="828">
        <f t="shared" si="49"/>
        <v>51.91005291</v>
      </c>
      <c r="K57" s="161"/>
      <c r="L57" s="828"/>
      <c r="M57" s="829"/>
      <c r="N57" s="826"/>
      <c r="O57" s="828"/>
      <c r="P57" s="161"/>
      <c r="Q57" s="828"/>
      <c r="R57" s="829"/>
      <c r="S57" s="826"/>
      <c r="T57" s="828"/>
      <c r="U57" s="161"/>
      <c r="V57" s="828"/>
      <c r="W57" s="829"/>
      <c r="X57" s="826"/>
      <c r="Y57" s="828"/>
      <c r="Z57" s="826"/>
      <c r="AA57" s="826"/>
    </row>
    <row r="58" ht="25.5" hidden="1" customHeight="1" outlineLevel="1">
      <c r="A58" s="826">
        <v>52.0</v>
      </c>
      <c r="B58" s="239" t="s">
        <v>1520</v>
      </c>
      <c r="C58" s="239" t="s">
        <v>1521</v>
      </c>
      <c r="D58" s="93">
        <v>110.0</v>
      </c>
      <c r="E58" s="93" t="s">
        <v>1522</v>
      </c>
      <c r="F58" s="93"/>
      <c r="G58" s="158">
        <f t="shared" si="47"/>
        <v>0.07690909091</v>
      </c>
      <c r="H58" s="162">
        <v>8.46</v>
      </c>
      <c r="I58" s="93">
        <f t="shared" si="48"/>
        <v>101.54</v>
      </c>
      <c r="J58" s="158">
        <f t="shared" si="49"/>
        <v>12.00236407</v>
      </c>
      <c r="K58" s="93"/>
      <c r="L58" s="158"/>
      <c r="M58" s="162"/>
      <c r="N58" s="87"/>
      <c r="O58" s="158"/>
      <c r="P58" s="93"/>
      <c r="Q58" s="158"/>
      <c r="R58" s="162"/>
      <c r="S58" s="87"/>
      <c r="T58" s="158"/>
      <c r="U58" s="93"/>
      <c r="V58" s="158"/>
      <c r="W58" s="162"/>
      <c r="X58" s="87"/>
      <c r="Y58" s="158"/>
      <c r="Z58" s="87"/>
      <c r="AA58" s="87"/>
    </row>
    <row r="59" ht="25.5" hidden="1" customHeight="1" outlineLevel="1">
      <c r="A59" s="826">
        <v>53.0</v>
      </c>
      <c r="B59" s="239" t="s">
        <v>1523</v>
      </c>
      <c r="C59" s="239" t="s">
        <v>1524</v>
      </c>
      <c r="D59" s="93">
        <v>40.0</v>
      </c>
      <c r="E59" s="93" t="s">
        <v>1519</v>
      </c>
      <c r="F59" s="93"/>
      <c r="G59" s="158">
        <f t="shared" si="47"/>
        <v>0.104</v>
      </c>
      <c r="H59" s="162">
        <v>4.16</v>
      </c>
      <c r="I59" s="93">
        <f t="shared" si="48"/>
        <v>35.84</v>
      </c>
      <c r="J59" s="158">
        <f t="shared" si="49"/>
        <v>8.615384615</v>
      </c>
      <c r="K59" s="93"/>
      <c r="L59" s="158"/>
      <c r="M59" s="162"/>
      <c r="N59" s="87"/>
      <c r="O59" s="158"/>
      <c r="P59" s="93"/>
      <c r="Q59" s="158"/>
      <c r="R59" s="162"/>
      <c r="S59" s="87"/>
      <c r="T59" s="158"/>
      <c r="U59" s="93"/>
      <c r="V59" s="158"/>
      <c r="W59" s="162"/>
      <c r="X59" s="87"/>
      <c r="Y59" s="158"/>
      <c r="Z59" s="87"/>
      <c r="AA59" s="87"/>
    </row>
    <row r="60" ht="25.5" hidden="1" customHeight="1" outlineLevel="1">
      <c r="A60" s="826">
        <v>54.0</v>
      </c>
      <c r="B60" s="239" t="s">
        <v>1525</v>
      </c>
      <c r="C60" s="239" t="s">
        <v>1526</v>
      </c>
      <c r="D60" s="93">
        <v>30.0</v>
      </c>
      <c r="E60" s="93" t="s">
        <v>1513</v>
      </c>
      <c r="F60" s="93"/>
      <c r="G60" s="158">
        <f t="shared" si="47"/>
        <v>0.3616666667</v>
      </c>
      <c r="H60" s="162">
        <v>10.85</v>
      </c>
      <c r="I60" s="93">
        <f t="shared" si="48"/>
        <v>19.15</v>
      </c>
      <c r="J60" s="158">
        <f t="shared" si="49"/>
        <v>1.764976959</v>
      </c>
      <c r="K60" s="93"/>
      <c r="L60" s="158"/>
      <c r="M60" s="162"/>
      <c r="N60" s="87"/>
      <c r="O60" s="158"/>
      <c r="P60" s="93"/>
      <c r="Q60" s="158"/>
      <c r="R60" s="162"/>
      <c r="S60" s="87"/>
      <c r="T60" s="158"/>
      <c r="U60" s="93"/>
      <c r="V60" s="158"/>
      <c r="W60" s="162"/>
      <c r="X60" s="87"/>
      <c r="Y60" s="158"/>
      <c r="Z60" s="87"/>
      <c r="AA60" s="87"/>
    </row>
    <row r="61" ht="25.5" hidden="1" customHeight="1" outlineLevel="1">
      <c r="A61" s="826">
        <v>55.0</v>
      </c>
      <c r="B61" s="239" t="s">
        <v>1527</v>
      </c>
      <c r="C61" s="239" t="s">
        <v>1528</v>
      </c>
      <c r="D61" s="93">
        <v>150.0</v>
      </c>
      <c r="E61" s="93" t="s">
        <v>1513</v>
      </c>
      <c r="F61" s="93"/>
      <c r="G61" s="158">
        <f t="shared" si="47"/>
        <v>0.2758</v>
      </c>
      <c r="H61" s="162">
        <v>41.37</v>
      </c>
      <c r="I61" s="93">
        <f t="shared" si="48"/>
        <v>108.63</v>
      </c>
      <c r="J61" s="158">
        <f t="shared" si="49"/>
        <v>2.625815809</v>
      </c>
      <c r="K61" s="93"/>
      <c r="L61" s="158"/>
      <c r="M61" s="162"/>
      <c r="N61" s="87"/>
      <c r="O61" s="158"/>
      <c r="P61" s="93"/>
      <c r="Q61" s="158"/>
      <c r="R61" s="162"/>
      <c r="S61" s="87"/>
      <c r="T61" s="158"/>
      <c r="U61" s="93"/>
      <c r="V61" s="158"/>
      <c r="W61" s="162"/>
      <c r="X61" s="87"/>
      <c r="Y61" s="158"/>
      <c r="Z61" s="87"/>
      <c r="AA61" s="87"/>
    </row>
    <row r="62" ht="25.5" hidden="1" customHeight="1" outlineLevel="1">
      <c r="A62" s="826">
        <v>56.0</v>
      </c>
      <c r="B62" s="239" t="s">
        <v>1529</v>
      </c>
      <c r="C62" s="239" t="s">
        <v>1530</v>
      </c>
      <c r="D62" s="93">
        <v>200.0</v>
      </c>
      <c r="E62" s="93" t="s">
        <v>1531</v>
      </c>
      <c r="F62" s="93"/>
      <c r="G62" s="158">
        <f t="shared" si="47"/>
        <v>0.01385</v>
      </c>
      <c r="H62" s="162">
        <v>2.77</v>
      </c>
      <c r="I62" s="93">
        <f t="shared" si="48"/>
        <v>197.23</v>
      </c>
      <c r="J62" s="158">
        <f t="shared" si="49"/>
        <v>71.20216606</v>
      </c>
      <c r="K62" s="93"/>
      <c r="L62" s="158"/>
      <c r="M62" s="162"/>
      <c r="N62" s="87"/>
      <c r="O62" s="158"/>
      <c r="P62" s="93"/>
      <c r="Q62" s="158"/>
      <c r="R62" s="162"/>
      <c r="S62" s="87"/>
      <c r="T62" s="158"/>
      <c r="U62" s="93"/>
      <c r="V62" s="158"/>
      <c r="W62" s="162"/>
      <c r="X62" s="87"/>
      <c r="Y62" s="158"/>
      <c r="Z62" s="87"/>
      <c r="AA62" s="87"/>
    </row>
    <row r="63" ht="25.5" hidden="1" customHeight="1" outlineLevel="1">
      <c r="A63" s="826">
        <v>57.0</v>
      </c>
      <c r="B63" s="239" t="s">
        <v>1532</v>
      </c>
      <c r="C63" s="239" t="s">
        <v>1533</v>
      </c>
      <c r="D63" s="93">
        <v>300.0</v>
      </c>
      <c r="E63" s="93" t="s">
        <v>1513</v>
      </c>
      <c r="F63" s="93"/>
      <c r="G63" s="158">
        <f t="shared" si="47"/>
        <v>0.1825666667</v>
      </c>
      <c r="H63" s="162">
        <v>54.77</v>
      </c>
      <c r="I63" s="93">
        <f t="shared" si="48"/>
        <v>245.23</v>
      </c>
      <c r="J63" s="158">
        <f t="shared" si="49"/>
        <v>4.477451159</v>
      </c>
      <c r="K63" s="93"/>
      <c r="L63" s="158"/>
      <c r="M63" s="162"/>
      <c r="N63" s="87"/>
      <c r="O63" s="158"/>
      <c r="P63" s="93"/>
      <c r="Q63" s="158"/>
      <c r="R63" s="162"/>
      <c r="S63" s="87"/>
      <c r="T63" s="158"/>
      <c r="U63" s="93"/>
      <c r="V63" s="158"/>
      <c r="W63" s="162"/>
      <c r="X63" s="87"/>
      <c r="Y63" s="158"/>
      <c r="Z63" s="87"/>
      <c r="AA63" s="87"/>
    </row>
    <row r="64" ht="25.5" hidden="1" customHeight="1" outlineLevel="1">
      <c r="A64" s="826">
        <v>58.0</v>
      </c>
      <c r="B64" s="239" t="s">
        <v>1534</v>
      </c>
      <c r="C64" s="239" t="s">
        <v>1535</v>
      </c>
      <c r="D64" s="93">
        <v>250.0</v>
      </c>
      <c r="E64" s="93" t="s">
        <v>1536</v>
      </c>
      <c r="F64" s="93"/>
      <c r="G64" s="158">
        <f t="shared" si="47"/>
        <v>0.0538</v>
      </c>
      <c r="H64" s="162">
        <v>13.45</v>
      </c>
      <c r="I64" s="93">
        <f t="shared" si="48"/>
        <v>236.55</v>
      </c>
      <c r="J64" s="158">
        <f t="shared" si="49"/>
        <v>17.58736059</v>
      </c>
      <c r="K64" s="93"/>
      <c r="L64" s="158"/>
      <c r="M64" s="162"/>
      <c r="N64" s="87"/>
      <c r="O64" s="158"/>
      <c r="P64" s="93"/>
      <c r="Q64" s="158"/>
      <c r="R64" s="162"/>
      <c r="S64" s="87"/>
      <c r="T64" s="158"/>
      <c r="U64" s="93"/>
      <c r="V64" s="158"/>
      <c r="W64" s="162"/>
      <c r="X64" s="87"/>
      <c r="Y64" s="158"/>
      <c r="Z64" s="87"/>
      <c r="AA64" s="87"/>
    </row>
    <row r="65" ht="25.5" hidden="1" customHeight="1" outlineLevel="1">
      <c r="A65" s="826">
        <v>59.0</v>
      </c>
      <c r="B65" s="239" t="s">
        <v>1537</v>
      </c>
      <c r="C65" s="239" t="s">
        <v>1538</v>
      </c>
      <c r="D65" s="93">
        <v>99.0</v>
      </c>
      <c r="E65" s="93" t="s">
        <v>1539</v>
      </c>
      <c r="F65" s="93"/>
      <c r="G65" s="158">
        <f t="shared" si="47"/>
        <v>0.18</v>
      </c>
      <c r="H65" s="162">
        <v>17.82</v>
      </c>
      <c r="I65" s="93">
        <f t="shared" si="48"/>
        <v>81.18</v>
      </c>
      <c r="J65" s="158">
        <f t="shared" si="49"/>
        <v>4.555555556</v>
      </c>
      <c r="K65" s="93"/>
      <c r="L65" s="158"/>
      <c r="M65" s="162"/>
      <c r="N65" s="87"/>
      <c r="O65" s="158"/>
      <c r="P65" s="93"/>
      <c r="Q65" s="158"/>
      <c r="R65" s="162"/>
      <c r="S65" s="87"/>
      <c r="T65" s="158"/>
      <c r="U65" s="93"/>
      <c r="V65" s="158"/>
      <c r="W65" s="162"/>
      <c r="X65" s="87"/>
      <c r="Y65" s="158"/>
      <c r="Z65" s="87"/>
      <c r="AA65" s="87"/>
    </row>
    <row r="66" ht="25.5" hidden="1" customHeight="1" outlineLevel="1">
      <c r="A66" s="826">
        <v>60.0</v>
      </c>
      <c r="B66" s="239" t="s">
        <v>1540</v>
      </c>
      <c r="C66" s="239" t="s">
        <v>1541</v>
      </c>
      <c r="D66" s="93">
        <v>89.0</v>
      </c>
      <c r="E66" s="93" t="s">
        <v>1539</v>
      </c>
      <c r="F66" s="93"/>
      <c r="G66" s="158">
        <f t="shared" si="47"/>
        <v>0.06292134831</v>
      </c>
      <c r="H66" s="162">
        <v>5.6</v>
      </c>
      <c r="I66" s="93">
        <f t="shared" si="48"/>
        <v>83.4</v>
      </c>
      <c r="J66" s="158">
        <f t="shared" si="49"/>
        <v>14.89285714</v>
      </c>
      <c r="K66" s="93"/>
      <c r="L66" s="158"/>
      <c r="M66" s="162"/>
      <c r="N66" s="87"/>
      <c r="O66" s="158"/>
      <c r="P66" s="93"/>
      <c r="Q66" s="158"/>
      <c r="R66" s="162"/>
      <c r="S66" s="87"/>
      <c r="T66" s="158"/>
      <c r="U66" s="93"/>
      <c r="V66" s="158"/>
      <c r="W66" s="162"/>
      <c r="X66" s="87"/>
      <c r="Y66" s="158"/>
      <c r="Z66" s="87"/>
      <c r="AA66" s="87"/>
    </row>
    <row r="67" ht="25.5" hidden="1" customHeight="1" outlineLevel="1">
      <c r="A67" s="826">
        <v>61.0</v>
      </c>
      <c r="B67" s="239" t="s">
        <v>1542</v>
      </c>
      <c r="C67" s="239" t="s">
        <v>1543</v>
      </c>
      <c r="D67" s="93">
        <v>40.0</v>
      </c>
      <c r="E67" s="93" t="s">
        <v>1544</v>
      </c>
      <c r="F67" s="93"/>
      <c r="G67" s="158">
        <f t="shared" si="47"/>
        <v>0.104</v>
      </c>
      <c r="H67" s="162">
        <v>4.16</v>
      </c>
      <c r="I67" s="93">
        <f t="shared" si="48"/>
        <v>35.84</v>
      </c>
      <c r="J67" s="158">
        <f t="shared" si="49"/>
        <v>8.615384615</v>
      </c>
      <c r="K67" s="93"/>
      <c r="L67" s="158"/>
      <c r="M67" s="162"/>
      <c r="N67" s="87"/>
      <c r="O67" s="158"/>
      <c r="P67" s="93"/>
      <c r="Q67" s="158"/>
      <c r="R67" s="162"/>
      <c r="S67" s="87"/>
      <c r="T67" s="158"/>
      <c r="U67" s="93"/>
      <c r="V67" s="158"/>
      <c r="W67" s="162"/>
      <c r="X67" s="87"/>
      <c r="Y67" s="158"/>
      <c r="Z67" s="87"/>
      <c r="AA67" s="87"/>
    </row>
    <row r="68" ht="25.5" hidden="1" customHeight="1" outlineLevel="1">
      <c r="A68" s="826">
        <v>62.0</v>
      </c>
      <c r="B68" s="239" t="s">
        <v>1545</v>
      </c>
      <c r="C68" s="239" t="s">
        <v>1546</v>
      </c>
      <c r="D68" s="93">
        <v>40.0</v>
      </c>
      <c r="E68" s="93" t="s">
        <v>1544</v>
      </c>
      <c r="F68" s="93"/>
      <c r="G68" s="158">
        <f t="shared" si="47"/>
        <v>0.104</v>
      </c>
      <c r="H68" s="162">
        <v>4.16</v>
      </c>
      <c r="I68" s="93">
        <f t="shared" si="48"/>
        <v>35.84</v>
      </c>
      <c r="J68" s="158">
        <f t="shared" si="49"/>
        <v>8.615384615</v>
      </c>
      <c r="K68" s="93"/>
      <c r="L68" s="158"/>
      <c r="M68" s="162"/>
      <c r="N68" s="87"/>
      <c r="O68" s="158"/>
      <c r="P68" s="93"/>
      <c r="Q68" s="158"/>
      <c r="R68" s="162"/>
      <c r="S68" s="87"/>
      <c r="T68" s="158"/>
      <c r="U68" s="93"/>
      <c r="V68" s="158"/>
      <c r="W68" s="162"/>
      <c r="X68" s="87"/>
      <c r="Y68" s="158"/>
      <c r="Z68" s="87"/>
      <c r="AA68" s="87"/>
    </row>
    <row r="69" ht="25.5" hidden="1" customHeight="1" outlineLevel="1">
      <c r="A69" s="826">
        <v>63.0</v>
      </c>
      <c r="B69" s="239" t="s">
        <v>1547</v>
      </c>
      <c r="C69" s="239" t="s">
        <v>1548</v>
      </c>
      <c r="D69" s="93">
        <v>400.0</v>
      </c>
      <c r="E69" s="93" t="s">
        <v>1549</v>
      </c>
      <c r="F69" s="93"/>
      <c r="G69" s="158">
        <f t="shared" si="47"/>
        <v>0.07675</v>
      </c>
      <c r="H69" s="162">
        <v>30.7</v>
      </c>
      <c r="I69" s="93">
        <f t="shared" si="48"/>
        <v>369.3</v>
      </c>
      <c r="J69" s="158">
        <f t="shared" si="49"/>
        <v>12.02931596</v>
      </c>
      <c r="K69" s="93"/>
      <c r="L69" s="158"/>
      <c r="M69" s="162"/>
      <c r="N69" s="87"/>
      <c r="O69" s="158"/>
      <c r="P69" s="93"/>
      <c r="Q69" s="158"/>
      <c r="R69" s="162"/>
      <c r="S69" s="87"/>
      <c r="T69" s="158"/>
      <c r="U69" s="93"/>
      <c r="V69" s="158"/>
      <c r="W69" s="162"/>
      <c r="X69" s="87"/>
      <c r="Y69" s="158"/>
      <c r="Z69" s="87"/>
      <c r="AA69" s="87"/>
    </row>
    <row r="70" ht="25.5" hidden="1" customHeight="1" outlineLevel="1">
      <c r="A70" s="826">
        <v>64.0</v>
      </c>
      <c r="B70" s="239" t="s">
        <v>1550</v>
      </c>
      <c r="C70" s="239" t="s">
        <v>1551</v>
      </c>
      <c r="D70" s="93">
        <v>40.0</v>
      </c>
      <c r="E70" s="93" t="s">
        <v>1552</v>
      </c>
      <c r="F70" s="93"/>
      <c r="G70" s="158">
        <f t="shared" si="47"/>
        <v>0.104</v>
      </c>
      <c r="H70" s="162">
        <v>4.16</v>
      </c>
      <c r="I70" s="93">
        <f t="shared" si="48"/>
        <v>35.84</v>
      </c>
      <c r="J70" s="158">
        <f t="shared" si="49"/>
        <v>8.615384615</v>
      </c>
      <c r="K70" s="93"/>
      <c r="L70" s="158"/>
      <c r="M70" s="162"/>
      <c r="N70" s="87"/>
      <c r="O70" s="158"/>
      <c r="P70" s="93"/>
      <c r="Q70" s="158"/>
      <c r="R70" s="162"/>
      <c r="S70" s="87"/>
      <c r="T70" s="158"/>
      <c r="U70" s="93"/>
      <c r="V70" s="158"/>
      <c r="W70" s="162"/>
      <c r="X70" s="87"/>
      <c r="Y70" s="158"/>
      <c r="Z70" s="87"/>
      <c r="AA70" s="87"/>
    </row>
    <row r="71" ht="25.5" hidden="1" customHeight="1" outlineLevel="1">
      <c r="A71" s="826">
        <v>65.0</v>
      </c>
      <c r="B71" s="239" t="s">
        <v>1553</v>
      </c>
      <c r="C71" s="239" t="s">
        <v>1554</v>
      </c>
      <c r="D71" s="93">
        <v>80.0</v>
      </c>
      <c r="E71" s="93" t="s">
        <v>1531</v>
      </c>
      <c r="F71" s="93"/>
      <c r="G71" s="158">
        <f t="shared" si="47"/>
        <v>0.167125</v>
      </c>
      <c r="H71" s="162">
        <v>13.37</v>
      </c>
      <c r="I71" s="93">
        <f t="shared" si="48"/>
        <v>66.63</v>
      </c>
      <c r="J71" s="158">
        <f t="shared" si="49"/>
        <v>4.983545251</v>
      </c>
      <c r="K71" s="93"/>
      <c r="L71" s="158"/>
      <c r="M71" s="162"/>
      <c r="N71" s="87"/>
      <c r="O71" s="158"/>
      <c r="P71" s="93"/>
      <c r="Q71" s="158"/>
      <c r="R71" s="162"/>
      <c r="S71" s="87"/>
      <c r="T71" s="158"/>
      <c r="U71" s="93"/>
      <c r="V71" s="158"/>
      <c r="W71" s="162"/>
      <c r="X71" s="87"/>
      <c r="Y71" s="158"/>
      <c r="Z71" s="87"/>
      <c r="AA71" s="87"/>
    </row>
    <row r="72" ht="25.5" hidden="1" customHeight="1" outlineLevel="1">
      <c r="A72" s="826">
        <v>66.0</v>
      </c>
      <c r="B72" s="239" t="s">
        <v>1555</v>
      </c>
      <c r="C72" s="239" t="s">
        <v>1556</v>
      </c>
      <c r="D72" s="93">
        <v>100.0</v>
      </c>
      <c r="E72" s="93" t="s">
        <v>1557</v>
      </c>
      <c r="F72" s="93"/>
      <c r="G72" s="158">
        <f t="shared" si="47"/>
        <v>0.2872</v>
      </c>
      <c r="H72" s="162">
        <v>28.72</v>
      </c>
      <c r="I72" s="93">
        <f t="shared" si="48"/>
        <v>71.28</v>
      </c>
      <c r="J72" s="158">
        <f t="shared" si="49"/>
        <v>2.48189415</v>
      </c>
      <c r="K72" s="93"/>
      <c r="L72" s="158"/>
      <c r="M72" s="162"/>
      <c r="N72" s="87"/>
      <c r="O72" s="158"/>
      <c r="P72" s="93"/>
      <c r="Q72" s="158"/>
      <c r="R72" s="162"/>
      <c r="S72" s="87"/>
      <c r="T72" s="158"/>
      <c r="U72" s="93"/>
      <c r="V72" s="158"/>
      <c r="W72" s="162"/>
      <c r="X72" s="87"/>
      <c r="Y72" s="158"/>
      <c r="Z72" s="87"/>
      <c r="AA72" s="87"/>
    </row>
    <row r="73" ht="25.5" hidden="1" customHeight="1" outlineLevel="1">
      <c r="A73" s="826">
        <v>67.0</v>
      </c>
      <c r="B73" s="239" t="s">
        <v>1558</v>
      </c>
      <c r="C73" s="239" t="s">
        <v>1559</v>
      </c>
      <c r="D73" s="93">
        <v>800.0</v>
      </c>
      <c r="E73" s="93" t="s">
        <v>1560</v>
      </c>
      <c r="F73" s="93"/>
      <c r="G73" s="158">
        <f t="shared" si="47"/>
        <v>0.3317</v>
      </c>
      <c r="H73" s="162">
        <v>265.36</v>
      </c>
      <c r="I73" s="93">
        <f t="shared" si="48"/>
        <v>534.64</v>
      </c>
      <c r="J73" s="158">
        <f t="shared" si="49"/>
        <v>2.014772385</v>
      </c>
      <c r="K73" s="93"/>
      <c r="L73" s="158"/>
      <c r="M73" s="162"/>
      <c r="N73" s="87"/>
      <c r="O73" s="158"/>
      <c r="P73" s="93"/>
      <c r="Q73" s="158"/>
      <c r="R73" s="162"/>
      <c r="S73" s="87"/>
      <c r="T73" s="158"/>
      <c r="U73" s="93"/>
      <c r="V73" s="158"/>
      <c r="W73" s="162"/>
      <c r="X73" s="87"/>
      <c r="Y73" s="158"/>
      <c r="Z73" s="87"/>
      <c r="AA73" s="87"/>
    </row>
    <row r="74" ht="25.5" customHeight="1">
      <c r="A74" s="614"/>
      <c r="B74" s="830" t="str">
        <f>"ДЕСЕРТЫ ПОД ЗАКАЗ "&amp;COUNTA(B75:B85)&amp;" шт"</f>
        <v>ДЕСЕРТЫ ПОД ЗАКАЗ 11 шт</v>
      </c>
      <c r="C74" s="614"/>
      <c r="D74" s="695"/>
      <c r="E74" s="616"/>
      <c r="F74" s="695"/>
      <c r="G74" s="647">
        <f>AVERAGE(G75:G101)</f>
        <v>0.2218310174</v>
      </c>
      <c r="H74" s="618"/>
      <c r="I74" s="614"/>
      <c r="J74" s="614"/>
      <c r="K74" s="695"/>
      <c r="L74" s="695"/>
      <c r="M74" s="695"/>
      <c r="N74" s="695"/>
      <c r="O74" s="695"/>
      <c r="P74" s="695"/>
      <c r="Q74" s="695"/>
      <c r="R74" s="695"/>
      <c r="S74" s="695"/>
      <c r="T74" s="695"/>
      <c r="U74" s="695"/>
      <c r="V74" s="695"/>
      <c r="W74" s="618"/>
      <c r="X74" s="614"/>
      <c r="Y74" s="614"/>
      <c r="Z74" s="86"/>
      <c r="AA74" s="86"/>
    </row>
    <row r="75" ht="25.5" customHeight="1" outlineLevel="1">
      <c r="A75" s="826">
        <v>68.0</v>
      </c>
      <c r="B75" s="239" t="s">
        <v>1561</v>
      </c>
      <c r="C75" s="93" t="s">
        <v>1562</v>
      </c>
      <c r="D75" s="93">
        <f t="shared" ref="D75:D76" si="50">170*5</f>
        <v>850</v>
      </c>
      <c r="E75" s="258" t="s">
        <v>1563</v>
      </c>
      <c r="F75" s="93"/>
      <c r="G75" s="158">
        <f t="shared" ref="G75:G85" si="51">H75/D75</f>
        <v>0.281</v>
      </c>
      <c r="H75" s="275">
        <v>238.85</v>
      </c>
      <c r="I75" s="93">
        <f t="shared" ref="I75:I85" si="52">D75-H75</f>
        <v>611.15</v>
      </c>
      <c r="J75" s="158">
        <f t="shared" ref="J75:J85" si="53">D75/H75-1</f>
        <v>2.558718861</v>
      </c>
      <c r="K75" s="93"/>
      <c r="L75" s="158"/>
      <c r="M75" s="275"/>
      <c r="N75" s="87"/>
      <c r="O75" s="158"/>
      <c r="P75" s="93"/>
      <c r="Q75" s="158"/>
      <c r="R75" s="275"/>
      <c r="S75" s="87"/>
      <c r="T75" s="158"/>
      <c r="U75" s="93"/>
      <c r="V75" s="158"/>
      <c r="W75" s="275"/>
      <c r="X75" s="87"/>
      <c r="Y75" s="158"/>
      <c r="Z75" s="87"/>
      <c r="AA75" s="87"/>
    </row>
    <row r="76" ht="25.5" customHeight="1" outlineLevel="1">
      <c r="A76" s="239">
        <v>69.0</v>
      </c>
      <c r="B76" s="87" t="s">
        <v>1564</v>
      </c>
      <c r="C76" s="274" t="s">
        <v>1565</v>
      </c>
      <c r="D76" s="93">
        <f t="shared" si="50"/>
        <v>850</v>
      </c>
      <c r="E76" s="258" t="s">
        <v>1563</v>
      </c>
      <c r="F76" s="243"/>
      <c r="G76" s="158">
        <f t="shared" si="51"/>
        <v>0.2811764706</v>
      </c>
      <c r="H76" s="275">
        <v>239.0</v>
      </c>
      <c r="I76" s="93">
        <f t="shared" si="52"/>
        <v>611</v>
      </c>
      <c r="J76" s="158">
        <f t="shared" si="53"/>
        <v>2.556485356</v>
      </c>
      <c r="K76" s="243"/>
      <c r="L76" s="247"/>
      <c r="M76" s="275"/>
      <c r="N76" s="239"/>
      <c r="O76" s="247"/>
      <c r="P76" s="243"/>
      <c r="Q76" s="247"/>
      <c r="R76" s="275"/>
      <c r="S76" s="239"/>
      <c r="T76" s="247"/>
      <c r="U76" s="243"/>
      <c r="V76" s="247"/>
      <c r="W76" s="275"/>
      <c r="X76" s="239"/>
      <c r="Y76" s="247"/>
      <c r="Z76" s="239"/>
      <c r="AA76" s="239"/>
    </row>
    <row r="77" ht="25.5" customHeight="1" outlineLevel="1">
      <c r="A77" s="826">
        <v>70.0</v>
      </c>
      <c r="B77" s="87" t="s">
        <v>1566</v>
      </c>
      <c r="C77" s="274" t="s">
        <v>1567</v>
      </c>
      <c r="D77" s="243">
        <f t="shared" ref="D77:D81" si="54">250*6</f>
        <v>1500</v>
      </c>
      <c r="E77" s="258" t="s">
        <v>202</v>
      </c>
      <c r="F77" s="243"/>
      <c r="G77" s="158">
        <f t="shared" si="51"/>
        <v>0.26148</v>
      </c>
      <c r="H77" s="275">
        <v>392.22</v>
      </c>
      <c r="I77" s="93">
        <f t="shared" si="52"/>
        <v>1107.78</v>
      </c>
      <c r="J77" s="158">
        <f t="shared" si="53"/>
        <v>2.824384274</v>
      </c>
      <c r="K77" s="243"/>
      <c r="L77" s="247"/>
      <c r="M77" s="275"/>
      <c r="N77" s="239"/>
      <c r="O77" s="247"/>
      <c r="P77" s="243"/>
      <c r="Q77" s="247"/>
      <c r="R77" s="275"/>
      <c r="S77" s="239"/>
      <c r="T77" s="247"/>
      <c r="U77" s="243"/>
      <c r="V77" s="247"/>
      <c r="W77" s="275"/>
      <c r="X77" s="239"/>
      <c r="Y77" s="247"/>
      <c r="Z77" s="239"/>
      <c r="AA77" s="239"/>
    </row>
    <row r="78" ht="25.5" customHeight="1" outlineLevel="1">
      <c r="A78" s="239">
        <v>71.0</v>
      </c>
      <c r="B78" s="87" t="s">
        <v>1568</v>
      </c>
      <c r="C78" s="274" t="s">
        <v>1567</v>
      </c>
      <c r="D78" s="243">
        <f t="shared" si="54"/>
        <v>1500</v>
      </c>
      <c r="E78" s="258" t="s">
        <v>202</v>
      </c>
      <c r="F78" s="243"/>
      <c r="G78" s="158">
        <f t="shared" si="51"/>
        <v>0.25096</v>
      </c>
      <c r="H78" s="275">
        <v>376.44</v>
      </c>
      <c r="I78" s="93">
        <f t="shared" si="52"/>
        <v>1123.56</v>
      </c>
      <c r="J78" s="158">
        <f t="shared" si="53"/>
        <v>2.984698757</v>
      </c>
      <c r="K78" s="243"/>
      <c r="L78" s="247"/>
      <c r="M78" s="275"/>
      <c r="N78" s="239"/>
      <c r="O78" s="247"/>
      <c r="P78" s="243"/>
      <c r="Q78" s="247"/>
      <c r="R78" s="275"/>
      <c r="S78" s="239"/>
      <c r="T78" s="247"/>
      <c r="U78" s="243"/>
      <c r="V78" s="247"/>
      <c r="W78" s="275"/>
      <c r="X78" s="239"/>
      <c r="Y78" s="247"/>
      <c r="Z78" s="239"/>
      <c r="AA78" s="239"/>
    </row>
    <row r="79" ht="25.5" customHeight="1" outlineLevel="1">
      <c r="A79" s="826">
        <v>72.0</v>
      </c>
      <c r="B79" s="87" t="s">
        <v>1569</v>
      </c>
      <c r="C79" s="274" t="s">
        <v>1567</v>
      </c>
      <c r="D79" s="243">
        <f t="shared" si="54"/>
        <v>1500</v>
      </c>
      <c r="E79" s="258" t="s">
        <v>202</v>
      </c>
      <c r="F79" s="243"/>
      <c r="G79" s="158">
        <f t="shared" si="51"/>
        <v>0.24828</v>
      </c>
      <c r="H79" s="275">
        <v>372.42</v>
      </c>
      <c r="I79" s="93">
        <f t="shared" si="52"/>
        <v>1127.58</v>
      </c>
      <c r="J79" s="158">
        <f t="shared" si="53"/>
        <v>3.027710649</v>
      </c>
      <c r="K79" s="243"/>
      <c r="L79" s="247"/>
      <c r="M79" s="275"/>
      <c r="N79" s="239"/>
      <c r="O79" s="247"/>
      <c r="P79" s="243"/>
      <c r="Q79" s="247"/>
      <c r="R79" s="275"/>
      <c r="S79" s="239"/>
      <c r="T79" s="247"/>
      <c r="U79" s="243"/>
      <c r="V79" s="247"/>
      <c r="W79" s="275"/>
      <c r="X79" s="239"/>
      <c r="Y79" s="247"/>
      <c r="Z79" s="239"/>
      <c r="AA79" s="239"/>
    </row>
    <row r="80" ht="25.5" customHeight="1" outlineLevel="1">
      <c r="A80" s="239">
        <v>73.0</v>
      </c>
      <c r="B80" s="87" t="s">
        <v>1570</v>
      </c>
      <c r="C80" s="274" t="s">
        <v>1567</v>
      </c>
      <c r="D80" s="243">
        <f t="shared" si="54"/>
        <v>1500</v>
      </c>
      <c r="E80" s="258" t="s">
        <v>202</v>
      </c>
      <c r="F80" s="243"/>
      <c r="G80" s="158">
        <f t="shared" si="51"/>
        <v>0.27884</v>
      </c>
      <c r="H80" s="275">
        <v>418.26</v>
      </c>
      <c r="I80" s="93">
        <f t="shared" si="52"/>
        <v>1081.74</v>
      </c>
      <c r="J80" s="158">
        <f t="shared" si="53"/>
        <v>2.586286042</v>
      </c>
      <c r="K80" s="243"/>
      <c r="L80" s="247"/>
      <c r="M80" s="275"/>
      <c r="N80" s="239"/>
      <c r="O80" s="247"/>
      <c r="P80" s="243"/>
      <c r="Q80" s="247"/>
      <c r="R80" s="275"/>
      <c r="S80" s="239"/>
      <c r="T80" s="247"/>
      <c r="U80" s="243"/>
      <c r="V80" s="247"/>
      <c r="W80" s="275"/>
      <c r="X80" s="239"/>
      <c r="Y80" s="247"/>
      <c r="Z80" s="239"/>
      <c r="AA80" s="239"/>
    </row>
    <row r="81" ht="25.5" customHeight="1" outlineLevel="1">
      <c r="A81" s="826">
        <v>74.0</v>
      </c>
      <c r="B81" s="87" t="s">
        <v>1571</v>
      </c>
      <c r="C81" s="274" t="s">
        <v>1567</v>
      </c>
      <c r="D81" s="243">
        <f t="shared" si="54"/>
        <v>1500</v>
      </c>
      <c r="E81" s="258" t="s">
        <v>202</v>
      </c>
      <c r="F81" s="243"/>
      <c r="G81" s="158">
        <f t="shared" si="51"/>
        <v>0.21296</v>
      </c>
      <c r="H81" s="275">
        <v>319.44</v>
      </c>
      <c r="I81" s="93">
        <f t="shared" si="52"/>
        <v>1180.56</v>
      </c>
      <c r="J81" s="158">
        <f t="shared" si="53"/>
        <v>3.695717506</v>
      </c>
      <c r="K81" s="243"/>
      <c r="L81" s="247"/>
      <c r="M81" s="275"/>
      <c r="N81" s="239"/>
      <c r="O81" s="247"/>
      <c r="P81" s="243"/>
      <c r="Q81" s="247"/>
      <c r="R81" s="275"/>
      <c r="S81" s="239"/>
      <c r="T81" s="247"/>
      <c r="U81" s="243"/>
      <c r="V81" s="247"/>
      <c r="W81" s="275"/>
      <c r="X81" s="239"/>
      <c r="Y81" s="247"/>
      <c r="Z81" s="239"/>
      <c r="AA81" s="239"/>
    </row>
    <row r="82" ht="25.5" customHeight="1" outlineLevel="1">
      <c r="A82" s="239">
        <v>75.0</v>
      </c>
      <c r="B82" s="87" t="s">
        <v>1572</v>
      </c>
      <c r="C82" s="274" t="s">
        <v>1573</v>
      </c>
      <c r="D82" s="243">
        <f t="shared" ref="D82:D85" si="55">350*6</f>
        <v>2100</v>
      </c>
      <c r="E82" s="258" t="s">
        <v>475</v>
      </c>
      <c r="F82" s="243"/>
      <c r="G82" s="158">
        <f t="shared" si="51"/>
        <v>0.2809428571</v>
      </c>
      <c r="H82" s="275">
        <f>(64+34.33)*6</f>
        <v>589.98</v>
      </c>
      <c r="I82" s="93">
        <f t="shared" si="52"/>
        <v>1510.02</v>
      </c>
      <c r="J82" s="158">
        <f t="shared" si="53"/>
        <v>2.559442693</v>
      </c>
      <c r="K82" s="243"/>
      <c r="L82" s="247"/>
      <c r="M82" s="275"/>
      <c r="N82" s="239"/>
      <c r="O82" s="247"/>
      <c r="P82" s="243"/>
      <c r="Q82" s="247"/>
      <c r="R82" s="275"/>
      <c r="S82" s="239"/>
      <c r="T82" s="247"/>
      <c r="U82" s="243"/>
      <c r="V82" s="247"/>
      <c r="W82" s="275"/>
      <c r="X82" s="239"/>
      <c r="Y82" s="247"/>
      <c r="Z82" s="239"/>
      <c r="AA82" s="239"/>
    </row>
    <row r="83" ht="25.5" customHeight="1" outlineLevel="1">
      <c r="A83" s="826">
        <v>76.0</v>
      </c>
      <c r="B83" s="87" t="s">
        <v>1574</v>
      </c>
      <c r="C83" s="274" t="s">
        <v>1573</v>
      </c>
      <c r="D83" s="243">
        <f t="shared" si="55"/>
        <v>2100</v>
      </c>
      <c r="E83" s="258" t="s">
        <v>475</v>
      </c>
      <c r="F83" s="243"/>
      <c r="G83" s="158">
        <f t="shared" si="51"/>
        <v>0.2798</v>
      </c>
      <c r="H83" s="275">
        <f>(64+33.93)*6</f>
        <v>587.58</v>
      </c>
      <c r="I83" s="93">
        <f t="shared" si="52"/>
        <v>1512.42</v>
      </c>
      <c r="J83" s="158">
        <f t="shared" si="53"/>
        <v>2.573981415</v>
      </c>
      <c r="K83" s="243"/>
      <c r="L83" s="247"/>
      <c r="M83" s="275"/>
      <c r="N83" s="239"/>
      <c r="O83" s="247"/>
      <c r="P83" s="243"/>
      <c r="Q83" s="247"/>
      <c r="R83" s="275"/>
      <c r="S83" s="239"/>
      <c r="T83" s="247"/>
      <c r="U83" s="243"/>
      <c r="V83" s="247"/>
      <c r="W83" s="275"/>
      <c r="X83" s="239"/>
      <c r="Y83" s="247"/>
      <c r="Z83" s="239"/>
      <c r="AA83" s="239"/>
    </row>
    <row r="84" ht="24.75" customHeight="1" outlineLevel="1">
      <c r="A84" s="239">
        <v>77.0</v>
      </c>
      <c r="B84" s="87" t="s">
        <v>1575</v>
      </c>
      <c r="C84" s="274" t="s">
        <v>1573</v>
      </c>
      <c r="D84" s="243">
        <f t="shared" si="55"/>
        <v>2100</v>
      </c>
      <c r="E84" s="258" t="s">
        <v>475</v>
      </c>
      <c r="F84" s="243"/>
      <c r="G84" s="158">
        <f t="shared" si="51"/>
        <v>0.2528571429</v>
      </c>
      <c r="H84" s="275">
        <f>(64+24.5)*6</f>
        <v>531</v>
      </c>
      <c r="I84" s="93">
        <f t="shared" si="52"/>
        <v>1569</v>
      </c>
      <c r="J84" s="158">
        <f t="shared" si="53"/>
        <v>2.95480226</v>
      </c>
      <c r="K84" s="243"/>
      <c r="L84" s="247"/>
      <c r="M84" s="275"/>
      <c r="N84" s="239"/>
      <c r="O84" s="247"/>
      <c r="P84" s="243"/>
      <c r="Q84" s="247"/>
      <c r="R84" s="275"/>
      <c r="S84" s="239"/>
      <c r="T84" s="247"/>
      <c r="U84" s="243"/>
      <c r="V84" s="247"/>
      <c r="W84" s="275"/>
      <c r="X84" s="239"/>
      <c r="Y84" s="247"/>
      <c r="Z84" s="239"/>
      <c r="AA84" s="239"/>
    </row>
    <row r="85" ht="24.75" customHeight="1" outlineLevel="1">
      <c r="A85" s="239">
        <v>77.0</v>
      </c>
      <c r="B85" s="87" t="s">
        <v>1576</v>
      </c>
      <c r="C85" s="274" t="s">
        <v>1573</v>
      </c>
      <c r="D85" s="243">
        <f t="shared" si="55"/>
        <v>2100</v>
      </c>
      <c r="E85" s="258" t="s">
        <v>475</v>
      </c>
      <c r="F85" s="243"/>
      <c r="G85" s="158">
        <f t="shared" si="51"/>
        <v>0.2941428571</v>
      </c>
      <c r="H85" s="275">
        <f>(64+38.95)*6</f>
        <v>617.7</v>
      </c>
      <c r="I85" s="93">
        <f t="shared" si="52"/>
        <v>1482.3</v>
      </c>
      <c r="J85" s="158">
        <f t="shared" si="53"/>
        <v>2.399708596</v>
      </c>
      <c r="K85" s="243"/>
      <c r="L85" s="247"/>
      <c r="M85" s="275"/>
      <c r="N85" s="239"/>
      <c r="O85" s="247"/>
      <c r="P85" s="243"/>
      <c r="Q85" s="247"/>
      <c r="R85" s="275"/>
      <c r="S85" s="239"/>
      <c r="T85" s="247"/>
      <c r="U85" s="243"/>
      <c r="V85" s="247"/>
      <c r="W85" s="275"/>
      <c r="X85" s="239"/>
      <c r="Y85" s="247"/>
      <c r="Z85" s="239"/>
      <c r="AA85" s="239"/>
    </row>
    <row r="86" ht="25.5" customHeight="1" collapsed="1">
      <c r="A86" s="614"/>
      <c r="B86" s="830" t="str">
        <f>"ВИТРИНА "&amp;COUNTA(B87:B95)&amp;" шт"</f>
        <v>ВИТРИНА 9 шт</v>
      </c>
      <c r="C86" s="614"/>
      <c r="D86" s="695"/>
      <c r="E86" s="616"/>
      <c r="F86" s="695"/>
      <c r="G86" s="647">
        <f>AVERAGE(G87:G91)</f>
        <v>0.1899398342</v>
      </c>
      <c r="H86" s="618"/>
      <c r="I86" s="614"/>
      <c r="J86" s="614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18"/>
      <c r="X86" s="614"/>
      <c r="Y86" s="614"/>
      <c r="Z86" s="86"/>
      <c r="AA86" s="86"/>
    </row>
    <row r="87" ht="25.5" hidden="1" customHeight="1" outlineLevel="1">
      <c r="A87" s="826">
        <v>78.0</v>
      </c>
      <c r="B87" s="89" t="s">
        <v>1577</v>
      </c>
      <c r="C87" s="274"/>
      <c r="D87" s="243">
        <v>99.0</v>
      </c>
      <c r="E87" s="265" t="s">
        <v>1578</v>
      </c>
      <c r="F87" s="243"/>
      <c r="G87" s="158">
        <f>H87/D87</f>
        <v>0.1798989899</v>
      </c>
      <c r="H87" s="275">
        <v>17.81</v>
      </c>
      <c r="I87" s="93">
        <f>D87-H87</f>
        <v>81.19</v>
      </c>
      <c r="J87" s="158">
        <f>D87/H87-1</f>
        <v>4.558674902</v>
      </c>
      <c r="K87" s="243"/>
      <c r="L87" s="247"/>
      <c r="M87" s="275"/>
      <c r="N87" s="239"/>
      <c r="O87" s="247"/>
      <c r="P87" s="243"/>
      <c r="Q87" s="247"/>
      <c r="R87" s="275"/>
      <c r="S87" s="239"/>
      <c r="T87" s="247"/>
      <c r="U87" s="243"/>
      <c r="V87" s="247"/>
      <c r="W87" s="275"/>
      <c r="X87" s="239"/>
      <c r="Y87" s="247"/>
      <c r="Z87" s="239"/>
      <c r="AA87" s="239"/>
    </row>
    <row r="88" ht="25.5" customHeight="1" collapsed="1">
      <c r="A88" s="614"/>
      <c r="B88" s="830" t="str">
        <f>"ПАСХА 2025 "&amp;COUNTA(B89:B97)&amp;" шт"</f>
        <v>ПАСХА 2025 8 шт</v>
      </c>
      <c r="C88" s="614"/>
      <c r="D88" s="695"/>
      <c r="E88" s="616"/>
      <c r="F88" s="695"/>
      <c r="G88" s="647">
        <f>AVERAGE(G89:G93)</f>
        <v>0.1565929594</v>
      </c>
      <c r="H88" s="618"/>
      <c r="I88" s="614"/>
      <c r="J88" s="614"/>
      <c r="K88" s="695" t="s">
        <v>1579</v>
      </c>
      <c r="L88" s="695"/>
      <c r="M88" s="695"/>
      <c r="N88" s="695"/>
      <c r="O88" s="695"/>
      <c r="P88" s="695" t="s">
        <v>1580</v>
      </c>
      <c r="Q88" s="695"/>
      <c r="R88" s="695"/>
      <c r="S88" s="695"/>
      <c r="T88" s="695"/>
      <c r="U88" s="695"/>
      <c r="V88" s="695"/>
      <c r="W88" s="618"/>
      <c r="X88" s="614"/>
      <c r="Y88" s="614"/>
      <c r="Z88" s="86"/>
      <c r="AA88" s="86"/>
    </row>
    <row r="89" ht="25.5" hidden="1" customHeight="1" outlineLevel="1">
      <c r="A89" s="826">
        <v>79.0</v>
      </c>
      <c r="B89" s="89" t="s">
        <v>1581</v>
      </c>
      <c r="C89" s="274"/>
      <c r="D89" s="243">
        <v>599.0</v>
      </c>
      <c r="E89" s="265" t="s">
        <v>1582</v>
      </c>
      <c r="F89" s="243"/>
      <c r="G89" s="158">
        <f t="shared" ref="G89:G95" si="56">H89/D89</f>
        <v>0.2771285476</v>
      </c>
      <c r="H89" s="275">
        <v>166.0</v>
      </c>
      <c r="I89" s="93">
        <f t="shared" ref="I89:I95" si="57">D89-H89</f>
        <v>433</v>
      </c>
      <c r="J89" s="158">
        <f t="shared" ref="J89:J95" si="58">D89/H89-1</f>
        <v>2.608433735</v>
      </c>
      <c r="K89" s="243">
        <f t="shared" ref="K89:K95" si="59">D89*0.9</f>
        <v>539.1</v>
      </c>
      <c r="L89" s="828">
        <f t="shared" ref="L89:L95" si="60">M89/K89</f>
        <v>0.3079206084</v>
      </c>
      <c r="M89" s="275">
        <v>166.0</v>
      </c>
      <c r="N89" s="161">
        <f t="shared" ref="N89:N95" si="61">K89-M89</f>
        <v>373.1</v>
      </c>
      <c r="O89" s="828">
        <f t="shared" ref="O89:O95" si="62">K89/M89-1</f>
        <v>2.247590361</v>
      </c>
      <c r="P89" s="243">
        <v>350.0</v>
      </c>
      <c r="Q89" s="828">
        <f t="shared" ref="Q89:Q95" si="63">R89/P89</f>
        <v>0.4742857143</v>
      </c>
      <c r="R89" s="275">
        <v>166.0</v>
      </c>
      <c r="S89" s="161">
        <f t="shared" ref="S89:S95" si="64">P89-R89</f>
        <v>184</v>
      </c>
      <c r="T89" s="828">
        <f t="shared" ref="T89:T95" si="65">P89/R89-1</f>
        <v>1.108433735</v>
      </c>
      <c r="U89" s="243"/>
      <c r="V89" s="247"/>
      <c r="W89" s="275"/>
      <c r="X89" s="239"/>
      <c r="Y89" s="247"/>
      <c r="Z89" s="239"/>
      <c r="AA89" s="239"/>
    </row>
    <row r="90" ht="25.5" hidden="1" customHeight="1" outlineLevel="1">
      <c r="A90" s="239">
        <v>80.0</v>
      </c>
      <c r="B90" s="89" t="s">
        <v>1583</v>
      </c>
      <c r="C90" s="274" t="s">
        <v>1584</v>
      </c>
      <c r="D90" s="243">
        <v>349.0</v>
      </c>
      <c r="E90" s="265" t="s">
        <v>1268</v>
      </c>
      <c r="F90" s="243"/>
      <c r="G90" s="158">
        <f t="shared" si="56"/>
        <v>0.2808022923</v>
      </c>
      <c r="H90" s="275">
        <v>98.0</v>
      </c>
      <c r="I90" s="93">
        <f t="shared" si="57"/>
        <v>251</v>
      </c>
      <c r="J90" s="158">
        <f t="shared" si="58"/>
        <v>2.56122449</v>
      </c>
      <c r="K90" s="243">
        <f t="shared" si="59"/>
        <v>314.1</v>
      </c>
      <c r="L90" s="828">
        <f t="shared" si="60"/>
        <v>0.3502069405</v>
      </c>
      <c r="M90" s="275">
        <v>110.0</v>
      </c>
      <c r="N90" s="161">
        <f t="shared" si="61"/>
        <v>204.1</v>
      </c>
      <c r="O90" s="828">
        <f t="shared" si="62"/>
        <v>1.855454545</v>
      </c>
      <c r="P90" s="243">
        <v>200.0</v>
      </c>
      <c r="Q90" s="828">
        <f t="shared" si="63"/>
        <v>0.49</v>
      </c>
      <c r="R90" s="275">
        <v>98.0</v>
      </c>
      <c r="S90" s="161">
        <f t="shared" si="64"/>
        <v>102</v>
      </c>
      <c r="T90" s="828">
        <f t="shared" si="65"/>
        <v>1.040816327</v>
      </c>
      <c r="U90" s="243"/>
      <c r="V90" s="247"/>
      <c r="W90" s="275"/>
      <c r="X90" s="239"/>
      <c r="Y90" s="247"/>
      <c r="Z90" s="239"/>
      <c r="AA90" s="239"/>
    </row>
    <row r="91" ht="25.5" hidden="1" customHeight="1" outlineLevel="1">
      <c r="A91" s="826">
        <v>81.0</v>
      </c>
      <c r="B91" s="89" t="s">
        <v>1585</v>
      </c>
      <c r="C91" s="274" t="s">
        <v>1586</v>
      </c>
      <c r="D91" s="243">
        <v>199.0</v>
      </c>
      <c r="E91" s="265">
        <v>45.0</v>
      </c>
      <c r="F91" s="243"/>
      <c r="G91" s="158">
        <f t="shared" si="56"/>
        <v>0.05527638191</v>
      </c>
      <c r="H91" s="275">
        <v>11.0</v>
      </c>
      <c r="I91" s="93">
        <f t="shared" si="57"/>
        <v>188</v>
      </c>
      <c r="J91" s="158">
        <f t="shared" si="58"/>
        <v>17.09090909</v>
      </c>
      <c r="K91" s="243">
        <f t="shared" si="59"/>
        <v>179.1</v>
      </c>
      <c r="L91" s="828">
        <f t="shared" si="60"/>
        <v>0.06141820212</v>
      </c>
      <c r="M91" s="275">
        <v>11.0</v>
      </c>
      <c r="N91" s="161">
        <f t="shared" si="61"/>
        <v>168.1</v>
      </c>
      <c r="O91" s="828">
        <f t="shared" si="62"/>
        <v>15.28181818</v>
      </c>
      <c r="P91" s="243"/>
      <c r="Q91" s="828" t="str">
        <f t="shared" si="63"/>
        <v>#DIV/0!</v>
      </c>
      <c r="R91" s="275">
        <v>11.0</v>
      </c>
      <c r="S91" s="161">
        <f t="shared" si="64"/>
        <v>-11</v>
      </c>
      <c r="T91" s="828">
        <f t="shared" si="65"/>
        <v>-1</v>
      </c>
      <c r="U91" s="243"/>
      <c r="V91" s="247"/>
      <c r="W91" s="275"/>
      <c r="X91" s="239"/>
      <c r="Y91" s="247"/>
      <c r="Z91" s="239"/>
      <c r="AA91" s="239"/>
    </row>
    <row r="92" ht="25.5" hidden="1" customHeight="1" outlineLevel="1">
      <c r="A92" s="239">
        <v>82.0</v>
      </c>
      <c r="B92" s="89" t="s">
        <v>1587</v>
      </c>
      <c r="C92" s="274" t="s">
        <v>1588</v>
      </c>
      <c r="D92" s="243">
        <v>499.0</v>
      </c>
      <c r="E92" s="265">
        <v>120.0</v>
      </c>
      <c r="F92" s="243"/>
      <c r="G92" s="158">
        <f t="shared" si="56"/>
        <v>0.1062124248</v>
      </c>
      <c r="H92" s="275">
        <v>53.0</v>
      </c>
      <c r="I92" s="93">
        <f t="shared" si="57"/>
        <v>446</v>
      </c>
      <c r="J92" s="158">
        <f t="shared" si="58"/>
        <v>8.41509434</v>
      </c>
      <c r="K92" s="243">
        <f t="shared" si="59"/>
        <v>449.1</v>
      </c>
      <c r="L92" s="828">
        <f t="shared" si="60"/>
        <v>0.1180138054</v>
      </c>
      <c r="M92" s="275">
        <v>53.0</v>
      </c>
      <c r="N92" s="161">
        <f t="shared" si="61"/>
        <v>396.1</v>
      </c>
      <c r="O92" s="828">
        <f t="shared" si="62"/>
        <v>7.473584906</v>
      </c>
      <c r="P92" s="243"/>
      <c r="Q92" s="828" t="str">
        <f t="shared" si="63"/>
        <v>#DIV/0!</v>
      </c>
      <c r="R92" s="275">
        <v>53.0</v>
      </c>
      <c r="S92" s="161">
        <f t="shared" si="64"/>
        <v>-53</v>
      </c>
      <c r="T92" s="828">
        <f t="shared" si="65"/>
        <v>-1</v>
      </c>
      <c r="U92" s="243"/>
      <c r="V92" s="247"/>
      <c r="W92" s="275"/>
      <c r="X92" s="239"/>
      <c r="Y92" s="247"/>
      <c r="Z92" s="239"/>
      <c r="AA92" s="239"/>
    </row>
    <row r="93" ht="25.5" hidden="1" customHeight="1" outlineLevel="1">
      <c r="A93" s="826">
        <v>83.0</v>
      </c>
      <c r="B93" s="89" t="s">
        <v>1589</v>
      </c>
      <c r="C93" s="274"/>
      <c r="D93" s="243">
        <v>299.0</v>
      </c>
      <c r="E93" s="265">
        <v>83.0</v>
      </c>
      <c r="F93" s="243"/>
      <c r="G93" s="158">
        <f t="shared" si="56"/>
        <v>0.0635451505</v>
      </c>
      <c r="H93" s="275">
        <v>19.0</v>
      </c>
      <c r="I93" s="93">
        <f t="shared" si="57"/>
        <v>280</v>
      </c>
      <c r="J93" s="158">
        <f t="shared" si="58"/>
        <v>14.73684211</v>
      </c>
      <c r="K93" s="243">
        <f t="shared" si="59"/>
        <v>269.1</v>
      </c>
      <c r="L93" s="828">
        <f t="shared" si="60"/>
        <v>0.07060572278</v>
      </c>
      <c r="M93" s="275">
        <v>19.0</v>
      </c>
      <c r="N93" s="161">
        <f t="shared" si="61"/>
        <v>250.1</v>
      </c>
      <c r="O93" s="828">
        <f t="shared" si="62"/>
        <v>13.16315789</v>
      </c>
      <c r="P93" s="243">
        <v>110.0</v>
      </c>
      <c r="Q93" s="828">
        <f t="shared" si="63"/>
        <v>0.1727272727</v>
      </c>
      <c r="R93" s="275">
        <v>19.0</v>
      </c>
      <c r="S93" s="161">
        <f t="shared" si="64"/>
        <v>91</v>
      </c>
      <c r="T93" s="828">
        <f t="shared" si="65"/>
        <v>4.789473684</v>
      </c>
      <c r="U93" s="243"/>
      <c r="V93" s="247"/>
      <c r="W93" s="275"/>
      <c r="X93" s="239"/>
      <c r="Y93" s="247"/>
      <c r="Z93" s="239"/>
      <c r="AA93" s="239"/>
    </row>
    <row r="94" ht="25.5" hidden="1" customHeight="1" outlineLevel="1">
      <c r="A94" s="239">
        <v>84.0</v>
      </c>
      <c r="B94" s="89" t="s">
        <v>1590</v>
      </c>
      <c r="C94" s="274"/>
      <c r="D94" s="243">
        <v>699.0</v>
      </c>
      <c r="E94" s="265">
        <v>140.0</v>
      </c>
      <c r="F94" s="243"/>
      <c r="G94" s="158">
        <f t="shared" si="56"/>
        <v>0.1072961373</v>
      </c>
      <c r="H94" s="275">
        <v>75.0</v>
      </c>
      <c r="I94" s="93">
        <f t="shared" si="57"/>
        <v>624</v>
      </c>
      <c r="J94" s="158">
        <f t="shared" si="58"/>
        <v>8.32</v>
      </c>
      <c r="K94" s="243">
        <f t="shared" si="59"/>
        <v>629.1</v>
      </c>
      <c r="L94" s="828">
        <f t="shared" si="60"/>
        <v>0.1192179304</v>
      </c>
      <c r="M94" s="275">
        <v>75.0</v>
      </c>
      <c r="N94" s="161">
        <f t="shared" si="61"/>
        <v>554.1</v>
      </c>
      <c r="O94" s="828">
        <f t="shared" si="62"/>
        <v>7.388</v>
      </c>
      <c r="P94" s="243"/>
      <c r="Q94" s="828" t="str">
        <f t="shared" si="63"/>
        <v>#DIV/0!</v>
      </c>
      <c r="R94" s="275">
        <v>75.0</v>
      </c>
      <c r="S94" s="161">
        <f t="shared" si="64"/>
        <v>-75</v>
      </c>
      <c r="T94" s="828">
        <f t="shared" si="65"/>
        <v>-1</v>
      </c>
      <c r="U94" s="243"/>
      <c r="V94" s="247"/>
      <c r="W94" s="275"/>
      <c r="X94" s="239"/>
      <c r="Y94" s="247"/>
      <c r="Z94" s="239"/>
      <c r="AA94" s="239"/>
    </row>
    <row r="95" ht="25.5" hidden="1" customHeight="1" outlineLevel="1">
      <c r="A95" s="239">
        <v>85.0</v>
      </c>
      <c r="B95" s="89" t="s">
        <v>1591</v>
      </c>
      <c r="C95" s="274"/>
      <c r="D95" s="243">
        <v>999.0</v>
      </c>
      <c r="E95" s="265">
        <v>410.0</v>
      </c>
      <c r="F95" s="243"/>
      <c r="G95" s="158">
        <f t="shared" si="56"/>
        <v>0.3193193193</v>
      </c>
      <c r="H95" s="275">
        <v>319.0</v>
      </c>
      <c r="I95" s="93">
        <f t="shared" si="57"/>
        <v>680</v>
      </c>
      <c r="J95" s="158">
        <f t="shared" si="58"/>
        <v>2.131661442</v>
      </c>
      <c r="K95" s="243">
        <f t="shared" si="59"/>
        <v>899.1</v>
      </c>
      <c r="L95" s="828">
        <f t="shared" si="60"/>
        <v>0.3547992437</v>
      </c>
      <c r="M95" s="275">
        <v>319.0</v>
      </c>
      <c r="N95" s="161">
        <f t="shared" si="61"/>
        <v>580.1</v>
      </c>
      <c r="O95" s="828">
        <f t="shared" si="62"/>
        <v>1.818495298</v>
      </c>
      <c r="P95" s="243"/>
      <c r="Q95" s="828" t="str">
        <f t="shared" si="63"/>
        <v>#DIV/0!</v>
      </c>
      <c r="R95" s="275">
        <v>319.0</v>
      </c>
      <c r="S95" s="161">
        <f t="shared" si="64"/>
        <v>-319</v>
      </c>
      <c r="T95" s="828">
        <f t="shared" si="65"/>
        <v>-1</v>
      </c>
      <c r="U95" s="243"/>
      <c r="V95" s="247"/>
      <c r="W95" s="275"/>
      <c r="X95" s="239"/>
      <c r="Y95" s="247"/>
      <c r="Z95" s="239"/>
      <c r="AA95" s="239"/>
    </row>
    <row r="96" ht="25.5" customHeight="1">
      <c r="A96" s="239"/>
      <c r="B96" s="89" t="s">
        <v>1592</v>
      </c>
      <c r="C96" s="274"/>
      <c r="D96" s="243"/>
      <c r="E96" s="265"/>
      <c r="F96" s="243"/>
      <c r="G96" s="247"/>
      <c r="H96" s="275"/>
      <c r="I96" s="239"/>
      <c r="J96" s="247"/>
      <c r="K96" s="243"/>
      <c r="L96" s="247"/>
      <c r="M96" s="275"/>
      <c r="N96" s="239"/>
      <c r="O96" s="247"/>
      <c r="P96" s="243">
        <v>100.0</v>
      </c>
      <c r="Q96" s="247"/>
      <c r="R96" s="275">
        <f>R92/3</f>
        <v>17.66666667</v>
      </c>
      <c r="S96" s="239"/>
      <c r="T96" s="247"/>
      <c r="U96" s="243"/>
      <c r="V96" s="247"/>
      <c r="W96" s="275"/>
      <c r="X96" s="239"/>
      <c r="Y96" s="247"/>
      <c r="Z96" s="239"/>
      <c r="AA96" s="239"/>
    </row>
    <row r="97" ht="25.5" customHeight="1">
      <c r="A97" s="239"/>
      <c r="B97" s="89"/>
      <c r="C97" s="274"/>
      <c r="D97" s="243"/>
      <c r="E97" s="265"/>
      <c r="F97" s="243"/>
      <c r="G97" s="247"/>
      <c r="H97" s="275"/>
      <c r="I97" s="239"/>
      <c r="J97" s="247"/>
      <c r="K97" s="243"/>
      <c r="L97" s="247"/>
      <c r="M97" s="275"/>
      <c r="N97" s="239"/>
      <c r="O97" s="247"/>
      <c r="P97" s="243"/>
      <c r="Q97" s="247"/>
      <c r="R97" s="275"/>
      <c r="S97" s="239"/>
      <c r="T97" s="247"/>
      <c r="U97" s="243"/>
      <c r="V97" s="247"/>
      <c r="W97" s="275"/>
      <c r="X97" s="239"/>
      <c r="Y97" s="247"/>
      <c r="Z97" s="239"/>
      <c r="AA97" s="239"/>
    </row>
    <row r="98" ht="25.5" customHeight="1">
      <c r="A98" s="239"/>
      <c r="B98" s="89"/>
      <c r="C98" s="274"/>
      <c r="D98" s="243"/>
      <c r="E98" s="265"/>
      <c r="F98" s="243"/>
      <c r="G98" s="247"/>
      <c r="H98" s="275"/>
      <c r="I98" s="239"/>
      <c r="J98" s="247"/>
      <c r="K98" s="243"/>
      <c r="L98" s="247"/>
      <c r="M98" s="275"/>
      <c r="N98" s="239"/>
      <c r="O98" s="247"/>
      <c r="P98" s="243"/>
      <c r="Q98" s="247"/>
      <c r="R98" s="275"/>
      <c r="S98" s="239"/>
      <c r="T98" s="247"/>
      <c r="U98" s="243"/>
      <c r="V98" s="247"/>
      <c r="W98" s="275"/>
      <c r="X98" s="239"/>
      <c r="Y98" s="247"/>
      <c r="Z98" s="239"/>
      <c r="AA98" s="239"/>
    </row>
    <row r="99" ht="25.5" customHeight="1">
      <c r="A99" s="239"/>
      <c r="B99" s="89"/>
      <c r="C99" s="274"/>
      <c r="D99" s="243"/>
      <c r="E99" s="265"/>
      <c r="F99" s="243"/>
      <c r="G99" s="247"/>
      <c r="H99" s="275"/>
      <c r="I99" s="239"/>
      <c r="J99" s="247"/>
      <c r="K99" s="243"/>
      <c r="L99" s="247"/>
      <c r="M99" s="275"/>
      <c r="N99" s="239"/>
      <c r="O99" s="247"/>
      <c r="P99" s="243"/>
      <c r="Q99" s="247"/>
      <c r="R99" s="275"/>
      <c r="S99" s="239"/>
      <c r="T99" s="247"/>
      <c r="U99" s="243"/>
      <c r="V99" s="247"/>
      <c r="W99" s="275"/>
      <c r="X99" s="239"/>
      <c r="Y99" s="247"/>
      <c r="Z99" s="239"/>
      <c r="AA99" s="239"/>
    </row>
    <row r="100" ht="25.5" customHeight="1">
      <c r="A100" s="239"/>
      <c r="B100" s="89"/>
      <c r="C100" s="274"/>
      <c r="D100" s="243"/>
      <c r="E100" s="265"/>
      <c r="F100" s="243"/>
      <c r="G100" s="247"/>
      <c r="H100" s="275"/>
      <c r="I100" s="239"/>
      <c r="J100" s="247"/>
      <c r="K100" s="243"/>
      <c r="L100" s="247"/>
      <c r="M100" s="275"/>
      <c r="N100" s="239"/>
      <c r="O100" s="247"/>
      <c r="P100" s="243"/>
      <c r="Q100" s="247"/>
      <c r="R100" s="275"/>
      <c r="S100" s="239"/>
      <c r="T100" s="247"/>
      <c r="U100" s="243"/>
      <c r="V100" s="247"/>
      <c r="W100" s="275"/>
      <c r="X100" s="239"/>
      <c r="Y100" s="247"/>
      <c r="Z100" s="239"/>
      <c r="AA100" s="239"/>
    </row>
    <row r="101" ht="25.5" customHeight="1">
      <c r="A101" s="239"/>
      <c r="B101" s="89"/>
      <c r="C101" s="274"/>
      <c r="D101" s="243"/>
      <c r="E101" s="265"/>
      <c r="F101" s="243"/>
      <c r="G101" s="247"/>
      <c r="H101" s="275"/>
      <c r="I101" s="239"/>
      <c r="J101" s="247"/>
      <c r="K101" s="243"/>
      <c r="L101" s="247"/>
      <c r="M101" s="275"/>
      <c r="N101" s="239"/>
      <c r="O101" s="247"/>
      <c r="P101" s="243"/>
      <c r="Q101" s="247"/>
      <c r="R101" s="275"/>
      <c r="S101" s="239"/>
      <c r="T101" s="247"/>
      <c r="U101" s="243"/>
      <c r="V101" s="247"/>
      <c r="W101" s="275"/>
      <c r="X101" s="239"/>
      <c r="Y101" s="247"/>
      <c r="Z101" s="239"/>
      <c r="AA101" s="239"/>
    </row>
    <row r="102" ht="25.5" customHeight="1">
      <c r="A102" s="239"/>
      <c r="B102" s="89"/>
      <c r="C102" s="274"/>
      <c r="D102" s="243"/>
      <c r="E102" s="265"/>
      <c r="F102" s="243"/>
      <c r="G102" s="247"/>
      <c r="H102" s="275"/>
      <c r="I102" s="239"/>
      <c r="J102" s="247"/>
      <c r="K102" s="243"/>
      <c r="L102" s="247"/>
      <c r="M102" s="275"/>
      <c r="N102" s="239"/>
      <c r="O102" s="247"/>
      <c r="P102" s="243"/>
      <c r="Q102" s="247"/>
      <c r="R102" s="275"/>
      <c r="S102" s="239"/>
      <c r="T102" s="247"/>
      <c r="U102" s="243"/>
      <c r="V102" s="247"/>
      <c r="W102" s="275"/>
      <c r="X102" s="239"/>
      <c r="Y102" s="247"/>
      <c r="Z102" s="239"/>
      <c r="AA102" s="239"/>
    </row>
    <row r="103" ht="25.5" customHeight="1">
      <c r="A103" s="239"/>
      <c r="B103" s="89"/>
      <c r="C103" s="274"/>
      <c r="D103" s="243"/>
      <c r="E103" s="265"/>
      <c r="F103" s="243"/>
      <c r="G103" s="247"/>
      <c r="H103" s="275"/>
      <c r="I103" s="239"/>
      <c r="J103" s="247"/>
      <c r="K103" s="243"/>
      <c r="L103" s="247"/>
      <c r="M103" s="275"/>
      <c r="N103" s="239"/>
      <c r="O103" s="247"/>
      <c r="P103" s="243"/>
      <c r="Q103" s="247"/>
      <c r="R103" s="275"/>
      <c r="S103" s="239"/>
      <c r="T103" s="247"/>
      <c r="U103" s="243"/>
      <c r="V103" s="247"/>
      <c r="W103" s="275"/>
      <c r="X103" s="239"/>
      <c r="Y103" s="247"/>
      <c r="Z103" s="239"/>
      <c r="AA103" s="239"/>
    </row>
    <row r="104" ht="25.5" customHeight="1">
      <c r="A104" s="239"/>
      <c r="B104" s="89"/>
      <c r="C104" s="274"/>
      <c r="D104" s="243"/>
      <c r="E104" s="265"/>
      <c r="F104" s="243"/>
      <c r="G104" s="247"/>
      <c r="H104" s="275"/>
      <c r="I104" s="239"/>
      <c r="J104" s="247"/>
      <c r="K104" s="243"/>
      <c r="L104" s="247"/>
      <c r="M104" s="275"/>
      <c r="N104" s="239"/>
      <c r="O104" s="247"/>
      <c r="P104" s="243"/>
      <c r="Q104" s="247"/>
      <c r="R104" s="275"/>
      <c r="S104" s="239"/>
      <c r="T104" s="247"/>
      <c r="U104" s="243"/>
      <c r="V104" s="247"/>
      <c r="W104" s="275"/>
      <c r="X104" s="239"/>
      <c r="Y104" s="247"/>
      <c r="Z104" s="239"/>
      <c r="AA104" s="239"/>
    </row>
    <row r="105" ht="25.5" customHeight="1">
      <c r="A105" s="239"/>
      <c r="B105" s="89"/>
      <c r="C105" s="274"/>
      <c r="D105" s="243"/>
      <c r="E105" s="265"/>
      <c r="F105" s="243"/>
      <c r="G105" s="247"/>
      <c r="H105" s="275"/>
      <c r="I105" s="239"/>
      <c r="J105" s="247"/>
      <c r="K105" s="243"/>
      <c r="L105" s="247"/>
      <c r="M105" s="275"/>
      <c r="N105" s="239"/>
      <c r="O105" s="247"/>
      <c r="P105" s="243"/>
      <c r="Q105" s="247"/>
      <c r="R105" s="275"/>
      <c r="S105" s="239"/>
      <c r="T105" s="247"/>
      <c r="U105" s="243"/>
      <c r="V105" s="247"/>
      <c r="W105" s="275"/>
      <c r="X105" s="239"/>
      <c r="Y105" s="247"/>
      <c r="Z105" s="239"/>
      <c r="AA105" s="239"/>
    </row>
    <row r="106" ht="25.5" customHeight="1">
      <c r="A106" s="239"/>
      <c r="B106" s="89"/>
      <c r="C106" s="274"/>
      <c r="D106" s="243"/>
      <c r="E106" s="265"/>
      <c r="F106" s="243"/>
      <c r="G106" s="247"/>
      <c r="H106" s="275"/>
      <c r="I106" s="239"/>
      <c r="J106" s="247"/>
      <c r="K106" s="243"/>
      <c r="L106" s="247"/>
      <c r="M106" s="275"/>
      <c r="N106" s="239"/>
      <c r="O106" s="247"/>
      <c r="P106" s="243"/>
      <c r="Q106" s="247"/>
      <c r="R106" s="275"/>
      <c r="S106" s="239"/>
      <c r="T106" s="247"/>
      <c r="U106" s="243"/>
      <c r="V106" s="247"/>
      <c r="W106" s="275"/>
      <c r="X106" s="239"/>
      <c r="Y106" s="247"/>
      <c r="Z106" s="239"/>
      <c r="AA106" s="239"/>
    </row>
    <row r="107" ht="25.5" customHeight="1">
      <c r="A107" s="239"/>
      <c r="B107" s="89"/>
      <c r="C107" s="274"/>
      <c r="D107" s="243"/>
      <c r="E107" s="265"/>
      <c r="F107" s="243"/>
      <c r="G107" s="247"/>
      <c r="H107" s="275"/>
      <c r="I107" s="239"/>
      <c r="J107" s="247"/>
      <c r="K107" s="243"/>
      <c r="L107" s="247"/>
      <c r="M107" s="275"/>
      <c r="N107" s="239"/>
      <c r="O107" s="247"/>
      <c r="P107" s="243"/>
      <c r="Q107" s="247"/>
      <c r="R107" s="275"/>
      <c r="S107" s="239"/>
      <c r="T107" s="247"/>
      <c r="U107" s="243"/>
      <c r="V107" s="247"/>
      <c r="W107" s="275"/>
      <c r="X107" s="239"/>
      <c r="Y107" s="247"/>
      <c r="Z107" s="239"/>
      <c r="AA107" s="239"/>
    </row>
    <row r="108" ht="25.5" customHeight="1">
      <c r="A108" s="239"/>
      <c r="B108" s="89"/>
      <c r="C108" s="274"/>
      <c r="D108" s="243"/>
      <c r="E108" s="265"/>
      <c r="F108" s="243"/>
      <c r="G108" s="247"/>
      <c r="H108" s="275"/>
      <c r="I108" s="239"/>
      <c r="J108" s="247"/>
      <c r="K108" s="243"/>
      <c r="L108" s="247"/>
      <c r="M108" s="275"/>
      <c r="N108" s="239"/>
      <c r="O108" s="247"/>
      <c r="P108" s="243"/>
      <c r="Q108" s="247"/>
      <c r="R108" s="275"/>
      <c r="S108" s="239"/>
      <c r="T108" s="247"/>
      <c r="U108" s="243"/>
      <c r="V108" s="247"/>
      <c r="W108" s="275"/>
      <c r="X108" s="239"/>
      <c r="Y108" s="247"/>
      <c r="Z108" s="239"/>
      <c r="AA108" s="239"/>
    </row>
    <row r="109" ht="25.5" customHeight="1">
      <c r="A109" s="239"/>
      <c r="B109" s="89"/>
      <c r="C109" s="274"/>
      <c r="D109" s="243"/>
      <c r="E109" s="265"/>
      <c r="F109" s="243"/>
      <c r="G109" s="247"/>
      <c r="H109" s="275"/>
      <c r="I109" s="239"/>
      <c r="J109" s="247"/>
      <c r="K109" s="243"/>
      <c r="L109" s="247"/>
      <c r="M109" s="275"/>
      <c r="N109" s="239"/>
      <c r="O109" s="247"/>
      <c r="P109" s="243"/>
      <c r="Q109" s="247"/>
      <c r="R109" s="275"/>
      <c r="S109" s="239"/>
      <c r="T109" s="247"/>
      <c r="U109" s="243"/>
      <c r="V109" s="247"/>
      <c r="W109" s="275"/>
      <c r="X109" s="239"/>
      <c r="Y109" s="247"/>
      <c r="Z109" s="239"/>
      <c r="AA109" s="239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P21:T21"/>
    <mergeCell ref="U21:Y21"/>
    <mergeCell ref="U22:Y22"/>
    <mergeCell ref="U23:Y23"/>
    <mergeCell ref="U25:Y25"/>
    <mergeCell ref="U31:Y31"/>
    <mergeCell ref="P37:T37"/>
    <mergeCell ref="U37:Y37"/>
    <mergeCell ref="A1:B1"/>
    <mergeCell ref="P4:T4"/>
    <mergeCell ref="U4:Y4"/>
    <mergeCell ref="U8:Y8"/>
    <mergeCell ref="U9:Y9"/>
    <mergeCell ref="U14:Y14"/>
    <mergeCell ref="U17:Y17"/>
  </mergeCells>
  <conditionalFormatting sqref="G1:G109 L1:L109 Q1:Q3 Q5:Q20 Q22:Q36 Q38:Q109 V1:V3 V5:V7 V10:V13 V15:V16 V18:V20 V24 V26:V30 V32:V36 V38:V10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Z1:AA109">
    <cfRule type="containsText" dxfId="0" priority="2" operator="containsText" text="нет">
      <formula>NOT(ISERROR(SEARCH(("нет"),(Z1))))</formula>
    </cfRule>
  </conditionalFormatting>
  <conditionalFormatting sqref="C75 F1:F86 F88 K1:K86 K88:V88 L39:O39 L43:O43 L47:O47 L74:O74 L86:O86 P1:P86 Q4:T4 Q21:T21 Q36:T37 Q39:T39 Q43:T43 Q47:T47 Q74:T74 Q86:T86 U1:U86 V4:Y9 V14:Y17 V21:Y23 V25:Y27 V31:Y31 V36:Y37 V39:Y39 V43:Y43 V47:Y47 V74 V86">
    <cfRule type="colorScale" priority="3">
      <colorScale>
        <cfvo type="min"/>
        <cfvo type="max"/>
        <color rgb="FFFFFFFF"/>
        <color rgb="FFE67C73"/>
      </colorScale>
    </cfRule>
  </conditionalFormatting>
  <conditionalFormatting sqref="D4:D38">
    <cfRule type="colorScale" priority="4">
      <colorScale>
        <cfvo type="min"/>
        <cfvo type="max"/>
        <color rgb="FFFFFFFF"/>
        <color rgb="FF00FF00"/>
      </colorScale>
    </cfRule>
  </conditionalFormatting>
  <dataValidations>
    <dataValidation type="list" allowBlank="1" showErrorMessage="1" sqref="Z3:AA109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 outlineLevelRow="1"/>
  <cols>
    <col customWidth="1" min="1" max="1" width="6.14"/>
    <col customWidth="1" min="2" max="2" width="26.86"/>
    <col customWidth="1" min="3" max="3" width="22.14"/>
    <col customWidth="1" min="4" max="4" width="15.14"/>
    <col customWidth="1" min="5" max="5" width="7.57"/>
    <col customWidth="1" min="6" max="6" width="13.71"/>
    <col customWidth="1" min="7" max="7" width="6.86"/>
    <col customWidth="1" min="8" max="8" width="9.57" outlineLevel="1"/>
    <col customWidth="1" min="9" max="9" width="7.29" outlineLevel="1"/>
    <col customWidth="1" min="10" max="10" width="6.71" outlineLevel="1"/>
    <col customWidth="1" min="11" max="11" width="13.71"/>
    <col customWidth="1" min="12" max="12" width="5.43"/>
    <col customWidth="1" hidden="1" min="13" max="13" width="9.71" outlineLevel="1"/>
    <col customWidth="1" hidden="1" min="14" max="14" width="7.29" outlineLevel="1"/>
    <col customWidth="1" hidden="1" min="15" max="15" width="6.71" outlineLevel="1"/>
    <col customWidth="1" min="16" max="16" width="13.71"/>
    <col customWidth="1" min="17" max="17" width="7.14"/>
    <col customWidth="1" hidden="1" min="18" max="18" width="9.71" outlineLevel="1"/>
    <col customWidth="1" hidden="1" min="19" max="19" width="7.29" outlineLevel="1"/>
    <col customWidth="1" hidden="1" min="20" max="20" width="6.71" outlineLevel="1"/>
    <col customWidth="1" min="21" max="21" width="13.71"/>
    <col customWidth="1" min="22" max="22" width="5.43"/>
    <col customWidth="1" hidden="1" min="23" max="23" width="7.57" outlineLevel="1"/>
    <col customWidth="1" hidden="1" min="24" max="24" width="7.29" outlineLevel="1"/>
    <col customWidth="1" hidden="1" min="25" max="25" width="6.71" outlineLevel="1"/>
    <col customWidth="1" min="26" max="26" width="9.71"/>
    <col customWidth="1" hidden="1" min="27" max="27" width="12.57"/>
  </cols>
  <sheetData>
    <row r="1" ht="25.5" customHeight="1">
      <c r="A1" s="239"/>
      <c r="C1" s="239" t="s">
        <v>1593</v>
      </c>
      <c r="D1" s="833">
        <v>45680.0</v>
      </c>
      <c r="E1" s="240"/>
      <c r="F1" s="243" t="s">
        <v>1594</v>
      </c>
      <c r="G1" s="247"/>
      <c r="H1" s="275"/>
      <c r="I1" s="239"/>
      <c r="J1" s="239"/>
      <c r="K1" s="243"/>
      <c r="L1" s="247"/>
      <c r="M1" s="275"/>
      <c r="N1" s="239"/>
      <c r="O1" s="239"/>
      <c r="P1" s="243"/>
      <c r="Q1" s="247"/>
      <c r="R1" s="275"/>
      <c r="S1" s="239"/>
      <c r="T1" s="239"/>
      <c r="U1" s="243"/>
      <c r="V1" s="247"/>
      <c r="W1" s="275"/>
      <c r="X1" s="239"/>
      <c r="Y1" s="239"/>
      <c r="Z1" s="239"/>
      <c r="AA1" s="239"/>
    </row>
    <row r="2" ht="41.25" customHeight="1">
      <c r="A2" s="75" t="s">
        <v>1012</v>
      </c>
      <c r="B2" s="75" t="s">
        <v>1438</v>
      </c>
      <c r="C2" s="75" t="s">
        <v>1439</v>
      </c>
      <c r="D2" s="825" t="s">
        <v>1595</v>
      </c>
      <c r="E2" s="249" t="s">
        <v>96</v>
      </c>
      <c r="F2" s="825" t="s">
        <v>1441</v>
      </c>
      <c r="G2" s="252" t="s">
        <v>100</v>
      </c>
      <c r="H2" s="251" t="s">
        <v>99</v>
      </c>
      <c r="I2" s="75" t="s">
        <v>466</v>
      </c>
      <c r="J2" s="75" t="s">
        <v>102</v>
      </c>
      <c r="K2" s="825" t="s">
        <v>1442</v>
      </c>
      <c r="L2" s="252" t="s">
        <v>100</v>
      </c>
      <c r="M2" s="251" t="s">
        <v>99</v>
      </c>
      <c r="N2" s="75" t="s">
        <v>466</v>
      </c>
      <c r="O2" s="75" t="s">
        <v>102</v>
      </c>
      <c r="P2" s="825" t="s">
        <v>1443</v>
      </c>
      <c r="Q2" s="252" t="s">
        <v>100</v>
      </c>
      <c r="R2" s="251" t="s">
        <v>99</v>
      </c>
      <c r="S2" s="75" t="s">
        <v>466</v>
      </c>
      <c r="T2" s="75" t="s">
        <v>102</v>
      </c>
      <c r="U2" s="825" t="s">
        <v>1444</v>
      </c>
      <c r="V2" s="252" t="s">
        <v>100</v>
      </c>
      <c r="W2" s="251" t="s">
        <v>99</v>
      </c>
      <c r="X2" s="75" t="s">
        <v>466</v>
      </c>
      <c r="Y2" s="75" t="s">
        <v>102</v>
      </c>
      <c r="Z2" s="75" t="s">
        <v>506</v>
      </c>
      <c r="AA2" s="75" t="s">
        <v>1445</v>
      </c>
    </row>
    <row r="3" ht="24.0" customHeight="1">
      <c r="A3" s="614"/>
      <c r="B3" s="615" t="str">
        <f>"Торты на заказ "&amp;COUNTA(B4:B33)&amp;" шт"</f>
        <v>Торты на заказ 30 шт</v>
      </c>
      <c r="C3" s="614"/>
      <c r="D3" s="695"/>
      <c r="E3" s="616"/>
      <c r="F3" s="695"/>
      <c r="G3" s="647">
        <f>AVERAGE(G4:G16)</f>
        <v>0.2103241403</v>
      </c>
      <c r="H3" s="618"/>
      <c r="I3" s="614"/>
      <c r="J3" s="614"/>
      <c r="K3" s="695"/>
      <c r="L3" s="255">
        <f>AVERAGE(L21:L24)</f>
        <v>0.1900342273</v>
      </c>
      <c r="M3" s="618"/>
      <c r="N3" s="614"/>
      <c r="O3" s="614"/>
      <c r="P3" s="695"/>
      <c r="Q3" s="255">
        <f>AVERAGE(Q21:Q24)</f>
        <v>0.1833629091</v>
      </c>
      <c r="R3" s="618"/>
      <c r="S3" s="614"/>
      <c r="T3" s="614"/>
      <c r="U3" s="695"/>
      <c r="V3" s="255">
        <f>AVERAGE(V21:V24)</f>
        <v>0.1864411111</v>
      </c>
      <c r="W3" s="618"/>
      <c r="X3" s="614"/>
      <c r="Y3" s="614"/>
      <c r="Z3" s="86"/>
      <c r="AA3" s="86" t="s">
        <v>112</v>
      </c>
    </row>
    <row r="4" ht="25.5" customHeight="1" outlineLevel="1">
      <c r="A4" s="826">
        <v>1.0</v>
      </c>
      <c r="B4" s="240" t="s">
        <v>1446</v>
      </c>
      <c r="C4" s="826" t="s">
        <v>1447</v>
      </c>
      <c r="D4" s="161">
        <v>2200.0</v>
      </c>
      <c r="E4" s="827">
        <v>1000.0</v>
      </c>
      <c r="F4" s="161">
        <f t="shared" ref="F4:F33" si="1">D4*1.5</f>
        <v>3300</v>
      </c>
      <c r="G4" s="828">
        <f t="shared" ref="G4:G33" si="2">H4/F4</f>
        <v>0.2117515152</v>
      </c>
      <c r="H4" s="834">
        <v>698.78</v>
      </c>
      <c r="I4" s="161">
        <f t="shared" ref="I4:I33" si="3">F4-H4</f>
        <v>2601.22</v>
      </c>
      <c r="J4" s="828">
        <f t="shared" ref="J4:J33" si="4">F4/H4-1</f>
        <v>3.722516386</v>
      </c>
      <c r="K4" s="161">
        <f t="shared" ref="K4:K33" si="5">D4*2</f>
        <v>4400</v>
      </c>
      <c r="L4" s="828">
        <f t="shared" ref="L4:L33" si="6">M4/K4</f>
        <v>0.201275</v>
      </c>
      <c r="M4" s="834">
        <v>885.61</v>
      </c>
      <c r="N4" s="161">
        <f t="shared" ref="N4:N33" si="7">K4-M4</f>
        <v>3514.39</v>
      </c>
      <c r="O4" s="828">
        <f t="shared" ref="O4:O33" si="8">K4/M4-1</f>
        <v>3.968326916</v>
      </c>
      <c r="P4" s="127" t="s">
        <v>1448</v>
      </c>
      <c r="Q4" s="127" t="s">
        <v>1448</v>
      </c>
      <c r="R4" s="835"/>
      <c r="S4" s="127" t="s">
        <v>1448</v>
      </c>
      <c r="T4" s="127" t="s">
        <v>1448</v>
      </c>
      <c r="U4" s="127" t="s">
        <v>1448</v>
      </c>
      <c r="V4" s="127" t="s">
        <v>1448</v>
      </c>
      <c r="W4" s="127"/>
      <c r="X4" s="127" t="s">
        <v>1448</v>
      </c>
      <c r="Y4" s="127" t="s">
        <v>1448</v>
      </c>
      <c r="Z4" s="826" t="s">
        <v>111</v>
      </c>
      <c r="AA4" s="826"/>
    </row>
    <row r="5" ht="25.5" customHeight="1" outlineLevel="1">
      <c r="A5" s="826">
        <v>2.0</v>
      </c>
      <c r="B5" s="239" t="s">
        <v>1449</v>
      </c>
      <c r="C5" s="826" t="s">
        <v>1447</v>
      </c>
      <c r="D5" s="161">
        <v>2200.0</v>
      </c>
      <c r="E5" s="827">
        <v>1000.0</v>
      </c>
      <c r="F5" s="161">
        <f t="shared" si="1"/>
        <v>3300</v>
      </c>
      <c r="G5" s="828">
        <f t="shared" si="2"/>
        <v>0.2224969697</v>
      </c>
      <c r="H5" s="829">
        <v>734.24</v>
      </c>
      <c r="I5" s="161">
        <f t="shared" si="3"/>
        <v>2565.76</v>
      </c>
      <c r="J5" s="828">
        <f t="shared" si="4"/>
        <v>3.494443234</v>
      </c>
      <c r="K5" s="161">
        <f t="shared" si="5"/>
        <v>4400</v>
      </c>
      <c r="L5" s="828">
        <f t="shared" si="6"/>
        <v>0.2091840909</v>
      </c>
      <c r="M5" s="834">
        <v>920.41</v>
      </c>
      <c r="N5" s="161">
        <f t="shared" si="7"/>
        <v>3479.59</v>
      </c>
      <c r="O5" s="828">
        <f t="shared" si="8"/>
        <v>3.780478265</v>
      </c>
      <c r="P5" s="161">
        <f t="shared" ref="P5:P18" si="9">D5*2.5</f>
        <v>5500</v>
      </c>
      <c r="Q5" s="828">
        <f t="shared" ref="Q5:Q18" si="10">R5/P5</f>
        <v>0.2022</v>
      </c>
      <c r="R5" s="836">
        <v>1112.1</v>
      </c>
      <c r="S5" s="161">
        <f t="shared" ref="S5:S18" si="11">P5-R5</f>
        <v>4387.9</v>
      </c>
      <c r="T5" s="828">
        <f t="shared" ref="T5:T18" si="12">P5/R5-1</f>
        <v>3.945598417</v>
      </c>
      <c r="U5" s="161">
        <f t="shared" ref="U5:U6" si="13">D5*3</f>
        <v>6600</v>
      </c>
      <c r="V5" s="828">
        <f t="shared" ref="V5:V6" si="14">W5/U5</f>
        <v>0.2024530303</v>
      </c>
      <c r="W5" s="834">
        <v>1336.19</v>
      </c>
      <c r="X5" s="161">
        <f t="shared" ref="X5:X6" si="15">U5-W5</f>
        <v>5263.81</v>
      </c>
      <c r="Y5" s="828">
        <f t="shared" ref="Y5:Y6" si="16">U5/W5-1</f>
        <v>3.939417298</v>
      </c>
      <c r="Z5" s="826" t="s">
        <v>111</v>
      </c>
      <c r="AA5" s="87"/>
    </row>
    <row r="6" ht="25.5" customHeight="1" outlineLevel="1">
      <c r="A6" s="826">
        <v>3.0</v>
      </c>
      <c r="B6" s="239" t="s">
        <v>1451</v>
      </c>
      <c r="C6" s="826" t="s">
        <v>1447</v>
      </c>
      <c r="D6" s="161">
        <v>2200.0</v>
      </c>
      <c r="E6" s="827">
        <v>1000.0</v>
      </c>
      <c r="F6" s="161">
        <f t="shared" si="1"/>
        <v>3300</v>
      </c>
      <c r="G6" s="828">
        <f t="shared" si="2"/>
        <v>0.2074878788</v>
      </c>
      <c r="H6" s="834">
        <v>684.71</v>
      </c>
      <c r="I6" s="161">
        <f t="shared" si="3"/>
        <v>2615.29</v>
      </c>
      <c r="J6" s="828">
        <f t="shared" si="4"/>
        <v>3.819558645</v>
      </c>
      <c r="K6" s="161">
        <f t="shared" si="5"/>
        <v>4400</v>
      </c>
      <c r="L6" s="828">
        <f t="shared" si="6"/>
        <v>0.1971136364</v>
      </c>
      <c r="M6" s="834">
        <v>867.3</v>
      </c>
      <c r="N6" s="161">
        <f t="shared" si="7"/>
        <v>3532.7</v>
      </c>
      <c r="O6" s="828">
        <f t="shared" si="8"/>
        <v>4.073215727</v>
      </c>
      <c r="P6" s="161">
        <f t="shared" si="9"/>
        <v>5500</v>
      </c>
      <c r="Q6" s="828">
        <f t="shared" si="10"/>
        <v>0.1904363636</v>
      </c>
      <c r="R6" s="836">
        <v>1047.4</v>
      </c>
      <c r="S6" s="161">
        <f t="shared" si="11"/>
        <v>4452.6</v>
      </c>
      <c r="T6" s="828">
        <f t="shared" si="12"/>
        <v>4.251097957</v>
      </c>
      <c r="U6" s="161">
        <f t="shared" si="13"/>
        <v>6600</v>
      </c>
      <c r="V6" s="828">
        <f t="shared" si="14"/>
        <v>0.1896363636</v>
      </c>
      <c r="W6" s="834">
        <v>1251.6</v>
      </c>
      <c r="X6" s="161">
        <f t="shared" si="15"/>
        <v>5348.4</v>
      </c>
      <c r="Y6" s="828">
        <f t="shared" si="16"/>
        <v>4.27325024</v>
      </c>
      <c r="Z6" s="826" t="s">
        <v>111</v>
      </c>
      <c r="AA6" s="826"/>
    </row>
    <row r="7" ht="25.5" customHeight="1" outlineLevel="1">
      <c r="A7" s="826">
        <v>4.0</v>
      </c>
      <c r="B7" s="239" t="s">
        <v>1452</v>
      </c>
      <c r="C7" s="826" t="s">
        <v>1447</v>
      </c>
      <c r="D7" s="161">
        <v>2500.0</v>
      </c>
      <c r="E7" s="827">
        <v>1000.0</v>
      </c>
      <c r="F7" s="161">
        <f t="shared" si="1"/>
        <v>3750</v>
      </c>
      <c r="G7" s="828">
        <f t="shared" si="2"/>
        <v>0.1915813333</v>
      </c>
      <c r="H7" s="829">
        <v>718.43</v>
      </c>
      <c r="I7" s="161">
        <f t="shared" si="3"/>
        <v>3031.57</v>
      </c>
      <c r="J7" s="828">
        <f t="shared" si="4"/>
        <v>4.219715212</v>
      </c>
      <c r="K7" s="161">
        <f t="shared" si="5"/>
        <v>5000</v>
      </c>
      <c r="L7" s="828">
        <f t="shared" si="6"/>
        <v>0.182968</v>
      </c>
      <c r="M7" s="834">
        <v>914.84</v>
      </c>
      <c r="N7" s="161">
        <f t="shared" si="7"/>
        <v>4085.16</v>
      </c>
      <c r="O7" s="828">
        <f t="shared" si="8"/>
        <v>4.465436579</v>
      </c>
      <c r="P7" s="161">
        <f t="shared" si="9"/>
        <v>6250</v>
      </c>
      <c r="Q7" s="828">
        <f t="shared" si="10"/>
        <v>0.174256</v>
      </c>
      <c r="R7" s="836">
        <v>1089.1</v>
      </c>
      <c r="S7" s="161">
        <f t="shared" si="11"/>
        <v>5160.9</v>
      </c>
      <c r="T7" s="828">
        <f t="shared" si="12"/>
        <v>4.738683316</v>
      </c>
      <c r="U7" s="127" t="s">
        <v>1448</v>
      </c>
      <c r="V7" s="127" t="s">
        <v>1448</v>
      </c>
      <c r="W7" s="127"/>
      <c r="X7" s="127" t="s">
        <v>1448</v>
      </c>
      <c r="Y7" s="127" t="s">
        <v>1448</v>
      </c>
      <c r="Z7" s="826" t="s">
        <v>111</v>
      </c>
      <c r="AA7" s="826"/>
    </row>
    <row r="8" ht="25.5" customHeight="1" outlineLevel="1">
      <c r="A8" s="826">
        <v>5.0</v>
      </c>
      <c r="B8" s="239" t="s">
        <v>1453</v>
      </c>
      <c r="C8" s="826" t="s">
        <v>1447</v>
      </c>
      <c r="D8" s="161">
        <v>2500.0</v>
      </c>
      <c r="E8" s="827">
        <v>1000.0</v>
      </c>
      <c r="F8" s="161">
        <f t="shared" si="1"/>
        <v>3750</v>
      </c>
      <c r="G8" s="828">
        <f t="shared" si="2"/>
        <v>0.196288</v>
      </c>
      <c r="H8" s="829">
        <v>736.08</v>
      </c>
      <c r="I8" s="161">
        <f t="shared" si="3"/>
        <v>3013.92</v>
      </c>
      <c r="J8" s="828">
        <f t="shared" si="4"/>
        <v>4.09455494</v>
      </c>
      <c r="K8" s="161">
        <f t="shared" si="5"/>
        <v>5000</v>
      </c>
      <c r="L8" s="828">
        <f t="shared" si="6"/>
        <v>0.183552</v>
      </c>
      <c r="M8" s="834">
        <v>917.76</v>
      </c>
      <c r="N8" s="161">
        <f t="shared" si="7"/>
        <v>4082.24</v>
      </c>
      <c r="O8" s="828">
        <f t="shared" si="8"/>
        <v>4.44804742</v>
      </c>
      <c r="P8" s="161">
        <f t="shared" si="9"/>
        <v>6250</v>
      </c>
      <c r="Q8" s="828">
        <f t="shared" si="10"/>
        <v>0.17552</v>
      </c>
      <c r="R8" s="836">
        <v>1097.0</v>
      </c>
      <c r="S8" s="161">
        <f t="shared" si="11"/>
        <v>5153</v>
      </c>
      <c r="T8" s="828">
        <f t="shared" si="12"/>
        <v>4.697356427</v>
      </c>
      <c r="U8" s="127" t="s">
        <v>1448</v>
      </c>
      <c r="V8" s="127" t="s">
        <v>1448</v>
      </c>
      <c r="W8" s="127"/>
      <c r="X8" s="127" t="s">
        <v>1448</v>
      </c>
      <c r="Y8" s="127" t="s">
        <v>1448</v>
      </c>
      <c r="Z8" s="826" t="s">
        <v>111</v>
      </c>
      <c r="AA8" s="826"/>
    </row>
    <row r="9" ht="25.5" customHeight="1" outlineLevel="1">
      <c r="A9" s="826">
        <v>6.0</v>
      </c>
      <c r="B9" s="239" t="s">
        <v>1454</v>
      </c>
      <c r="C9" s="826" t="s">
        <v>1447</v>
      </c>
      <c r="D9" s="161">
        <v>2950.0</v>
      </c>
      <c r="E9" s="827">
        <v>1000.0</v>
      </c>
      <c r="F9" s="161">
        <f t="shared" si="1"/>
        <v>4425</v>
      </c>
      <c r="G9" s="828">
        <f t="shared" si="2"/>
        <v>0.2060949153</v>
      </c>
      <c r="H9" s="829">
        <v>911.97</v>
      </c>
      <c r="I9" s="161">
        <f t="shared" si="3"/>
        <v>3513.03</v>
      </c>
      <c r="J9" s="828">
        <f t="shared" si="4"/>
        <v>3.852133294</v>
      </c>
      <c r="K9" s="161">
        <f t="shared" si="5"/>
        <v>5900</v>
      </c>
      <c r="L9" s="828">
        <f t="shared" si="6"/>
        <v>0.1952288136</v>
      </c>
      <c r="M9" s="834">
        <v>1151.85</v>
      </c>
      <c r="N9" s="161">
        <f t="shared" si="7"/>
        <v>4748.15</v>
      </c>
      <c r="O9" s="828">
        <f t="shared" si="8"/>
        <v>4.12219473</v>
      </c>
      <c r="P9" s="161">
        <f t="shared" si="9"/>
        <v>7375</v>
      </c>
      <c r="Q9" s="828">
        <f t="shared" si="10"/>
        <v>0.1905220339</v>
      </c>
      <c r="R9" s="836">
        <v>1405.1</v>
      </c>
      <c r="S9" s="161">
        <f t="shared" si="11"/>
        <v>5969.9</v>
      </c>
      <c r="T9" s="828">
        <f t="shared" si="12"/>
        <v>4.248736745</v>
      </c>
      <c r="U9" s="161">
        <f t="shared" ref="U9:U12" si="17">D9*3</f>
        <v>8850</v>
      </c>
      <c r="V9" s="828">
        <f t="shared" ref="V9:V12" si="18">W9/U9</f>
        <v>0.1903853107</v>
      </c>
      <c r="W9" s="834">
        <v>1684.91</v>
      </c>
      <c r="X9" s="161">
        <f t="shared" ref="X9:X12" si="19">U9-W9</f>
        <v>7165.09</v>
      </c>
      <c r="Y9" s="828">
        <f t="shared" ref="Y9:Y12" si="20">U9/W9-1</f>
        <v>4.252506069</v>
      </c>
      <c r="Z9" s="826" t="s">
        <v>111</v>
      </c>
      <c r="AA9" s="826"/>
    </row>
    <row r="10" ht="25.5" customHeight="1" outlineLevel="1">
      <c r="A10" s="826">
        <v>7.0</v>
      </c>
      <c r="B10" s="239" t="s">
        <v>1455</v>
      </c>
      <c r="C10" s="826" t="s">
        <v>1447</v>
      </c>
      <c r="D10" s="161">
        <v>2500.0</v>
      </c>
      <c r="E10" s="827">
        <v>1000.0</v>
      </c>
      <c r="F10" s="161">
        <f t="shared" si="1"/>
        <v>3750</v>
      </c>
      <c r="G10" s="828">
        <f t="shared" si="2"/>
        <v>0.1921706667</v>
      </c>
      <c r="H10" s="829">
        <v>720.64</v>
      </c>
      <c r="I10" s="161">
        <f t="shared" si="3"/>
        <v>3029.36</v>
      </c>
      <c r="J10" s="828">
        <f t="shared" si="4"/>
        <v>4.203707815</v>
      </c>
      <c r="K10" s="161">
        <f t="shared" si="5"/>
        <v>5000</v>
      </c>
      <c r="L10" s="828">
        <f t="shared" si="6"/>
        <v>0.181392</v>
      </c>
      <c r="M10" s="834">
        <v>906.96</v>
      </c>
      <c r="N10" s="161">
        <f t="shared" si="7"/>
        <v>4093.04</v>
      </c>
      <c r="O10" s="828">
        <f t="shared" si="8"/>
        <v>4.51292229</v>
      </c>
      <c r="P10" s="161">
        <f t="shared" si="9"/>
        <v>6250</v>
      </c>
      <c r="Q10" s="828">
        <f t="shared" si="10"/>
        <v>0.174864</v>
      </c>
      <c r="R10" s="836">
        <v>1092.9</v>
      </c>
      <c r="S10" s="161">
        <f t="shared" si="11"/>
        <v>5157.1</v>
      </c>
      <c r="T10" s="828">
        <f t="shared" si="12"/>
        <v>4.718729984</v>
      </c>
      <c r="U10" s="161">
        <f t="shared" si="17"/>
        <v>7500</v>
      </c>
      <c r="V10" s="828">
        <f t="shared" si="18"/>
        <v>0.1742813333</v>
      </c>
      <c r="W10" s="834">
        <v>1307.11</v>
      </c>
      <c r="X10" s="161">
        <f t="shared" si="19"/>
        <v>6192.89</v>
      </c>
      <c r="Y10" s="828">
        <f t="shared" si="20"/>
        <v>4.737849148</v>
      </c>
      <c r="Z10" s="826" t="s">
        <v>111</v>
      </c>
      <c r="AA10" s="826"/>
    </row>
    <row r="11" ht="25.5" customHeight="1" outlineLevel="1">
      <c r="A11" s="826">
        <v>8.0</v>
      </c>
      <c r="B11" s="239" t="s">
        <v>1456</v>
      </c>
      <c r="C11" s="826" t="s">
        <v>1447</v>
      </c>
      <c r="D11" s="161">
        <v>2500.0</v>
      </c>
      <c r="E11" s="827">
        <v>1000.0</v>
      </c>
      <c r="F11" s="161">
        <f t="shared" si="1"/>
        <v>3750</v>
      </c>
      <c r="G11" s="828">
        <f t="shared" si="2"/>
        <v>0.2128693333</v>
      </c>
      <c r="H11" s="829">
        <v>798.26</v>
      </c>
      <c r="I11" s="161">
        <f t="shared" si="3"/>
        <v>2951.74</v>
      </c>
      <c r="J11" s="828">
        <f t="shared" si="4"/>
        <v>3.697717536</v>
      </c>
      <c r="K11" s="161">
        <f t="shared" si="5"/>
        <v>5000</v>
      </c>
      <c r="L11" s="828">
        <f t="shared" si="6"/>
        <v>0.196916</v>
      </c>
      <c r="M11" s="834">
        <v>984.58</v>
      </c>
      <c r="N11" s="161">
        <f t="shared" si="7"/>
        <v>4015.42</v>
      </c>
      <c r="O11" s="828">
        <f t="shared" si="8"/>
        <v>4.078307502</v>
      </c>
      <c r="P11" s="161">
        <f t="shared" si="9"/>
        <v>6250</v>
      </c>
      <c r="Q11" s="828">
        <f t="shared" si="10"/>
        <v>0.18888</v>
      </c>
      <c r="R11" s="836">
        <v>1180.5</v>
      </c>
      <c r="S11" s="161">
        <f t="shared" si="11"/>
        <v>5069.5</v>
      </c>
      <c r="T11" s="828">
        <f t="shared" si="12"/>
        <v>4.294366794</v>
      </c>
      <c r="U11" s="161">
        <f t="shared" si="17"/>
        <v>7500</v>
      </c>
      <c r="V11" s="828">
        <f t="shared" si="18"/>
        <v>0.18686</v>
      </c>
      <c r="W11" s="834">
        <v>1401.45</v>
      </c>
      <c r="X11" s="161">
        <f t="shared" si="19"/>
        <v>6098.55</v>
      </c>
      <c r="Y11" s="828">
        <f t="shared" si="20"/>
        <v>4.351600128</v>
      </c>
      <c r="Z11" s="826" t="s">
        <v>111</v>
      </c>
      <c r="AA11" s="826"/>
    </row>
    <row r="12" ht="25.5" customHeight="1" outlineLevel="1">
      <c r="A12" s="826">
        <v>9.0</v>
      </c>
      <c r="B12" s="239" t="s">
        <v>1457</v>
      </c>
      <c r="C12" s="826" t="s">
        <v>1447</v>
      </c>
      <c r="D12" s="161">
        <v>2500.0</v>
      </c>
      <c r="E12" s="827">
        <v>1000.0</v>
      </c>
      <c r="F12" s="161">
        <f t="shared" si="1"/>
        <v>3750</v>
      </c>
      <c r="G12" s="828">
        <f t="shared" si="2"/>
        <v>0.2366346667</v>
      </c>
      <c r="H12" s="829">
        <v>887.38</v>
      </c>
      <c r="I12" s="161">
        <f t="shared" si="3"/>
        <v>2862.62</v>
      </c>
      <c r="J12" s="828">
        <f t="shared" si="4"/>
        <v>3.225923505</v>
      </c>
      <c r="K12" s="161">
        <f t="shared" si="5"/>
        <v>5000</v>
      </c>
      <c r="L12" s="828">
        <f t="shared" si="6"/>
        <v>0.223852</v>
      </c>
      <c r="M12" s="834">
        <v>1119.26</v>
      </c>
      <c r="N12" s="161">
        <f t="shared" si="7"/>
        <v>3880.74</v>
      </c>
      <c r="O12" s="828">
        <f t="shared" si="8"/>
        <v>3.467237282</v>
      </c>
      <c r="P12" s="161">
        <f t="shared" si="9"/>
        <v>6250</v>
      </c>
      <c r="Q12" s="828">
        <f t="shared" si="10"/>
        <v>0.217344</v>
      </c>
      <c r="R12" s="836">
        <v>1358.4</v>
      </c>
      <c r="S12" s="161">
        <f t="shared" si="11"/>
        <v>4891.6</v>
      </c>
      <c r="T12" s="828">
        <f t="shared" si="12"/>
        <v>3.601001178</v>
      </c>
      <c r="U12" s="161">
        <f t="shared" si="17"/>
        <v>7500</v>
      </c>
      <c r="V12" s="828">
        <f t="shared" si="18"/>
        <v>0.216688</v>
      </c>
      <c r="W12" s="834">
        <v>1625.16</v>
      </c>
      <c r="X12" s="161">
        <f t="shared" si="19"/>
        <v>5874.84</v>
      </c>
      <c r="Y12" s="828">
        <f t="shared" si="20"/>
        <v>3.614930222</v>
      </c>
      <c r="Z12" s="826" t="s">
        <v>111</v>
      </c>
      <c r="AA12" s="826"/>
    </row>
    <row r="13" ht="25.5" customHeight="1" outlineLevel="1">
      <c r="A13" s="826">
        <v>10.0</v>
      </c>
      <c r="B13" s="239" t="s">
        <v>1458</v>
      </c>
      <c r="C13" s="826" t="s">
        <v>1447</v>
      </c>
      <c r="D13" s="161">
        <v>2500.0</v>
      </c>
      <c r="E13" s="827">
        <v>1000.0</v>
      </c>
      <c r="F13" s="161">
        <f t="shared" si="1"/>
        <v>3750</v>
      </c>
      <c r="G13" s="828">
        <f t="shared" si="2"/>
        <v>0.2171733333</v>
      </c>
      <c r="H13" s="829">
        <v>814.4</v>
      </c>
      <c r="I13" s="161">
        <f t="shared" si="3"/>
        <v>2935.6</v>
      </c>
      <c r="J13" s="828">
        <f t="shared" si="4"/>
        <v>3.604616896</v>
      </c>
      <c r="K13" s="161">
        <f t="shared" si="5"/>
        <v>5000</v>
      </c>
      <c r="L13" s="828">
        <f t="shared" si="6"/>
        <v>0.205162</v>
      </c>
      <c r="M13" s="834">
        <v>1025.81</v>
      </c>
      <c r="N13" s="161">
        <f t="shared" si="7"/>
        <v>3974.19</v>
      </c>
      <c r="O13" s="828">
        <f t="shared" si="8"/>
        <v>3.874196976</v>
      </c>
      <c r="P13" s="161">
        <f t="shared" si="9"/>
        <v>6250</v>
      </c>
      <c r="Q13" s="828">
        <f t="shared" si="10"/>
        <v>0.198992</v>
      </c>
      <c r="R13" s="836">
        <v>1243.7</v>
      </c>
      <c r="S13" s="161">
        <f t="shared" si="11"/>
        <v>5006.3</v>
      </c>
      <c r="T13" s="828">
        <f t="shared" si="12"/>
        <v>4.025327651</v>
      </c>
      <c r="U13" s="127" t="s">
        <v>1448</v>
      </c>
      <c r="V13" s="127" t="s">
        <v>1448</v>
      </c>
      <c r="W13" s="127"/>
      <c r="X13" s="127" t="s">
        <v>1448</v>
      </c>
      <c r="Y13" s="127" t="s">
        <v>1448</v>
      </c>
      <c r="Z13" s="826" t="s">
        <v>111</v>
      </c>
      <c r="AA13" s="826"/>
    </row>
    <row r="14" ht="25.5" customHeight="1" outlineLevel="1">
      <c r="A14" s="826">
        <v>11.0</v>
      </c>
      <c r="B14" s="239" t="s">
        <v>1460</v>
      </c>
      <c r="C14" s="826" t="s">
        <v>1447</v>
      </c>
      <c r="D14" s="161">
        <v>2500.0</v>
      </c>
      <c r="E14" s="827">
        <v>1000.0</v>
      </c>
      <c r="F14" s="161">
        <f t="shared" si="1"/>
        <v>3750</v>
      </c>
      <c r="G14" s="828">
        <f t="shared" si="2"/>
        <v>0.2138373333</v>
      </c>
      <c r="H14" s="829">
        <v>801.89</v>
      </c>
      <c r="I14" s="161">
        <f t="shared" si="3"/>
        <v>2948.11</v>
      </c>
      <c r="J14" s="828">
        <f t="shared" si="4"/>
        <v>3.676451882</v>
      </c>
      <c r="K14" s="161">
        <f t="shared" si="5"/>
        <v>5000</v>
      </c>
      <c r="L14" s="828">
        <f t="shared" si="6"/>
        <v>0.203838</v>
      </c>
      <c r="M14" s="834">
        <v>1019.19</v>
      </c>
      <c r="N14" s="161">
        <f t="shared" si="7"/>
        <v>3980.81</v>
      </c>
      <c r="O14" s="828">
        <f t="shared" si="8"/>
        <v>3.905856612</v>
      </c>
      <c r="P14" s="161">
        <f t="shared" si="9"/>
        <v>6250</v>
      </c>
      <c r="Q14" s="828">
        <f t="shared" si="10"/>
        <v>0.198448</v>
      </c>
      <c r="R14" s="836">
        <v>1240.3</v>
      </c>
      <c r="S14" s="161">
        <f t="shared" si="11"/>
        <v>5009.7</v>
      </c>
      <c r="T14" s="828">
        <f t="shared" si="12"/>
        <v>4.039103443</v>
      </c>
      <c r="U14" s="161">
        <f>D14*3</f>
        <v>7500</v>
      </c>
      <c r="V14" s="828">
        <f>W14/U14</f>
        <v>0.198376</v>
      </c>
      <c r="W14" s="834">
        <v>1487.82</v>
      </c>
      <c r="X14" s="161">
        <f>U14-W14</f>
        <v>6012.18</v>
      </c>
      <c r="Y14" s="828">
        <f>U14/W14-1</f>
        <v>4.040932371</v>
      </c>
      <c r="Z14" s="826" t="s">
        <v>111</v>
      </c>
      <c r="AA14" s="826"/>
    </row>
    <row r="15" ht="25.5" customHeight="1" outlineLevel="1">
      <c r="A15" s="826">
        <v>12.0</v>
      </c>
      <c r="B15" s="239" t="s">
        <v>1461</v>
      </c>
      <c r="C15" s="826" t="s">
        <v>1447</v>
      </c>
      <c r="D15" s="161">
        <v>2200.0</v>
      </c>
      <c r="E15" s="827">
        <v>1000.0</v>
      </c>
      <c r="F15" s="161">
        <f t="shared" si="1"/>
        <v>3300</v>
      </c>
      <c r="G15" s="828">
        <f t="shared" si="2"/>
        <v>0.2268545455</v>
      </c>
      <c r="H15" s="829">
        <v>748.62</v>
      </c>
      <c r="I15" s="161">
        <f t="shared" si="3"/>
        <v>2551.38</v>
      </c>
      <c r="J15" s="828">
        <f t="shared" si="4"/>
        <v>3.408110924</v>
      </c>
      <c r="K15" s="161">
        <f t="shared" si="5"/>
        <v>4400</v>
      </c>
      <c r="L15" s="828">
        <f t="shared" si="6"/>
        <v>0.2188522727</v>
      </c>
      <c r="M15" s="834">
        <v>962.95</v>
      </c>
      <c r="N15" s="161">
        <f t="shared" si="7"/>
        <v>3437.05</v>
      </c>
      <c r="O15" s="828">
        <f t="shared" si="8"/>
        <v>3.569292279</v>
      </c>
      <c r="P15" s="161">
        <f t="shared" si="9"/>
        <v>5500</v>
      </c>
      <c r="Q15" s="828">
        <f t="shared" si="10"/>
        <v>0.2235272727</v>
      </c>
      <c r="R15" s="836">
        <v>1229.4</v>
      </c>
      <c r="S15" s="161">
        <f t="shared" si="11"/>
        <v>4270.6</v>
      </c>
      <c r="T15" s="828">
        <f t="shared" si="12"/>
        <v>3.473727021</v>
      </c>
      <c r="U15" s="127" t="s">
        <v>1448</v>
      </c>
      <c r="V15" s="127" t="s">
        <v>1448</v>
      </c>
      <c r="W15" s="127"/>
      <c r="X15" s="127" t="s">
        <v>1448</v>
      </c>
      <c r="Y15" s="127" t="s">
        <v>1448</v>
      </c>
      <c r="Z15" s="826" t="s">
        <v>111</v>
      </c>
      <c r="AA15" s="826"/>
    </row>
    <row r="16" ht="25.5" customHeight="1" outlineLevel="1">
      <c r="A16" s="826">
        <v>13.0</v>
      </c>
      <c r="B16" s="239" t="s">
        <v>1462</v>
      </c>
      <c r="C16" s="826" t="s">
        <v>1447</v>
      </c>
      <c r="D16" s="161">
        <v>2500.0</v>
      </c>
      <c r="E16" s="827">
        <v>1000.0</v>
      </c>
      <c r="F16" s="161">
        <f t="shared" si="1"/>
        <v>3750</v>
      </c>
      <c r="G16" s="828">
        <f t="shared" si="2"/>
        <v>0.1989733333</v>
      </c>
      <c r="H16" s="829">
        <v>746.15</v>
      </c>
      <c r="I16" s="161">
        <f t="shared" si="3"/>
        <v>3003.85</v>
      </c>
      <c r="J16" s="828">
        <f t="shared" si="4"/>
        <v>4.025799102</v>
      </c>
      <c r="K16" s="161">
        <f t="shared" si="5"/>
        <v>5000</v>
      </c>
      <c r="L16" s="828">
        <f t="shared" si="6"/>
        <v>0.187674</v>
      </c>
      <c r="M16" s="834">
        <v>938.37</v>
      </c>
      <c r="N16" s="161">
        <f t="shared" si="7"/>
        <v>4061.63</v>
      </c>
      <c r="O16" s="828">
        <f t="shared" si="8"/>
        <v>4.328388589</v>
      </c>
      <c r="P16" s="161">
        <f t="shared" si="9"/>
        <v>6250</v>
      </c>
      <c r="Q16" s="828">
        <f t="shared" si="10"/>
        <v>0.179696</v>
      </c>
      <c r="R16" s="836">
        <v>1123.1</v>
      </c>
      <c r="S16" s="161">
        <f t="shared" si="11"/>
        <v>5126.9</v>
      </c>
      <c r="T16" s="828">
        <f t="shared" si="12"/>
        <v>4.564954145</v>
      </c>
      <c r="U16" s="161">
        <f t="shared" ref="U16:U18" si="21">D16*3</f>
        <v>7500</v>
      </c>
      <c r="V16" s="828">
        <f t="shared" ref="V16:V18" si="22">W16/U16</f>
        <v>0.1761706667</v>
      </c>
      <c r="W16" s="834">
        <v>1321.28</v>
      </c>
      <c r="X16" s="161">
        <f t="shared" ref="X16:X18" si="23">U16-W16</f>
        <v>6178.72</v>
      </c>
      <c r="Y16" s="828">
        <f t="shared" ref="Y16:Y18" si="24">U16/W16-1</f>
        <v>4.676313877</v>
      </c>
      <c r="Z16" s="826" t="s">
        <v>111</v>
      </c>
      <c r="AA16" s="826"/>
    </row>
    <row r="17" ht="25.5" customHeight="1" outlineLevel="1">
      <c r="A17" s="826">
        <v>14.0</v>
      </c>
      <c r="B17" s="239" t="s">
        <v>1463</v>
      </c>
      <c r="C17" s="826" t="s">
        <v>1447</v>
      </c>
      <c r="D17" s="161">
        <v>2200.0</v>
      </c>
      <c r="E17" s="827">
        <v>1000.0</v>
      </c>
      <c r="F17" s="161">
        <f t="shared" si="1"/>
        <v>3300</v>
      </c>
      <c r="G17" s="828">
        <f t="shared" si="2"/>
        <v>0.2147606061</v>
      </c>
      <c r="H17" s="829">
        <v>708.71</v>
      </c>
      <c r="I17" s="161">
        <f t="shared" si="3"/>
        <v>2591.29</v>
      </c>
      <c r="J17" s="828">
        <f t="shared" si="4"/>
        <v>3.656347448</v>
      </c>
      <c r="K17" s="161">
        <f t="shared" si="5"/>
        <v>4400</v>
      </c>
      <c r="L17" s="828">
        <f t="shared" si="6"/>
        <v>0.2037454545</v>
      </c>
      <c r="M17" s="834">
        <v>896.48</v>
      </c>
      <c r="N17" s="161">
        <f t="shared" si="7"/>
        <v>3503.52</v>
      </c>
      <c r="O17" s="828">
        <f t="shared" si="8"/>
        <v>3.908084954</v>
      </c>
      <c r="P17" s="161">
        <f t="shared" si="9"/>
        <v>5500</v>
      </c>
      <c r="Q17" s="828">
        <f t="shared" si="10"/>
        <v>0.1976909091</v>
      </c>
      <c r="R17" s="836">
        <v>1087.3</v>
      </c>
      <c r="S17" s="161">
        <f t="shared" si="11"/>
        <v>4412.7</v>
      </c>
      <c r="T17" s="828">
        <f t="shared" si="12"/>
        <v>4.058401545</v>
      </c>
      <c r="U17" s="161">
        <f t="shared" si="21"/>
        <v>6600</v>
      </c>
      <c r="V17" s="828">
        <f t="shared" si="22"/>
        <v>0.1983833333</v>
      </c>
      <c r="W17" s="834">
        <v>1309.33</v>
      </c>
      <c r="X17" s="161">
        <f t="shared" si="23"/>
        <v>5290.67</v>
      </c>
      <c r="Y17" s="828">
        <f t="shared" si="24"/>
        <v>4.04074603</v>
      </c>
      <c r="Z17" s="826" t="s">
        <v>111</v>
      </c>
      <c r="AA17" s="826"/>
    </row>
    <row r="18" ht="25.5" customHeight="1" outlineLevel="1">
      <c r="A18" s="826">
        <v>15.0</v>
      </c>
      <c r="B18" s="239" t="s">
        <v>1464</v>
      </c>
      <c r="C18" s="826" t="s">
        <v>1447</v>
      </c>
      <c r="D18" s="161">
        <v>2200.0</v>
      </c>
      <c r="E18" s="827">
        <v>1000.0</v>
      </c>
      <c r="F18" s="161">
        <f t="shared" si="1"/>
        <v>3300</v>
      </c>
      <c r="G18" s="828">
        <f t="shared" si="2"/>
        <v>0.2193606061</v>
      </c>
      <c r="H18" s="829">
        <v>723.89</v>
      </c>
      <c r="I18" s="161">
        <f t="shared" si="3"/>
        <v>2576.11</v>
      </c>
      <c r="J18" s="828">
        <f t="shared" si="4"/>
        <v>3.55870367</v>
      </c>
      <c r="K18" s="161">
        <f t="shared" si="5"/>
        <v>4400</v>
      </c>
      <c r="L18" s="828">
        <f t="shared" si="6"/>
        <v>0.2084477273</v>
      </c>
      <c r="M18" s="834">
        <v>917.17</v>
      </c>
      <c r="N18" s="161">
        <f t="shared" si="7"/>
        <v>3482.83</v>
      </c>
      <c r="O18" s="828">
        <f t="shared" si="8"/>
        <v>3.79736581</v>
      </c>
      <c r="P18" s="161">
        <f t="shared" si="9"/>
        <v>5500</v>
      </c>
      <c r="Q18" s="828">
        <f t="shared" si="10"/>
        <v>0.2021454545</v>
      </c>
      <c r="R18" s="836">
        <v>1111.8</v>
      </c>
      <c r="S18" s="161">
        <f t="shared" si="11"/>
        <v>4388.2</v>
      </c>
      <c r="T18" s="828">
        <f t="shared" si="12"/>
        <v>3.946932902</v>
      </c>
      <c r="U18" s="161">
        <f t="shared" si="21"/>
        <v>6600</v>
      </c>
      <c r="V18" s="828">
        <f t="shared" si="22"/>
        <v>0.2019545455</v>
      </c>
      <c r="W18" s="834">
        <v>1332.9</v>
      </c>
      <c r="X18" s="161">
        <f t="shared" si="23"/>
        <v>5267.1</v>
      </c>
      <c r="Y18" s="828">
        <f t="shared" si="24"/>
        <v>3.951609273</v>
      </c>
      <c r="Z18" s="826" t="s">
        <v>111</v>
      </c>
      <c r="AA18" s="826"/>
    </row>
    <row r="19" ht="25.5" customHeight="1" outlineLevel="1">
      <c r="A19" s="826">
        <v>16.0</v>
      </c>
      <c r="B19" s="239" t="s">
        <v>1465</v>
      </c>
      <c r="C19" s="826" t="s">
        <v>1447</v>
      </c>
      <c r="D19" s="161">
        <v>2200.0</v>
      </c>
      <c r="E19" s="827">
        <v>1000.0</v>
      </c>
      <c r="F19" s="161">
        <f t="shared" si="1"/>
        <v>3300</v>
      </c>
      <c r="G19" s="828">
        <f t="shared" si="2"/>
        <v>0.2137333333</v>
      </c>
      <c r="H19" s="829">
        <v>705.32</v>
      </c>
      <c r="I19" s="161">
        <f t="shared" si="3"/>
        <v>2594.68</v>
      </c>
      <c r="J19" s="828">
        <f t="shared" si="4"/>
        <v>3.678727386</v>
      </c>
      <c r="K19" s="161">
        <f t="shared" si="5"/>
        <v>4400</v>
      </c>
      <c r="L19" s="828">
        <f t="shared" si="6"/>
        <v>0.2022045455</v>
      </c>
      <c r="M19" s="834">
        <v>889.7</v>
      </c>
      <c r="N19" s="161">
        <f t="shared" si="7"/>
        <v>3510.3</v>
      </c>
      <c r="O19" s="828">
        <f t="shared" si="8"/>
        <v>3.945487243</v>
      </c>
      <c r="P19" s="127" t="s">
        <v>1448</v>
      </c>
      <c r="Q19" s="127" t="s">
        <v>1448</v>
      </c>
      <c r="R19" s="837"/>
      <c r="S19" s="127" t="s">
        <v>1448</v>
      </c>
      <c r="T19" s="127" t="s">
        <v>1448</v>
      </c>
      <c r="U19" s="127" t="s">
        <v>1448</v>
      </c>
      <c r="V19" s="127" t="s">
        <v>1448</v>
      </c>
      <c r="W19" s="127"/>
      <c r="X19" s="127" t="s">
        <v>1448</v>
      </c>
      <c r="Y19" s="127" t="s">
        <v>1448</v>
      </c>
      <c r="Z19" s="826" t="s">
        <v>111</v>
      </c>
      <c r="AA19" s="826"/>
    </row>
    <row r="20" ht="25.5" customHeight="1" outlineLevel="1">
      <c r="A20" s="826">
        <v>17.0</v>
      </c>
      <c r="B20" s="239" t="s">
        <v>1467</v>
      </c>
      <c r="C20" s="826" t="s">
        <v>1447</v>
      </c>
      <c r="D20" s="161">
        <v>2500.0</v>
      </c>
      <c r="E20" s="827">
        <v>1000.0</v>
      </c>
      <c r="F20" s="161">
        <f t="shared" si="1"/>
        <v>3750</v>
      </c>
      <c r="G20" s="828">
        <f t="shared" si="2"/>
        <v>0.2113546667</v>
      </c>
      <c r="H20" s="829">
        <v>792.58</v>
      </c>
      <c r="I20" s="161">
        <f t="shared" si="3"/>
        <v>2957.42</v>
      </c>
      <c r="J20" s="828">
        <f t="shared" si="4"/>
        <v>3.731383583</v>
      </c>
      <c r="K20" s="161">
        <f t="shared" si="5"/>
        <v>5000</v>
      </c>
      <c r="L20" s="828">
        <f t="shared" si="6"/>
        <v>0.194258</v>
      </c>
      <c r="M20" s="834">
        <v>971.29</v>
      </c>
      <c r="N20" s="161">
        <f t="shared" si="7"/>
        <v>4028.71</v>
      </c>
      <c r="O20" s="828">
        <f t="shared" si="8"/>
        <v>4.147793141</v>
      </c>
      <c r="P20" s="161">
        <f t="shared" ref="P20:P31" si="25">D20*2.5</f>
        <v>6250</v>
      </c>
      <c r="Q20" s="828">
        <f t="shared" ref="Q20:Q31" si="26">R20/P20</f>
        <v>0.192848</v>
      </c>
      <c r="R20" s="836">
        <v>1205.3</v>
      </c>
      <c r="S20" s="161">
        <f t="shared" ref="S20:S31" si="27">P20-R20</f>
        <v>5044.7</v>
      </c>
      <c r="T20" s="828">
        <f t="shared" ref="T20:T31" si="28">P20/R20-1</f>
        <v>4.185431013</v>
      </c>
      <c r="U20" s="127" t="s">
        <v>1448</v>
      </c>
      <c r="V20" s="127" t="s">
        <v>1448</v>
      </c>
      <c r="W20" s="127"/>
      <c r="X20" s="127" t="s">
        <v>1448</v>
      </c>
      <c r="Y20" s="127" t="s">
        <v>1448</v>
      </c>
      <c r="Z20" s="826" t="s">
        <v>111</v>
      </c>
      <c r="AA20" s="826"/>
    </row>
    <row r="21" ht="25.5" customHeight="1" outlineLevel="1">
      <c r="A21" s="826">
        <v>18.0</v>
      </c>
      <c r="B21" s="239" t="s">
        <v>1468</v>
      </c>
      <c r="C21" s="826" t="s">
        <v>1447</v>
      </c>
      <c r="D21" s="161">
        <v>2500.0</v>
      </c>
      <c r="E21" s="827">
        <v>1000.0</v>
      </c>
      <c r="F21" s="161">
        <f t="shared" si="1"/>
        <v>3750</v>
      </c>
      <c r="G21" s="828">
        <f t="shared" si="2"/>
        <v>0.207928</v>
      </c>
      <c r="H21" s="829">
        <v>779.73</v>
      </c>
      <c r="I21" s="161">
        <f t="shared" si="3"/>
        <v>2970.27</v>
      </c>
      <c r="J21" s="828">
        <f t="shared" si="4"/>
        <v>3.809357085</v>
      </c>
      <c r="K21" s="161">
        <f t="shared" si="5"/>
        <v>5000</v>
      </c>
      <c r="L21" s="828">
        <f t="shared" si="6"/>
        <v>0.195478</v>
      </c>
      <c r="M21" s="834">
        <v>977.39</v>
      </c>
      <c r="N21" s="161">
        <f t="shared" si="7"/>
        <v>4022.61</v>
      </c>
      <c r="O21" s="828">
        <f t="shared" si="8"/>
        <v>4.11566519</v>
      </c>
      <c r="P21" s="161">
        <f t="shared" si="25"/>
        <v>6250</v>
      </c>
      <c r="Q21" s="828">
        <f t="shared" si="26"/>
        <v>0.187616</v>
      </c>
      <c r="R21" s="836">
        <v>1172.6</v>
      </c>
      <c r="S21" s="161">
        <f t="shared" si="27"/>
        <v>5077.4</v>
      </c>
      <c r="T21" s="828">
        <f t="shared" si="28"/>
        <v>4.330035818</v>
      </c>
      <c r="U21" s="161">
        <f>D21*3</f>
        <v>7500</v>
      </c>
      <c r="V21" s="828">
        <f>W21/U21</f>
        <v>0.1871613333</v>
      </c>
      <c r="W21" s="834">
        <v>1403.71</v>
      </c>
      <c r="X21" s="161">
        <f>U21-W21</f>
        <v>6096.29</v>
      </c>
      <c r="Y21" s="828">
        <f>U21/W21-1</f>
        <v>4.34298395</v>
      </c>
      <c r="Z21" s="826" t="s">
        <v>111</v>
      </c>
      <c r="AA21" s="826"/>
    </row>
    <row r="22" ht="25.5" customHeight="1" outlineLevel="1">
      <c r="A22" s="826">
        <v>19.0</v>
      </c>
      <c r="B22" s="239" t="s">
        <v>1469</v>
      </c>
      <c r="C22" s="826" t="s">
        <v>1447</v>
      </c>
      <c r="D22" s="161">
        <v>2500.0</v>
      </c>
      <c r="E22" s="827">
        <v>1000.0</v>
      </c>
      <c r="F22" s="161">
        <f t="shared" si="1"/>
        <v>3750</v>
      </c>
      <c r="G22" s="828">
        <f t="shared" si="2"/>
        <v>0.1839466667</v>
      </c>
      <c r="H22" s="829">
        <v>689.8</v>
      </c>
      <c r="I22" s="161">
        <f t="shared" si="3"/>
        <v>3060.2</v>
      </c>
      <c r="J22" s="828">
        <f t="shared" si="4"/>
        <v>4.436358365</v>
      </c>
      <c r="K22" s="161">
        <f t="shared" si="5"/>
        <v>5000</v>
      </c>
      <c r="L22" s="828">
        <f t="shared" si="6"/>
        <v>0.175652</v>
      </c>
      <c r="M22" s="834">
        <v>878.26</v>
      </c>
      <c r="N22" s="161">
        <f t="shared" si="7"/>
        <v>4121.74</v>
      </c>
      <c r="O22" s="828">
        <f t="shared" si="8"/>
        <v>4.693074944</v>
      </c>
      <c r="P22" s="161">
        <f t="shared" si="25"/>
        <v>6250</v>
      </c>
      <c r="Q22" s="828">
        <f t="shared" si="26"/>
        <v>0.1704</v>
      </c>
      <c r="R22" s="836">
        <v>1065.0</v>
      </c>
      <c r="S22" s="161">
        <f t="shared" si="27"/>
        <v>5185</v>
      </c>
      <c r="T22" s="828">
        <f t="shared" si="28"/>
        <v>4.868544601</v>
      </c>
      <c r="U22" s="127" t="s">
        <v>1448</v>
      </c>
      <c r="V22" s="127" t="s">
        <v>1448</v>
      </c>
      <c r="W22" s="127"/>
      <c r="X22" s="127" t="s">
        <v>1448</v>
      </c>
      <c r="Y22" s="127" t="s">
        <v>1448</v>
      </c>
      <c r="Z22" s="826" t="s">
        <v>111</v>
      </c>
      <c r="AA22" s="826"/>
    </row>
    <row r="23" ht="25.5" customHeight="1" outlineLevel="1">
      <c r="A23" s="826">
        <v>20.0</v>
      </c>
      <c r="B23" s="239" t="s">
        <v>1470</v>
      </c>
      <c r="C23" s="826" t="s">
        <v>1447</v>
      </c>
      <c r="D23" s="161">
        <v>2200.0</v>
      </c>
      <c r="E23" s="827">
        <v>1000.0</v>
      </c>
      <c r="F23" s="161">
        <f t="shared" si="1"/>
        <v>3300</v>
      </c>
      <c r="G23" s="828">
        <f t="shared" si="2"/>
        <v>0.2128666667</v>
      </c>
      <c r="H23" s="829">
        <v>702.46</v>
      </c>
      <c r="I23" s="161">
        <f t="shared" si="3"/>
        <v>2597.54</v>
      </c>
      <c r="J23" s="828">
        <f t="shared" si="4"/>
        <v>3.697776386</v>
      </c>
      <c r="K23" s="161">
        <f t="shared" si="5"/>
        <v>4400</v>
      </c>
      <c r="L23" s="828">
        <f t="shared" si="6"/>
        <v>0.2009409091</v>
      </c>
      <c r="M23" s="834">
        <v>884.14</v>
      </c>
      <c r="N23" s="161">
        <f t="shared" si="7"/>
        <v>3515.86</v>
      </c>
      <c r="O23" s="828">
        <f t="shared" si="8"/>
        <v>3.976587418</v>
      </c>
      <c r="P23" s="161">
        <f t="shared" si="25"/>
        <v>5500</v>
      </c>
      <c r="Q23" s="828">
        <f t="shared" si="26"/>
        <v>0.1951636364</v>
      </c>
      <c r="R23" s="836">
        <v>1073.4</v>
      </c>
      <c r="S23" s="161">
        <f t="shared" si="27"/>
        <v>4426.6</v>
      </c>
      <c r="T23" s="828">
        <f t="shared" si="28"/>
        <v>4.123905347</v>
      </c>
      <c r="U23" s="161">
        <f t="shared" ref="U23:U26" si="29">D23*3</f>
        <v>6600</v>
      </c>
      <c r="V23" s="828">
        <f t="shared" ref="V23:V26" si="30">W23/U23</f>
        <v>0.1935166667</v>
      </c>
      <c r="W23" s="834">
        <v>1277.21</v>
      </c>
      <c r="X23" s="161">
        <f t="shared" ref="X23:X26" si="31">U23-W23</f>
        <v>5322.79</v>
      </c>
      <c r="Y23" s="828">
        <f t="shared" ref="Y23:Y26" si="32">U23/W23-1</f>
        <v>4.167513565</v>
      </c>
      <c r="Z23" s="826" t="s">
        <v>111</v>
      </c>
      <c r="AA23" s="826"/>
    </row>
    <row r="24" ht="25.5" customHeight="1" outlineLevel="1">
      <c r="A24" s="826">
        <v>21.0</v>
      </c>
      <c r="B24" s="239" t="s">
        <v>1472</v>
      </c>
      <c r="C24" s="826" t="s">
        <v>1447</v>
      </c>
      <c r="D24" s="161">
        <v>2500.0</v>
      </c>
      <c r="E24" s="827">
        <v>1000.0</v>
      </c>
      <c r="F24" s="161">
        <f t="shared" si="1"/>
        <v>3750</v>
      </c>
      <c r="G24" s="828">
        <f t="shared" si="2"/>
        <v>0.2013573333</v>
      </c>
      <c r="H24" s="829">
        <v>755.09</v>
      </c>
      <c r="I24" s="161">
        <f t="shared" si="3"/>
        <v>2994.91</v>
      </c>
      <c r="J24" s="828">
        <f t="shared" si="4"/>
        <v>3.966295408</v>
      </c>
      <c r="K24" s="161">
        <f t="shared" si="5"/>
        <v>5000</v>
      </c>
      <c r="L24" s="828">
        <f t="shared" si="6"/>
        <v>0.188066</v>
      </c>
      <c r="M24" s="834">
        <v>940.33</v>
      </c>
      <c r="N24" s="161">
        <f t="shared" si="7"/>
        <v>4059.67</v>
      </c>
      <c r="O24" s="828">
        <f t="shared" si="8"/>
        <v>4.317282231</v>
      </c>
      <c r="P24" s="161">
        <f t="shared" si="25"/>
        <v>6250</v>
      </c>
      <c r="Q24" s="828">
        <f t="shared" si="26"/>
        <v>0.180272</v>
      </c>
      <c r="R24" s="836">
        <v>1126.7</v>
      </c>
      <c r="S24" s="161">
        <f t="shared" si="27"/>
        <v>5123.3</v>
      </c>
      <c r="T24" s="828">
        <f t="shared" si="28"/>
        <v>4.547173161</v>
      </c>
      <c r="U24" s="161">
        <f t="shared" si="29"/>
        <v>7500</v>
      </c>
      <c r="V24" s="828">
        <f t="shared" si="30"/>
        <v>0.1786453333</v>
      </c>
      <c r="W24" s="834">
        <v>1339.84</v>
      </c>
      <c r="X24" s="161">
        <f t="shared" si="31"/>
        <v>6160.16</v>
      </c>
      <c r="Y24" s="828">
        <f t="shared" si="32"/>
        <v>4.597683305</v>
      </c>
      <c r="Z24" s="826" t="s">
        <v>111</v>
      </c>
      <c r="AA24" s="87"/>
    </row>
    <row r="25" ht="25.5" customHeight="1" outlineLevel="1">
      <c r="A25" s="826">
        <v>22.0</v>
      </c>
      <c r="B25" s="239" t="s">
        <v>1473</v>
      </c>
      <c r="C25" s="826" t="s">
        <v>1447</v>
      </c>
      <c r="D25" s="161">
        <v>2500.0</v>
      </c>
      <c r="E25" s="827">
        <v>1000.0</v>
      </c>
      <c r="F25" s="161">
        <f t="shared" si="1"/>
        <v>3750</v>
      </c>
      <c r="G25" s="828">
        <f t="shared" si="2"/>
        <v>0.21168</v>
      </c>
      <c r="H25" s="829">
        <v>793.8</v>
      </c>
      <c r="I25" s="161">
        <f t="shared" si="3"/>
        <v>2956.2</v>
      </c>
      <c r="J25" s="828">
        <f t="shared" si="4"/>
        <v>3.724111867</v>
      </c>
      <c r="K25" s="161">
        <f t="shared" si="5"/>
        <v>5000</v>
      </c>
      <c r="L25" s="828">
        <f t="shared" si="6"/>
        <v>0.197706</v>
      </c>
      <c r="M25" s="834">
        <v>988.53</v>
      </c>
      <c r="N25" s="161">
        <f t="shared" si="7"/>
        <v>4011.47</v>
      </c>
      <c r="O25" s="828">
        <f t="shared" si="8"/>
        <v>4.058015437</v>
      </c>
      <c r="P25" s="161">
        <f t="shared" si="25"/>
        <v>6250</v>
      </c>
      <c r="Q25" s="828">
        <f t="shared" si="26"/>
        <v>0.18984</v>
      </c>
      <c r="R25" s="836">
        <v>1186.5</v>
      </c>
      <c r="S25" s="161">
        <f t="shared" si="27"/>
        <v>5063.5</v>
      </c>
      <c r="T25" s="828">
        <f t="shared" si="28"/>
        <v>4.267593763</v>
      </c>
      <c r="U25" s="161">
        <f t="shared" si="29"/>
        <v>7500</v>
      </c>
      <c r="V25" s="828">
        <f t="shared" si="30"/>
        <v>0.1880693333</v>
      </c>
      <c r="W25" s="834">
        <v>1410.52</v>
      </c>
      <c r="X25" s="161">
        <f t="shared" si="31"/>
        <v>6089.48</v>
      </c>
      <c r="Y25" s="828">
        <f t="shared" si="32"/>
        <v>4.317187987</v>
      </c>
      <c r="Z25" s="826" t="s">
        <v>111</v>
      </c>
      <c r="AA25" s="87"/>
    </row>
    <row r="26" ht="25.5" customHeight="1" outlineLevel="1">
      <c r="A26" s="826">
        <v>23.0</v>
      </c>
      <c r="B26" s="239" t="s">
        <v>1474</v>
      </c>
      <c r="C26" s="826" t="s">
        <v>1447</v>
      </c>
      <c r="D26" s="161">
        <v>2950.0</v>
      </c>
      <c r="E26" s="827">
        <v>1000.0</v>
      </c>
      <c r="F26" s="161">
        <f t="shared" si="1"/>
        <v>4425</v>
      </c>
      <c r="G26" s="828">
        <f t="shared" si="2"/>
        <v>0.2061694915</v>
      </c>
      <c r="H26" s="829">
        <v>912.3</v>
      </c>
      <c r="I26" s="161">
        <f t="shared" si="3"/>
        <v>3512.7</v>
      </c>
      <c r="J26" s="828">
        <f t="shared" si="4"/>
        <v>3.850378165</v>
      </c>
      <c r="K26" s="161">
        <f t="shared" si="5"/>
        <v>5900</v>
      </c>
      <c r="L26" s="828">
        <f t="shared" si="6"/>
        <v>0.195940678</v>
      </c>
      <c r="M26" s="834">
        <v>1156.05</v>
      </c>
      <c r="N26" s="161">
        <f t="shared" si="7"/>
        <v>4743.95</v>
      </c>
      <c r="O26" s="828">
        <f t="shared" si="8"/>
        <v>4.103585485</v>
      </c>
      <c r="P26" s="161">
        <f t="shared" si="25"/>
        <v>7375</v>
      </c>
      <c r="Q26" s="828">
        <f t="shared" si="26"/>
        <v>0.1911864407</v>
      </c>
      <c r="R26" s="836">
        <v>1410.0</v>
      </c>
      <c r="S26" s="161">
        <f t="shared" si="27"/>
        <v>5965</v>
      </c>
      <c r="T26" s="828">
        <f t="shared" si="28"/>
        <v>4.230496454</v>
      </c>
      <c r="U26" s="161">
        <f t="shared" si="29"/>
        <v>8850</v>
      </c>
      <c r="V26" s="828">
        <f t="shared" si="30"/>
        <v>0.1921084746</v>
      </c>
      <c r="W26" s="834">
        <v>1700.16</v>
      </c>
      <c r="X26" s="161">
        <f t="shared" si="31"/>
        <v>7149.84</v>
      </c>
      <c r="Y26" s="828">
        <f t="shared" si="32"/>
        <v>4.205392434</v>
      </c>
      <c r="Z26" s="826" t="s">
        <v>111</v>
      </c>
      <c r="AA26" s="87"/>
    </row>
    <row r="27" ht="25.5" customHeight="1" outlineLevel="1">
      <c r="A27" s="826">
        <v>24.0</v>
      </c>
      <c r="B27" s="239" t="s">
        <v>1475</v>
      </c>
      <c r="C27" s="826" t="s">
        <v>1447</v>
      </c>
      <c r="D27" s="161">
        <v>2500.0</v>
      </c>
      <c r="E27" s="827">
        <v>1000.0</v>
      </c>
      <c r="F27" s="161">
        <f t="shared" si="1"/>
        <v>3750</v>
      </c>
      <c r="G27" s="828">
        <f t="shared" si="2"/>
        <v>0.2212186667</v>
      </c>
      <c r="H27" s="829">
        <v>829.57</v>
      </c>
      <c r="I27" s="161">
        <f t="shared" si="3"/>
        <v>2920.43</v>
      </c>
      <c r="J27" s="828">
        <f t="shared" si="4"/>
        <v>3.52041419</v>
      </c>
      <c r="K27" s="161">
        <f t="shared" si="5"/>
        <v>5000</v>
      </c>
      <c r="L27" s="828">
        <f t="shared" si="6"/>
        <v>0.203298</v>
      </c>
      <c r="M27" s="834">
        <v>1016.49</v>
      </c>
      <c r="N27" s="161">
        <f t="shared" si="7"/>
        <v>3983.51</v>
      </c>
      <c r="O27" s="828">
        <f t="shared" si="8"/>
        <v>3.918887544</v>
      </c>
      <c r="P27" s="161">
        <f t="shared" si="25"/>
        <v>6250</v>
      </c>
      <c r="Q27" s="828">
        <f t="shared" si="26"/>
        <v>0.197632</v>
      </c>
      <c r="R27" s="836">
        <v>1235.2</v>
      </c>
      <c r="S27" s="161">
        <f t="shared" si="27"/>
        <v>5014.8</v>
      </c>
      <c r="T27" s="828">
        <f t="shared" si="28"/>
        <v>4.059909326</v>
      </c>
      <c r="U27" s="127" t="s">
        <v>1448</v>
      </c>
      <c r="V27" s="127" t="s">
        <v>1448</v>
      </c>
      <c r="W27" s="127"/>
      <c r="X27" s="127" t="s">
        <v>1448</v>
      </c>
      <c r="Y27" s="127" t="s">
        <v>1448</v>
      </c>
      <c r="Z27" s="826" t="s">
        <v>111</v>
      </c>
      <c r="AA27" s="87"/>
    </row>
    <row r="28" ht="25.5" customHeight="1" outlineLevel="1">
      <c r="A28" s="826">
        <v>25.0</v>
      </c>
      <c r="B28" s="239" t="s">
        <v>1476</v>
      </c>
      <c r="C28" s="826" t="s">
        <v>1447</v>
      </c>
      <c r="D28" s="161">
        <v>2200.0</v>
      </c>
      <c r="E28" s="827">
        <v>1000.0</v>
      </c>
      <c r="F28" s="161">
        <f t="shared" si="1"/>
        <v>3300</v>
      </c>
      <c r="G28" s="828">
        <f t="shared" si="2"/>
        <v>0.2128454545</v>
      </c>
      <c r="H28" s="829">
        <v>702.39</v>
      </c>
      <c r="I28" s="161">
        <f t="shared" si="3"/>
        <v>2597.61</v>
      </c>
      <c r="J28" s="828">
        <f t="shared" si="4"/>
        <v>3.698244565</v>
      </c>
      <c r="K28" s="161">
        <f t="shared" si="5"/>
        <v>4400</v>
      </c>
      <c r="L28" s="828">
        <f t="shared" si="6"/>
        <v>0.2019272727</v>
      </c>
      <c r="M28" s="834">
        <v>888.48</v>
      </c>
      <c r="N28" s="161">
        <f t="shared" si="7"/>
        <v>3511.52</v>
      </c>
      <c r="O28" s="828">
        <f t="shared" si="8"/>
        <v>3.952278048</v>
      </c>
      <c r="P28" s="161">
        <f t="shared" si="25"/>
        <v>5500</v>
      </c>
      <c r="Q28" s="828">
        <f t="shared" si="26"/>
        <v>0.1952363636</v>
      </c>
      <c r="R28" s="836">
        <v>1073.8</v>
      </c>
      <c r="S28" s="161">
        <f t="shared" si="27"/>
        <v>4426.2</v>
      </c>
      <c r="T28" s="828">
        <f t="shared" si="28"/>
        <v>4.121996647</v>
      </c>
      <c r="U28" s="161">
        <f t="shared" ref="U28:U31" si="33">D28*3</f>
        <v>6600</v>
      </c>
      <c r="V28" s="828">
        <f t="shared" ref="V28:V31" si="34">W28/U28</f>
        <v>0.1953121212</v>
      </c>
      <c r="W28" s="834">
        <v>1289.06</v>
      </c>
      <c r="X28" s="161">
        <f t="shared" ref="X28:X31" si="35">U28-W28</f>
        <v>5310.94</v>
      </c>
      <c r="Y28" s="828">
        <f t="shared" ref="Y28:Y31" si="36">U28/W28-1</f>
        <v>4.12000993</v>
      </c>
      <c r="Z28" s="826" t="s">
        <v>111</v>
      </c>
      <c r="AA28" s="87"/>
    </row>
    <row r="29" ht="25.5" customHeight="1" outlineLevel="1">
      <c r="A29" s="826">
        <v>26.0</v>
      </c>
      <c r="B29" s="239" t="s">
        <v>1596</v>
      </c>
      <c r="C29" s="826" t="s">
        <v>1447</v>
      </c>
      <c r="D29" s="161">
        <v>2200.0</v>
      </c>
      <c r="E29" s="827">
        <v>1000.0</v>
      </c>
      <c r="F29" s="161">
        <f t="shared" si="1"/>
        <v>3300</v>
      </c>
      <c r="G29" s="828">
        <f t="shared" si="2"/>
        <v>0.2343363636</v>
      </c>
      <c r="H29" s="829">
        <v>773.31</v>
      </c>
      <c r="I29" s="161">
        <f t="shared" si="3"/>
        <v>2526.69</v>
      </c>
      <c r="J29" s="828">
        <f t="shared" si="4"/>
        <v>3.267370136</v>
      </c>
      <c r="K29" s="161">
        <f t="shared" si="5"/>
        <v>4400</v>
      </c>
      <c r="L29" s="828">
        <f t="shared" si="6"/>
        <v>0.2201840909</v>
      </c>
      <c r="M29" s="834">
        <v>968.81</v>
      </c>
      <c r="N29" s="161">
        <f t="shared" si="7"/>
        <v>3431.19</v>
      </c>
      <c r="O29" s="828">
        <f t="shared" si="8"/>
        <v>3.541654194</v>
      </c>
      <c r="P29" s="161">
        <f t="shared" si="25"/>
        <v>5500</v>
      </c>
      <c r="Q29" s="828">
        <f t="shared" si="26"/>
        <v>0.2120545455</v>
      </c>
      <c r="R29" s="836">
        <v>1166.3</v>
      </c>
      <c r="S29" s="161">
        <f t="shared" si="27"/>
        <v>4333.7</v>
      </c>
      <c r="T29" s="828">
        <f t="shared" si="28"/>
        <v>3.715767813</v>
      </c>
      <c r="U29" s="161">
        <f t="shared" si="33"/>
        <v>6600</v>
      </c>
      <c r="V29" s="828">
        <f t="shared" si="34"/>
        <v>0.2131287879</v>
      </c>
      <c r="W29" s="834">
        <v>1406.65</v>
      </c>
      <c r="X29" s="161">
        <f t="shared" si="35"/>
        <v>5193.35</v>
      </c>
      <c r="Y29" s="828">
        <f t="shared" si="36"/>
        <v>3.69199872</v>
      </c>
      <c r="Z29" s="826" t="s">
        <v>111</v>
      </c>
      <c r="AA29" s="826"/>
    </row>
    <row r="30" ht="25.5" customHeight="1" outlineLevel="1">
      <c r="A30" s="826">
        <v>27.0</v>
      </c>
      <c r="B30" s="239" t="s">
        <v>1479</v>
      </c>
      <c r="C30" s="826" t="s">
        <v>1447</v>
      </c>
      <c r="D30" s="161">
        <v>2200.0</v>
      </c>
      <c r="E30" s="827">
        <v>1000.0</v>
      </c>
      <c r="F30" s="161">
        <f t="shared" si="1"/>
        <v>3300</v>
      </c>
      <c r="G30" s="828">
        <f t="shared" si="2"/>
        <v>0.2061757576</v>
      </c>
      <c r="H30" s="829">
        <v>680.38</v>
      </c>
      <c r="I30" s="161">
        <f t="shared" si="3"/>
        <v>2619.62</v>
      </c>
      <c r="J30" s="828">
        <f t="shared" si="4"/>
        <v>3.850230753</v>
      </c>
      <c r="K30" s="161">
        <f t="shared" si="5"/>
        <v>4400</v>
      </c>
      <c r="L30" s="828">
        <f t="shared" si="6"/>
        <v>0.1961272727</v>
      </c>
      <c r="M30" s="829">
        <v>862.96</v>
      </c>
      <c r="N30" s="161">
        <f t="shared" si="7"/>
        <v>3537.04</v>
      </c>
      <c r="O30" s="828">
        <f t="shared" si="8"/>
        <v>4.098729953</v>
      </c>
      <c r="P30" s="161">
        <f t="shared" si="25"/>
        <v>5500</v>
      </c>
      <c r="Q30" s="828">
        <f t="shared" si="26"/>
        <v>0.1896545455</v>
      </c>
      <c r="R30" s="836">
        <v>1043.1</v>
      </c>
      <c r="S30" s="161">
        <f t="shared" si="27"/>
        <v>4456.9</v>
      </c>
      <c r="T30" s="828">
        <f t="shared" si="28"/>
        <v>4.272744703</v>
      </c>
      <c r="U30" s="161">
        <f t="shared" si="33"/>
        <v>6600</v>
      </c>
      <c r="V30" s="828">
        <f t="shared" si="34"/>
        <v>0.1889787879</v>
      </c>
      <c r="W30" s="834">
        <v>1247.26</v>
      </c>
      <c r="X30" s="161">
        <f t="shared" si="35"/>
        <v>5352.74</v>
      </c>
      <c r="Y30" s="828">
        <f t="shared" si="36"/>
        <v>4.291599185</v>
      </c>
      <c r="Z30" s="826" t="s">
        <v>111</v>
      </c>
      <c r="AA30" s="87"/>
    </row>
    <row r="31" ht="25.5" customHeight="1" outlineLevel="1">
      <c r="A31" s="826">
        <v>28.0</v>
      </c>
      <c r="B31" s="239" t="s">
        <v>1480</v>
      </c>
      <c r="C31" s="826" t="s">
        <v>1447</v>
      </c>
      <c r="D31" s="161">
        <v>2950.0</v>
      </c>
      <c r="E31" s="827">
        <v>1000.0</v>
      </c>
      <c r="F31" s="161">
        <f t="shared" si="1"/>
        <v>4425</v>
      </c>
      <c r="G31" s="828">
        <f t="shared" si="2"/>
        <v>0.1918870056</v>
      </c>
      <c r="H31" s="829">
        <v>849.1</v>
      </c>
      <c r="I31" s="161">
        <f t="shared" si="3"/>
        <v>3575.9</v>
      </c>
      <c r="J31" s="828">
        <f t="shared" si="4"/>
        <v>4.211400306</v>
      </c>
      <c r="K31" s="161">
        <f t="shared" si="5"/>
        <v>5900</v>
      </c>
      <c r="L31" s="828">
        <f t="shared" si="6"/>
        <v>0.1813135593</v>
      </c>
      <c r="M31" s="834">
        <v>1069.75</v>
      </c>
      <c r="N31" s="161">
        <f t="shared" si="7"/>
        <v>4830.25</v>
      </c>
      <c r="O31" s="828">
        <f t="shared" si="8"/>
        <v>4.515307315</v>
      </c>
      <c r="P31" s="161">
        <f t="shared" si="25"/>
        <v>7375</v>
      </c>
      <c r="Q31" s="828">
        <f t="shared" si="26"/>
        <v>0.1772338983</v>
      </c>
      <c r="R31" s="836">
        <v>1307.1</v>
      </c>
      <c r="S31" s="161">
        <f t="shared" si="27"/>
        <v>6067.9</v>
      </c>
      <c r="T31" s="828">
        <f t="shared" si="28"/>
        <v>4.642261495</v>
      </c>
      <c r="U31" s="161">
        <f t="shared" si="33"/>
        <v>8850</v>
      </c>
      <c r="V31" s="828">
        <f t="shared" si="34"/>
        <v>0.1778870056</v>
      </c>
      <c r="W31" s="834">
        <v>1574.3</v>
      </c>
      <c r="X31" s="161">
        <f t="shared" si="35"/>
        <v>7275.7</v>
      </c>
      <c r="Y31" s="828">
        <f t="shared" si="36"/>
        <v>4.621546084</v>
      </c>
      <c r="Z31" s="826" t="s">
        <v>111</v>
      </c>
      <c r="AA31" s="87"/>
    </row>
    <row r="32" ht="25.5" customHeight="1" outlineLevel="1">
      <c r="A32" s="826">
        <v>29.0</v>
      </c>
      <c r="B32" s="239" t="s">
        <v>1481</v>
      </c>
      <c r="C32" s="826" t="s">
        <v>1447</v>
      </c>
      <c r="D32" s="161">
        <v>2500.0</v>
      </c>
      <c r="E32" s="827">
        <v>1000.0</v>
      </c>
      <c r="F32" s="161">
        <f t="shared" si="1"/>
        <v>3750</v>
      </c>
      <c r="G32" s="828">
        <f t="shared" si="2"/>
        <v>0.201376</v>
      </c>
      <c r="H32" s="829">
        <v>755.16</v>
      </c>
      <c r="I32" s="161">
        <f t="shared" si="3"/>
        <v>2994.84</v>
      </c>
      <c r="J32" s="828">
        <f t="shared" si="4"/>
        <v>3.965835055</v>
      </c>
      <c r="K32" s="161">
        <f t="shared" si="5"/>
        <v>5000</v>
      </c>
      <c r="L32" s="828">
        <f t="shared" si="6"/>
        <v>0.187908</v>
      </c>
      <c r="M32" s="834">
        <v>939.54</v>
      </c>
      <c r="N32" s="161">
        <f t="shared" si="7"/>
        <v>4060.46</v>
      </c>
      <c r="O32" s="828">
        <f t="shared" si="8"/>
        <v>4.321753198</v>
      </c>
      <c r="P32" s="127" t="s">
        <v>1448</v>
      </c>
      <c r="Q32" s="127" t="s">
        <v>1448</v>
      </c>
      <c r="R32" s="837"/>
      <c r="S32" s="127" t="s">
        <v>1448</v>
      </c>
      <c r="T32" s="127" t="s">
        <v>1448</v>
      </c>
      <c r="U32" s="127" t="s">
        <v>1448</v>
      </c>
      <c r="V32" s="127" t="s">
        <v>1448</v>
      </c>
      <c r="W32" s="127"/>
      <c r="X32" s="127" t="s">
        <v>1448</v>
      </c>
      <c r="Y32" s="127" t="s">
        <v>1448</v>
      </c>
      <c r="Z32" s="826" t="s">
        <v>111</v>
      </c>
      <c r="AA32" s="87"/>
    </row>
    <row r="33" ht="25.5" customHeight="1" outlineLevel="1">
      <c r="A33" s="826">
        <v>30.0</v>
      </c>
      <c r="B33" s="239" t="s">
        <v>1482</v>
      </c>
      <c r="C33" s="826" t="s">
        <v>1447</v>
      </c>
      <c r="D33" s="161">
        <v>2950.0</v>
      </c>
      <c r="E33" s="827">
        <v>1000.0</v>
      </c>
      <c r="F33" s="161">
        <f t="shared" si="1"/>
        <v>4425</v>
      </c>
      <c r="G33" s="828">
        <f t="shared" si="2"/>
        <v>0.2659344633</v>
      </c>
      <c r="H33" s="829">
        <v>1176.76</v>
      </c>
      <c r="I33" s="161">
        <f t="shared" si="3"/>
        <v>3248.24</v>
      </c>
      <c r="J33" s="828">
        <f t="shared" si="4"/>
        <v>2.76032496</v>
      </c>
      <c r="K33" s="161">
        <f t="shared" si="5"/>
        <v>5900</v>
      </c>
      <c r="L33" s="828">
        <f t="shared" si="6"/>
        <v>0.2500762712</v>
      </c>
      <c r="M33" s="834">
        <v>1475.45</v>
      </c>
      <c r="N33" s="161">
        <f t="shared" si="7"/>
        <v>4424.55</v>
      </c>
      <c r="O33" s="828">
        <f t="shared" si="8"/>
        <v>2.998780033</v>
      </c>
      <c r="P33" s="161">
        <f>D33*2.5</f>
        <v>7375</v>
      </c>
      <c r="Q33" s="828">
        <f>R33/P33</f>
        <v>0.2398237288</v>
      </c>
      <c r="R33" s="836">
        <v>1768.7</v>
      </c>
      <c r="S33" s="161">
        <f>P33-R33</f>
        <v>5606.3</v>
      </c>
      <c r="T33" s="828">
        <f>P33/R33-1</f>
        <v>3.16972918</v>
      </c>
      <c r="U33" s="161">
        <f>D33*3</f>
        <v>8850</v>
      </c>
      <c r="V33" s="828">
        <f>W33/U33</f>
        <v>0.2338045198</v>
      </c>
      <c r="W33" s="834">
        <v>2069.17</v>
      </c>
      <c r="X33" s="161">
        <f>U33-W33</f>
        <v>6780.83</v>
      </c>
      <c r="Y33" s="828">
        <f>U33/W33-1</f>
        <v>3.277077282</v>
      </c>
      <c r="Z33" s="826" t="s">
        <v>111</v>
      </c>
      <c r="AA33" s="87"/>
    </row>
    <row r="34" ht="25.5" customHeight="1">
      <c r="A34" s="615"/>
      <c r="B34" s="830" t="str">
        <f>"миниторты "&amp;COUNTA(B35)&amp;" шт"</f>
        <v>миниторты 1 шт</v>
      </c>
      <c r="C34" s="615"/>
      <c r="D34" s="698"/>
      <c r="E34" s="669"/>
      <c r="F34" s="698"/>
      <c r="G34" s="247">
        <f>AVERAGE(G35)</f>
        <v>0.2384957983</v>
      </c>
      <c r="H34" s="618"/>
      <c r="I34" s="615"/>
      <c r="J34" s="615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72"/>
      <c r="AA34" s="672"/>
    </row>
    <row r="35" ht="25.5" customHeight="1" outlineLevel="1">
      <c r="A35" s="826">
        <v>28.0</v>
      </c>
      <c r="B35" s="239" t="s">
        <v>1483</v>
      </c>
      <c r="C35" s="831"/>
      <c r="D35" s="161">
        <v>1190.0</v>
      </c>
      <c r="E35" s="827">
        <v>650.0</v>
      </c>
      <c r="F35" s="161"/>
      <c r="G35" s="828">
        <f>H35/D35</f>
        <v>0.2384957983</v>
      </c>
      <c r="H35" s="832">
        <v>283.81</v>
      </c>
      <c r="I35" s="161">
        <f>D35-H35</f>
        <v>906.19</v>
      </c>
      <c r="J35" s="828">
        <f>D35/H35-1</f>
        <v>3.192945985</v>
      </c>
      <c r="K35" s="161"/>
      <c r="L35" s="828"/>
      <c r="M35" s="832"/>
      <c r="N35" s="826"/>
      <c r="O35" s="828"/>
      <c r="P35" s="161"/>
      <c r="Q35" s="828"/>
      <c r="R35" s="832"/>
      <c r="S35" s="826"/>
      <c r="T35" s="828"/>
      <c r="U35" s="161"/>
      <c r="V35" s="828"/>
      <c r="W35" s="832"/>
      <c r="X35" s="826"/>
      <c r="Y35" s="828"/>
      <c r="Z35" s="826"/>
      <c r="AA35" s="826"/>
    </row>
    <row r="36" ht="25.5" customHeight="1">
      <c r="A36" s="614"/>
      <c r="B36" s="615" t="str">
        <f>"десерты под заказ "&amp;COUNTA(B37:B45)&amp;" шт"</f>
        <v>десерты под заказ 9 шт</v>
      </c>
      <c r="C36" s="614"/>
      <c r="D36" s="695"/>
      <c r="E36" s="616"/>
      <c r="F36" s="695"/>
      <c r="G36" s="647" t="str">
        <f>AVERAGE(G37:G92)</f>
        <v>#VALUE!</v>
      </c>
      <c r="H36" s="618"/>
      <c r="I36" s="614"/>
      <c r="J36" s="614"/>
      <c r="K36" s="695"/>
      <c r="L36" s="695"/>
      <c r="M36" s="695"/>
      <c r="N36" s="695"/>
      <c r="O36" s="695"/>
      <c r="P36" s="695"/>
      <c r="Q36" s="695"/>
      <c r="R36" s="695"/>
      <c r="S36" s="695"/>
      <c r="T36" s="695"/>
      <c r="U36" s="695"/>
      <c r="V36" s="695"/>
      <c r="W36" s="618"/>
      <c r="X36" s="614"/>
      <c r="Y36" s="614"/>
      <c r="Z36" s="86"/>
      <c r="AA36" s="86"/>
    </row>
    <row r="37" ht="25.5" customHeight="1" outlineLevel="1">
      <c r="A37" s="826">
        <v>57.0</v>
      </c>
      <c r="B37" s="239" t="s">
        <v>1561</v>
      </c>
      <c r="C37" s="93" t="s">
        <v>1562</v>
      </c>
      <c r="D37" s="93">
        <f>5*170</f>
        <v>850</v>
      </c>
      <c r="E37" s="258" t="s">
        <v>1563</v>
      </c>
      <c r="F37" s="93"/>
      <c r="G37" s="158">
        <f t="shared" ref="G37:G45" si="37">H37/D37</f>
        <v>0.2767058824</v>
      </c>
      <c r="H37" s="275">
        <v>235.2</v>
      </c>
      <c r="I37" s="93">
        <f t="shared" ref="I37:I45" si="38">D37-H37</f>
        <v>614.8</v>
      </c>
      <c r="J37" s="158">
        <f t="shared" ref="J37:J45" si="39">D37/H37-1</f>
        <v>2.613945578</v>
      </c>
      <c r="K37" s="93"/>
      <c r="L37" s="158"/>
      <c r="M37" s="275"/>
      <c r="N37" s="87"/>
      <c r="O37" s="158"/>
      <c r="P37" s="93"/>
      <c r="Q37" s="158"/>
      <c r="R37" s="275"/>
      <c r="S37" s="87"/>
      <c r="T37" s="158"/>
      <c r="U37" s="93"/>
      <c r="V37" s="158"/>
      <c r="W37" s="275"/>
      <c r="X37" s="87"/>
      <c r="Y37" s="158"/>
      <c r="Z37" s="87"/>
      <c r="AA37" s="87"/>
    </row>
    <row r="38" ht="25.5" customHeight="1" outlineLevel="1">
      <c r="A38" s="239">
        <v>58.0</v>
      </c>
      <c r="B38" s="87" t="s">
        <v>1564</v>
      </c>
      <c r="C38" s="274" t="s">
        <v>1565</v>
      </c>
      <c r="D38" s="93">
        <v>850.0</v>
      </c>
      <c r="E38" s="258" t="s">
        <v>1563</v>
      </c>
      <c r="F38" s="243"/>
      <c r="G38" s="158">
        <f t="shared" si="37"/>
        <v>0.2657058824</v>
      </c>
      <c r="H38" s="275">
        <v>225.85</v>
      </c>
      <c r="I38" s="93">
        <f t="shared" si="38"/>
        <v>624.15</v>
      </c>
      <c r="J38" s="158">
        <f t="shared" si="39"/>
        <v>2.763559885</v>
      </c>
      <c r="K38" s="243"/>
      <c r="L38" s="247"/>
      <c r="M38" s="275"/>
      <c r="N38" s="239"/>
      <c r="O38" s="247"/>
      <c r="P38" s="243"/>
      <c r="Q38" s="247"/>
      <c r="R38" s="275"/>
      <c r="S38" s="239"/>
      <c r="T38" s="247"/>
      <c r="U38" s="243"/>
      <c r="V38" s="247"/>
      <c r="W38" s="275"/>
      <c r="X38" s="239"/>
      <c r="Y38" s="247"/>
      <c r="Z38" s="239"/>
      <c r="AA38" s="239"/>
    </row>
    <row r="39" ht="25.5" customHeight="1" outlineLevel="1">
      <c r="A39" s="826">
        <v>59.0</v>
      </c>
      <c r="B39" s="87" t="s">
        <v>1597</v>
      </c>
      <c r="C39" s="274" t="s">
        <v>1598</v>
      </c>
      <c r="D39" s="93">
        <v>850.0</v>
      </c>
      <c r="E39" s="258" t="s">
        <v>1563</v>
      </c>
      <c r="F39" s="243"/>
      <c r="G39" s="158">
        <f t="shared" si="37"/>
        <v>0.2610588235</v>
      </c>
      <c r="H39" s="275">
        <v>221.9</v>
      </c>
      <c r="I39" s="93">
        <f t="shared" si="38"/>
        <v>628.1</v>
      </c>
      <c r="J39" s="158">
        <f t="shared" si="39"/>
        <v>2.830554304</v>
      </c>
      <c r="K39" s="243"/>
      <c r="L39" s="247"/>
      <c r="M39" s="275"/>
      <c r="N39" s="239"/>
      <c r="O39" s="247"/>
      <c r="P39" s="243"/>
      <c r="Q39" s="247"/>
      <c r="R39" s="275"/>
      <c r="S39" s="239"/>
      <c r="T39" s="247"/>
      <c r="U39" s="243"/>
      <c r="V39" s="247"/>
      <c r="W39" s="275"/>
      <c r="X39" s="239"/>
      <c r="Y39" s="247"/>
      <c r="Z39" s="239"/>
      <c r="AA39" s="239"/>
    </row>
    <row r="40" ht="25.5" customHeight="1" outlineLevel="1">
      <c r="A40" s="239">
        <v>60.0</v>
      </c>
      <c r="B40" s="87" t="s">
        <v>1568</v>
      </c>
      <c r="C40" s="274" t="s">
        <v>1567</v>
      </c>
      <c r="D40" s="243">
        <f t="shared" ref="D40:D45" si="40">6*250</f>
        <v>1500</v>
      </c>
      <c r="E40" s="258" t="s">
        <v>202</v>
      </c>
      <c r="F40" s="243"/>
      <c r="G40" s="158">
        <f t="shared" si="37"/>
        <v>0.25772</v>
      </c>
      <c r="H40" s="275">
        <v>386.58</v>
      </c>
      <c r="I40" s="93">
        <f t="shared" si="38"/>
        <v>1113.42</v>
      </c>
      <c r="J40" s="158">
        <f t="shared" si="39"/>
        <v>2.88018004</v>
      </c>
      <c r="K40" s="243"/>
      <c r="L40" s="247"/>
      <c r="M40" s="275"/>
      <c r="N40" s="239"/>
      <c r="O40" s="247"/>
      <c r="P40" s="243"/>
      <c r="Q40" s="247"/>
      <c r="R40" s="275"/>
      <c r="S40" s="239"/>
      <c r="T40" s="247"/>
      <c r="U40" s="243"/>
      <c r="V40" s="247"/>
      <c r="W40" s="275"/>
      <c r="X40" s="239"/>
      <c r="Y40" s="247"/>
      <c r="Z40" s="239"/>
      <c r="AA40" s="239"/>
    </row>
    <row r="41" ht="25.5" customHeight="1" outlineLevel="1">
      <c r="A41" s="826">
        <v>61.0</v>
      </c>
      <c r="B41" s="87" t="s">
        <v>1566</v>
      </c>
      <c r="C41" s="274" t="s">
        <v>1567</v>
      </c>
      <c r="D41" s="243">
        <f t="shared" si="40"/>
        <v>1500</v>
      </c>
      <c r="E41" s="258" t="s">
        <v>202</v>
      </c>
      <c r="F41" s="243"/>
      <c r="G41" s="158">
        <f t="shared" si="37"/>
        <v>0.27848</v>
      </c>
      <c r="H41" s="275">
        <v>417.72</v>
      </c>
      <c r="I41" s="93">
        <f t="shared" si="38"/>
        <v>1082.28</v>
      </c>
      <c r="J41" s="158">
        <f t="shared" si="39"/>
        <v>2.590922149</v>
      </c>
      <c r="K41" s="243"/>
      <c r="L41" s="247"/>
      <c r="M41" s="275"/>
      <c r="N41" s="239"/>
      <c r="O41" s="247"/>
      <c r="P41" s="243"/>
      <c r="Q41" s="247"/>
      <c r="R41" s="275"/>
      <c r="S41" s="239"/>
      <c r="T41" s="247"/>
      <c r="U41" s="243"/>
      <c r="V41" s="247"/>
      <c r="W41" s="275"/>
      <c r="X41" s="239"/>
      <c r="Y41" s="247"/>
      <c r="Z41" s="239"/>
      <c r="AA41" s="239"/>
    </row>
    <row r="42" ht="25.5" customHeight="1" outlineLevel="1">
      <c r="A42" s="239">
        <v>62.0</v>
      </c>
      <c r="B42" s="87" t="s">
        <v>1569</v>
      </c>
      <c r="C42" s="274" t="s">
        <v>1567</v>
      </c>
      <c r="D42" s="243">
        <f t="shared" si="40"/>
        <v>1500</v>
      </c>
      <c r="E42" s="258" t="s">
        <v>202</v>
      </c>
      <c r="F42" s="243"/>
      <c r="G42" s="158">
        <f t="shared" si="37"/>
        <v>0.25212</v>
      </c>
      <c r="H42" s="275">
        <v>378.18</v>
      </c>
      <c r="I42" s="93">
        <f t="shared" si="38"/>
        <v>1121.82</v>
      </c>
      <c r="J42" s="158">
        <f t="shared" si="39"/>
        <v>2.966365223</v>
      </c>
      <c r="K42" s="243"/>
      <c r="L42" s="247"/>
      <c r="M42" s="275"/>
      <c r="N42" s="239"/>
      <c r="O42" s="247"/>
      <c r="P42" s="243"/>
      <c r="Q42" s="247"/>
      <c r="R42" s="275"/>
      <c r="S42" s="239"/>
      <c r="T42" s="247"/>
      <c r="U42" s="243"/>
      <c r="V42" s="247"/>
      <c r="W42" s="275"/>
      <c r="X42" s="239"/>
      <c r="Y42" s="247"/>
      <c r="Z42" s="239"/>
      <c r="AA42" s="239"/>
    </row>
    <row r="43" ht="25.5" customHeight="1" outlineLevel="1">
      <c r="A43" s="826">
        <v>63.0</v>
      </c>
      <c r="B43" s="87" t="s">
        <v>1570</v>
      </c>
      <c r="C43" s="274" t="s">
        <v>1567</v>
      </c>
      <c r="D43" s="243">
        <f t="shared" si="40"/>
        <v>1500</v>
      </c>
      <c r="E43" s="258" t="s">
        <v>202</v>
      </c>
      <c r="F43" s="243"/>
      <c r="G43" s="158">
        <f t="shared" si="37"/>
        <v>0.26304</v>
      </c>
      <c r="H43" s="275">
        <v>394.56</v>
      </c>
      <c r="I43" s="93">
        <f t="shared" si="38"/>
        <v>1105.44</v>
      </c>
      <c r="J43" s="158">
        <f t="shared" si="39"/>
        <v>2.801703163</v>
      </c>
      <c r="K43" s="243"/>
      <c r="L43" s="247"/>
      <c r="M43" s="275"/>
      <c r="N43" s="239"/>
      <c r="O43" s="247"/>
      <c r="P43" s="243"/>
      <c r="Q43" s="247"/>
      <c r="R43" s="275"/>
      <c r="S43" s="239"/>
      <c r="T43" s="247"/>
      <c r="U43" s="243"/>
      <c r="V43" s="247"/>
      <c r="W43" s="275"/>
      <c r="X43" s="239"/>
      <c r="Y43" s="247"/>
      <c r="Z43" s="239"/>
      <c r="AA43" s="239"/>
    </row>
    <row r="44" ht="25.5" customHeight="1" outlineLevel="1">
      <c r="A44" s="239">
        <v>64.0</v>
      </c>
      <c r="B44" s="87" t="s">
        <v>1599</v>
      </c>
      <c r="C44" s="274" t="s">
        <v>1567</v>
      </c>
      <c r="D44" s="243">
        <f t="shared" si="40"/>
        <v>1500</v>
      </c>
      <c r="E44" s="258" t="s">
        <v>202</v>
      </c>
      <c r="F44" s="243"/>
      <c r="G44" s="158">
        <f t="shared" si="37"/>
        <v>0.2532</v>
      </c>
      <c r="H44" s="275">
        <v>379.8</v>
      </c>
      <c r="I44" s="93">
        <f t="shared" si="38"/>
        <v>1120.2</v>
      </c>
      <c r="J44" s="158">
        <f t="shared" si="39"/>
        <v>2.949447077</v>
      </c>
      <c r="K44" s="243"/>
      <c r="L44" s="247"/>
      <c r="M44" s="275"/>
      <c r="N44" s="239"/>
      <c r="O44" s="247"/>
      <c r="P44" s="243"/>
      <c r="Q44" s="247"/>
      <c r="R44" s="275"/>
      <c r="S44" s="239"/>
      <c r="T44" s="247"/>
      <c r="U44" s="243"/>
      <c r="V44" s="247"/>
      <c r="W44" s="275"/>
      <c r="X44" s="239"/>
      <c r="Y44" s="247"/>
      <c r="Z44" s="239"/>
      <c r="AA44" s="239"/>
    </row>
    <row r="45" ht="25.5" customHeight="1" outlineLevel="1">
      <c r="A45" s="239">
        <v>64.0</v>
      </c>
      <c r="B45" s="87" t="s">
        <v>1600</v>
      </c>
      <c r="C45" s="274" t="s">
        <v>1567</v>
      </c>
      <c r="D45" s="243">
        <f t="shared" si="40"/>
        <v>1500</v>
      </c>
      <c r="E45" s="258" t="s">
        <v>202</v>
      </c>
      <c r="F45" s="243"/>
      <c r="G45" s="158">
        <f t="shared" si="37"/>
        <v>0.21284</v>
      </c>
      <c r="H45" s="275">
        <v>319.26</v>
      </c>
      <c r="I45" s="93">
        <f t="shared" si="38"/>
        <v>1180.74</v>
      </c>
      <c r="J45" s="158">
        <f t="shared" si="39"/>
        <v>3.698364969</v>
      </c>
      <c r="K45" s="243"/>
      <c r="L45" s="247"/>
      <c r="M45" s="275"/>
      <c r="N45" s="239"/>
      <c r="O45" s="247"/>
      <c r="P45" s="243"/>
      <c r="Q45" s="247"/>
      <c r="R45" s="275"/>
      <c r="S45" s="239"/>
      <c r="T45" s="247"/>
      <c r="U45" s="243"/>
      <c r="V45" s="247"/>
      <c r="W45" s="275"/>
      <c r="X45" s="239"/>
      <c r="Y45" s="247"/>
      <c r="Z45" s="239"/>
      <c r="AA45" s="239"/>
    </row>
    <row r="46" ht="25.5" customHeight="1">
      <c r="A46" s="614"/>
      <c r="B46" s="830" t="str">
        <f>"УКРАШЕНИЯ "&amp;COUNTA(B47:B76)&amp;" шт"</f>
        <v>УКРАШЕНИЯ 30 шт</v>
      </c>
      <c r="C46" s="614"/>
      <c r="D46" s="695"/>
      <c r="E46" s="616"/>
      <c r="F46" s="695"/>
      <c r="G46" s="647" t="str">
        <f>AVERAGE(G56:G72)</f>
        <v>#VALUE!</v>
      </c>
      <c r="H46" s="618"/>
      <c r="I46" s="614"/>
      <c r="J46" s="614"/>
      <c r="K46" s="695"/>
      <c r="L46" s="695"/>
      <c r="M46" s="695"/>
      <c r="N46" s="695"/>
      <c r="O46" s="695"/>
      <c r="P46" s="695"/>
      <c r="Q46" s="695"/>
      <c r="R46" s="695"/>
      <c r="S46" s="695"/>
      <c r="T46" s="695"/>
      <c r="U46" s="695"/>
      <c r="V46" s="695"/>
      <c r="W46" s="695"/>
      <c r="X46" s="695"/>
      <c r="Y46" s="695"/>
      <c r="Z46" s="86"/>
      <c r="AA46" s="86"/>
    </row>
    <row r="47" ht="25.5" customHeight="1" outlineLevel="1">
      <c r="A47" s="826">
        <v>48.0</v>
      </c>
      <c r="B47" s="239" t="s">
        <v>1490</v>
      </c>
      <c r="C47" s="181" t="s">
        <v>1491</v>
      </c>
      <c r="D47" s="93">
        <v>1500.0</v>
      </c>
      <c r="E47" s="93" t="s">
        <v>1492</v>
      </c>
      <c r="F47" s="93"/>
      <c r="G47" s="158">
        <f t="shared" ref="G47:G53" si="41">H47/D47</f>
        <v>0.223</v>
      </c>
      <c r="H47" s="162">
        <f>2.23*150</f>
        <v>334.5</v>
      </c>
      <c r="I47" s="93">
        <f t="shared" ref="I47:I53" si="42">D47-H47</f>
        <v>1165.5</v>
      </c>
      <c r="J47" s="158">
        <f t="shared" ref="J47:J53" si="43">D47/H47-1</f>
        <v>3.484304933</v>
      </c>
      <c r="K47" s="93"/>
      <c r="L47" s="158"/>
      <c r="M47" s="162"/>
      <c r="N47" s="87"/>
      <c r="O47" s="158"/>
      <c r="P47" s="93"/>
      <c r="Q47" s="158"/>
      <c r="R47" s="162"/>
      <c r="S47" s="87"/>
      <c r="T47" s="158"/>
      <c r="U47" s="93"/>
      <c r="V47" s="158"/>
      <c r="W47" s="162"/>
      <c r="X47" s="87"/>
      <c r="Y47" s="158"/>
      <c r="Z47" s="87"/>
      <c r="AA47" s="87"/>
    </row>
    <row r="48" ht="25.5" customHeight="1" outlineLevel="1">
      <c r="A48" s="826">
        <v>49.0</v>
      </c>
      <c r="B48" s="239" t="s">
        <v>1493</v>
      </c>
      <c r="C48" s="181" t="s">
        <v>1494</v>
      </c>
      <c r="D48" s="93">
        <v>100.0</v>
      </c>
      <c r="E48" s="93" t="s">
        <v>1495</v>
      </c>
      <c r="F48" s="93"/>
      <c r="G48" s="158">
        <f t="shared" si="41"/>
        <v>0.24</v>
      </c>
      <c r="H48" s="162">
        <f>60*0.4</f>
        <v>24</v>
      </c>
      <c r="I48" s="93">
        <f t="shared" si="42"/>
        <v>76</v>
      </c>
      <c r="J48" s="158">
        <f t="shared" si="43"/>
        <v>3.166666667</v>
      </c>
      <c r="K48" s="93"/>
      <c r="L48" s="158"/>
      <c r="M48" s="162"/>
      <c r="N48" s="87"/>
      <c r="O48" s="158"/>
      <c r="P48" s="93"/>
      <c r="Q48" s="158"/>
      <c r="R48" s="162"/>
      <c r="S48" s="87"/>
      <c r="T48" s="158"/>
      <c r="U48" s="93"/>
      <c r="V48" s="158"/>
      <c r="W48" s="162"/>
      <c r="X48" s="87"/>
      <c r="Y48" s="158"/>
      <c r="Z48" s="87"/>
      <c r="AA48" s="87"/>
    </row>
    <row r="49" ht="25.5" customHeight="1" outlineLevel="1">
      <c r="A49" s="826">
        <v>50.0</v>
      </c>
      <c r="B49" s="239" t="s">
        <v>1496</v>
      </c>
      <c r="C49" s="181" t="s">
        <v>1497</v>
      </c>
      <c r="D49" s="93">
        <v>30.0</v>
      </c>
      <c r="E49" s="93" t="s">
        <v>1498</v>
      </c>
      <c r="F49" s="93"/>
      <c r="G49" s="158">
        <f t="shared" si="41"/>
        <v>0.141</v>
      </c>
      <c r="H49" s="162">
        <v>4.23</v>
      </c>
      <c r="I49" s="93">
        <f t="shared" si="42"/>
        <v>25.77</v>
      </c>
      <c r="J49" s="158">
        <f t="shared" si="43"/>
        <v>6.092198582</v>
      </c>
      <c r="K49" s="93"/>
      <c r="L49" s="158"/>
      <c r="M49" s="162"/>
      <c r="N49" s="87"/>
      <c r="O49" s="158"/>
      <c r="P49" s="93"/>
      <c r="Q49" s="158"/>
      <c r="R49" s="162"/>
      <c r="S49" s="87"/>
      <c r="T49" s="158"/>
      <c r="U49" s="93"/>
      <c r="V49" s="158"/>
      <c r="W49" s="162"/>
      <c r="X49" s="87"/>
      <c r="Y49" s="158"/>
      <c r="Z49" s="87"/>
      <c r="AA49" s="87"/>
    </row>
    <row r="50" ht="25.5" customHeight="1" outlineLevel="1">
      <c r="A50" s="826">
        <v>51.0</v>
      </c>
      <c r="B50" s="239" t="s">
        <v>1499</v>
      </c>
      <c r="C50" s="181" t="s">
        <v>1500</v>
      </c>
      <c r="D50" s="93">
        <v>1500.0</v>
      </c>
      <c r="E50" s="93" t="s">
        <v>1501</v>
      </c>
      <c r="F50" s="93"/>
      <c r="G50" s="158">
        <f t="shared" si="41"/>
        <v>0.09146666667</v>
      </c>
      <c r="H50" s="162">
        <f>400*0.343</f>
        <v>137.2</v>
      </c>
      <c r="I50" s="93">
        <f t="shared" si="42"/>
        <v>1362.8</v>
      </c>
      <c r="J50" s="158">
        <f t="shared" si="43"/>
        <v>9.932944606</v>
      </c>
      <c r="K50" s="93"/>
      <c r="L50" s="158"/>
      <c r="M50" s="162"/>
      <c r="N50" s="87"/>
      <c r="O50" s="158"/>
      <c r="P50" s="93"/>
      <c r="Q50" s="158"/>
      <c r="R50" s="162"/>
      <c r="S50" s="87"/>
      <c r="T50" s="158"/>
      <c r="U50" s="93"/>
      <c r="V50" s="158"/>
      <c r="W50" s="162"/>
      <c r="X50" s="87"/>
      <c r="Y50" s="158"/>
      <c r="Z50" s="87"/>
      <c r="AA50" s="87"/>
    </row>
    <row r="51" ht="25.5" customHeight="1" outlineLevel="1">
      <c r="A51" s="826">
        <v>54.0</v>
      </c>
      <c r="B51" s="239" t="s">
        <v>1502</v>
      </c>
      <c r="C51" s="181" t="s">
        <v>1503</v>
      </c>
      <c r="D51" s="93">
        <v>700.0</v>
      </c>
      <c r="E51" s="93" t="s">
        <v>1504</v>
      </c>
      <c r="F51" s="93"/>
      <c r="G51" s="158">
        <f t="shared" si="41"/>
        <v>0.1202857143</v>
      </c>
      <c r="H51" s="162">
        <f>200*0.421</f>
        <v>84.2</v>
      </c>
      <c r="I51" s="93">
        <f t="shared" si="42"/>
        <v>615.8</v>
      </c>
      <c r="J51" s="158">
        <f t="shared" si="43"/>
        <v>7.313539192</v>
      </c>
      <c r="K51" s="93"/>
      <c r="L51" s="158"/>
      <c r="M51" s="162"/>
      <c r="N51" s="87"/>
      <c r="O51" s="158"/>
      <c r="P51" s="93"/>
      <c r="Q51" s="158"/>
      <c r="R51" s="162"/>
      <c r="S51" s="87"/>
      <c r="T51" s="158"/>
      <c r="U51" s="93"/>
      <c r="V51" s="158"/>
      <c r="W51" s="162"/>
      <c r="X51" s="87"/>
      <c r="Y51" s="158"/>
      <c r="Z51" s="87"/>
      <c r="AA51" s="87"/>
    </row>
    <row r="52" ht="25.5" customHeight="1" outlineLevel="1">
      <c r="A52" s="826">
        <v>52.0</v>
      </c>
      <c r="B52" s="239" t="s">
        <v>1505</v>
      </c>
      <c r="C52" s="181" t="s">
        <v>1506</v>
      </c>
      <c r="D52" s="93">
        <v>250.0</v>
      </c>
      <c r="E52" s="93" t="s">
        <v>1507</v>
      </c>
      <c r="F52" s="93"/>
      <c r="G52" s="158">
        <f t="shared" si="41"/>
        <v>0.2072</v>
      </c>
      <c r="H52" s="162">
        <f>50*1.036</f>
        <v>51.8</v>
      </c>
      <c r="I52" s="93">
        <f t="shared" si="42"/>
        <v>198.2</v>
      </c>
      <c r="J52" s="158">
        <f t="shared" si="43"/>
        <v>3.826254826</v>
      </c>
      <c r="K52" s="93"/>
      <c r="L52" s="158"/>
      <c r="M52" s="162"/>
      <c r="N52" s="87"/>
      <c r="O52" s="158"/>
      <c r="P52" s="93"/>
      <c r="Q52" s="158"/>
      <c r="R52" s="162"/>
      <c r="S52" s="87"/>
      <c r="T52" s="158"/>
      <c r="U52" s="93"/>
      <c r="V52" s="158"/>
      <c r="W52" s="162"/>
      <c r="X52" s="87"/>
      <c r="Y52" s="158"/>
      <c r="Z52" s="87"/>
      <c r="AA52" s="87"/>
    </row>
    <row r="53" ht="25.5" customHeight="1" outlineLevel="1">
      <c r="A53" s="826">
        <v>53.0</v>
      </c>
      <c r="B53" s="239" t="s">
        <v>1508</v>
      </c>
      <c r="C53" s="181" t="s">
        <v>1509</v>
      </c>
      <c r="D53" s="93">
        <v>50.0</v>
      </c>
      <c r="E53" s="93" t="s">
        <v>1510</v>
      </c>
      <c r="F53" s="93"/>
      <c r="G53" s="158">
        <f t="shared" si="41"/>
        <v>0.0418</v>
      </c>
      <c r="H53" s="162">
        <f>10*0.209</f>
        <v>2.09</v>
      </c>
      <c r="I53" s="93">
        <f t="shared" si="42"/>
        <v>47.91</v>
      </c>
      <c r="J53" s="158">
        <f t="shared" si="43"/>
        <v>22.92344498</v>
      </c>
      <c r="K53" s="93"/>
      <c r="L53" s="158"/>
      <c r="M53" s="162"/>
      <c r="N53" s="87"/>
      <c r="O53" s="158"/>
      <c r="P53" s="93"/>
      <c r="Q53" s="158"/>
      <c r="R53" s="162"/>
      <c r="S53" s="87"/>
      <c r="T53" s="158"/>
      <c r="U53" s="93"/>
      <c r="V53" s="158"/>
      <c r="W53" s="162"/>
      <c r="X53" s="87"/>
      <c r="Y53" s="158"/>
      <c r="Z53" s="87"/>
      <c r="AA53" s="87"/>
    </row>
    <row r="54" ht="25.5" customHeight="1" outlineLevel="1">
      <c r="A54" s="826">
        <v>55.0</v>
      </c>
      <c r="B54" s="239" t="s">
        <v>1511</v>
      </c>
      <c r="C54" s="181" t="s">
        <v>1512</v>
      </c>
      <c r="D54" s="93" t="s">
        <v>1601</v>
      </c>
      <c r="E54" s="93" t="s">
        <v>1513</v>
      </c>
      <c r="F54" s="93"/>
      <c r="G54" s="158"/>
      <c r="H54" s="162"/>
      <c r="I54" s="87"/>
      <c r="J54" s="158"/>
      <c r="K54" s="93"/>
      <c r="L54" s="158"/>
      <c r="M54" s="162"/>
      <c r="N54" s="87"/>
      <c r="O54" s="158"/>
      <c r="P54" s="93"/>
      <c r="Q54" s="158"/>
      <c r="R54" s="162"/>
      <c r="S54" s="87"/>
      <c r="T54" s="158"/>
      <c r="U54" s="93"/>
      <c r="V54" s="158"/>
      <c r="W54" s="162"/>
      <c r="X54" s="87"/>
      <c r="Y54" s="158"/>
      <c r="Z54" s="87"/>
      <c r="AA54" s="87"/>
    </row>
    <row r="55" ht="25.5" customHeight="1" outlineLevel="1">
      <c r="A55" s="826">
        <v>56.0</v>
      </c>
      <c r="B55" s="239" t="s">
        <v>1514</v>
      </c>
      <c r="C55" s="181" t="s">
        <v>1515</v>
      </c>
      <c r="D55" s="93">
        <v>200.0</v>
      </c>
      <c r="E55" s="93" t="s">
        <v>1516</v>
      </c>
      <c r="F55" s="93"/>
      <c r="G55" s="158">
        <f t="shared" ref="G55:G72" si="44">H55/D55</f>
        <v>0.2572</v>
      </c>
      <c r="H55" s="162">
        <f>80*0.643</f>
        <v>51.44</v>
      </c>
      <c r="I55" s="93">
        <f t="shared" ref="I55:I72" si="45">D55-H55</f>
        <v>148.56</v>
      </c>
      <c r="J55" s="158">
        <f t="shared" ref="J55:J72" si="46">D55/H55-1</f>
        <v>2.888024883</v>
      </c>
      <c r="K55" s="93"/>
      <c r="L55" s="158"/>
      <c r="M55" s="162"/>
      <c r="N55" s="87"/>
      <c r="O55" s="158"/>
      <c r="P55" s="93"/>
      <c r="Q55" s="158"/>
      <c r="R55" s="162"/>
      <c r="S55" s="87"/>
      <c r="T55" s="158"/>
      <c r="U55" s="93"/>
      <c r="V55" s="158"/>
      <c r="W55" s="162"/>
      <c r="X55" s="87"/>
      <c r="Y55" s="158"/>
      <c r="Z55" s="87"/>
      <c r="AA55" s="87"/>
    </row>
    <row r="56" ht="25.5" customHeight="1" outlineLevel="1">
      <c r="A56" s="826">
        <v>30.0</v>
      </c>
      <c r="B56" s="239" t="s">
        <v>1517</v>
      </c>
      <c r="C56" s="239" t="s">
        <v>1518</v>
      </c>
      <c r="D56" s="93">
        <v>100.0</v>
      </c>
      <c r="E56" s="93" t="s">
        <v>1519</v>
      </c>
      <c r="F56" s="161"/>
      <c r="G56" s="828">
        <f t="shared" si="44"/>
        <v>0.0149</v>
      </c>
      <c r="H56" s="829">
        <v>1.49</v>
      </c>
      <c r="I56" s="161">
        <f t="shared" si="45"/>
        <v>98.51</v>
      </c>
      <c r="J56" s="828">
        <f t="shared" si="46"/>
        <v>66.11409396</v>
      </c>
      <c r="K56" s="161"/>
      <c r="L56" s="828"/>
      <c r="M56" s="829"/>
      <c r="N56" s="826"/>
      <c r="O56" s="828"/>
      <c r="P56" s="161"/>
      <c r="Q56" s="828"/>
      <c r="R56" s="829"/>
      <c r="S56" s="826"/>
      <c r="T56" s="828"/>
      <c r="U56" s="161"/>
      <c r="V56" s="828"/>
      <c r="W56" s="829"/>
      <c r="X56" s="826"/>
      <c r="Y56" s="828"/>
      <c r="Z56" s="826"/>
      <c r="AA56" s="826"/>
    </row>
    <row r="57" ht="25.5" customHeight="1" outlineLevel="1">
      <c r="A57" s="826">
        <v>31.0</v>
      </c>
      <c r="B57" s="239" t="s">
        <v>1520</v>
      </c>
      <c r="C57" s="239" t="s">
        <v>1521</v>
      </c>
      <c r="D57" s="93">
        <v>100.0</v>
      </c>
      <c r="E57" s="93" t="s">
        <v>1522</v>
      </c>
      <c r="F57" s="93"/>
      <c r="G57" s="158">
        <f t="shared" si="44"/>
        <v>0.0825</v>
      </c>
      <c r="H57" s="162">
        <v>8.25</v>
      </c>
      <c r="I57" s="93">
        <f t="shared" si="45"/>
        <v>91.75</v>
      </c>
      <c r="J57" s="158">
        <f t="shared" si="46"/>
        <v>11.12121212</v>
      </c>
      <c r="K57" s="93"/>
      <c r="L57" s="158"/>
      <c r="M57" s="162"/>
      <c r="N57" s="87"/>
      <c r="O57" s="158"/>
      <c r="P57" s="93"/>
      <c r="Q57" s="158"/>
      <c r="R57" s="162"/>
      <c r="S57" s="87"/>
      <c r="T57" s="158"/>
      <c r="U57" s="93"/>
      <c r="V57" s="158"/>
      <c r="W57" s="162"/>
      <c r="X57" s="87"/>
      <c r="Y57" s="158"/>
      <c r="Z57" s="87"/>
      <c r="AA57" s="87"/>
    </row>
    <row r="58" ht="25.5" customHeight="1" outlineLevel="1">
      <c r="A58" s="826">
        <v>32.0</v>
      </c>
      <c r="B58" s="239" t="s">
        <v>1523</v>
      </c>
      <c r="C58" s="239" t="s">
        <v>1524</v>
      </c>
      <c r="D58" s="93">
        <v>40.0</v>
      </c>
      <c r="E58" s="93" t="s">
        <v>1519</v>
      </c>
      <c r="F58" s="93"/>
      <c r="G58" s="158">
        <f t="shared" si="44"/>
        <v>0.1255</v>
      </c>
      <c r="H58" s="162">
        <v>5.02</v>
      </c>
      <c r="I58" s="93">
        <f t="shared" si="45"/>
        <v>34.98</v>
      </c>
      <c r="J58" s="158">
        <f t="shared" si="46"/>
        <v>6.96812749</v>
      </c>
      <c r="K58" s="93"/>
      <c r="L58" s="158"/>
      <c r="M58" s="162"/>
      <c r="N58" s="87"/>
      <c r="O58" s="158"/>
      <c r="P58" s="93"/>
      <c r="Q58" s="158"/>
      <c r="R58" s="162"/>
      <c r="S58" s="87"/>
      <c r="T58" s="158"/>
      <c r="U58" s="93"/>
      <c r="V58" s="158"/>
      <c r="W58" s="162"/>
      <c r="X58" s="87"/>
      <c r="Y58" s="158"/>
      <c r="Z58" s="87"/>
      <c r="AA58" s="87"/>
    </row>
    <row r="59" ht="25.5" customHeight="1" outlineLevel="1">
      <c r="A59" s="826">
        <v>33.0</v>
      </c>
      <c r="B59" s="239" t="s">
        <v>1525</v>
      </c>
      <c r="C59" s="239" t="s">
        <v>1526</v>
      </c>
      <c r="D59" s="93">
        <v>30.0</v>
      </c>
      <c r="E59" s="93" t="s">
        <v>1513</v>
      </c>
      <c r="F59" s="93"/>
      <c r="G59" s="158">
        <f t="shared" si="44"/>
        <v>0.2283333333</v>
      </c>
      <c r="H59" s="162">
        <v>6.85</v>
      </c>
      <c r="I59" s="93">
        <f t="shared" si="45"/>
        <v>23.15</v>
      </c>
      <c r="J59" s="158">
        <f t="shared" si="46"/>
        <v>3.379562044</v>
      </c>
      <c r="K59" s="93"/>
      <c r="L59" s="158"/>
      <c r="M59" s="162"/>
      <c r="N59" s="87"/>
      <c r="O59" s="158"/>
      <c r="P59" s="93"/>
      <c r="Q59" s="158"/>
      <c r="R59" s="162"/>
      <c r="S59" s="87"/>
      <c r="T59" s="158"/>
      <c r="U59" s="93"/>
      <c r="V59" s="158"/>
      <c r="W59" s="162"/>
      <c r="X59" s="87"/>
      <c r="Y59" s="158"/>
      <c r="Z59" s="87"/>
      <c r="AA59" s="87"/>
    </row>
    <row r="60" ht="25.5" customHeight="1" outlineLevel="1">
      <c r="A60" s="826">
        <v>34.0</v>
      </c>
      <c r="B60" s="239" t="s">
        <v>1527</v>
      </c>
      <c r="C60" s="239" t="s">
        <v>1528</v>
      </c>
      <c r="D60" s="93">
        <v>150.0</v>
      </c>
      <c r="E60" s="93" t="s">
        <v>1513</v>
      </c>
      <c r="F60" s="93"/>
      <c r="G60" s="158">
        <f t="shared" si="44"/>
        <v>0.2666666667</v>
      </c>
      <c r="H60" s="162">
        <v>40.0</v>
      </c>
      <c r="I60" s="93">
        <f t="shared" si="45"/>
        <v>110</v>
      </c>
      <c r="J60" s="158">
        <f t="shared" si="46"/>
        <v>2.75</v>
      </c>
      <c r="K60" s="93"/>
      <c r="L60" s="158"/>
      <c r="M60" s="162"/>
      <c r="N60" s="87"/>
      <c r="O60" s="158"/>
      <c r="P60" s="93"/>
      <c r="Q60" s="158"/>
      <c r="R60" s="162"/>
      <c r="S60" s="87"/>
      <c r="T60" s="158"/>
      <c r="U60" s="93"/>
      <c r="V60" s="158"/>
      <c r="W60" s="162"/>
      <c r="X60" s="87"/>
      <c r="Y60" s="158"/>
      <c r="Z60" s="87"/>
      <c r="AA60" s="87"/>
    </row>
    <row r="61" ht="25.5" customHeight="1" outlineLevel="1">
      <c r="A61" s="826">
        <v>35.0</v>
      </c>
      <c r="B61" s="239" t="s">
        <v>1529</v>
      </c>
      <c r="C61" s="239" t="s">
        <v>1530</v>
      </c>
      <c r="D61" s="93">
        <v>200.0</v>
      </c>
      <c r="E61" s="93" t="s">
        <v>1602</v>
      </c>
      <c r="F61" s="93"/>
      <c r="G61" s="158">
        <f t="shared" si="44"/>
        <v>0.0109</v>
      </c>
      <c r="H61" s="162">
        <v>2.18</v>
      </c>
      <c r="I61" s="93">
        <f t="shared" si="45"/>
        <v>197.82</v>
      </c>
      <c r="J61" s="158">
        <f t="shared" si="46"/>
        <v>90.74311927</v>
      </c>
      <c r="K61" s="93"/>
      <c r="L61" s="158"/>
      <c r="M61" s="162"/>
      <c r="N61" s="87"/>
      <c r="O61" s="158"/>
      <c r="P61" s="93"/>
      <c r="Q61" s="158"/>
      <c r="R61" s="162"/>
      <c r="S61" s="87"/>
      <c r="T61" s="158"/>
      <c r="U61" s="93"/>
      <c r="V61" s="158"/>
      <c r="W61" s="162"/>
      <c r="X61" s="87"/>
      <c r="Y61" s="158"/>
      <c r="Z61" s="87"/>
      <c r="AA61" s="87"/>
    </row>
    <row r="62" ht="25.5" customHeight="1" outlineLevel="1">
      <c r="A62" s="826">
        <v>36.0</v>
      </c>
      <c r="B62" s="239" t="s">
        <v>1532</v>
      </c>
      <c r="C62" s="239" t="s">
        <v>1533</v>
      </c>
      <c r="D62" s="93">
        <v>300.0</v>
      </c>
      <c r="E62" s="93" t="s">
        <v>1513</v>
      </c>
      <c r="F62" s="93"/>
      <c r="G62" s="158" t="str">
        <f t="shared" si="44"/>
        <v>#VALUE!</v>
      </c>
      <c r="H62" s="162" t="s">
        <v>1603</v>
      </c>
      <c r="I62" s="93" t="str">
        <f t="shared" si="45"/>
        <v>#VALUE!</v>
      </c>
      <c r="J62" s="158" t="str">
        <f t="shared" si="46"/>
        <v>#VALUE!</v>
      </c>
      <c r="K62" s="93"/>
      <c r="L62" s="158"/>
      <c r="M62" s="162"/>
      <c r="N62" s="87"/>
      <c r="O62" s="158"/>
      <c r="P62" s="93"/>
      <c r="Q62" s="158"/>
      <c r="R62" s="162"/>
      <c r="S62" s="87"/>
      <c r="T62" s="158"/>
      <c r="U62" s="93"/>
      <c r="V62" s="158"/>
      <c r="W62" s="162"/>
      <c r="X62" s="87"/>
      <c r="Y62" s="158"/>
      <c r="Z62" s="87"/>
      <c r="AA62" s="87"/>
    </row>
    <row r="63" ht="25.5" customHeight="1" outlineLevel="1">
      <c r="A63" s="826">
        <v>37.0</v>
      </c>
      <c r="B63" s="239" t="s">
        <v>1534</v>
      </c>
      <c r="C63" s="239" t="s">
        <v>1535</v>
      </c>
      <c r="D63" s="93">
        <v>250.0</v>
      </c>
      <c r="E63" s="93" t="s">
        <v>1536</v>
      </c>
      <c r="F63" s="93"/>
      <c r="G63" s="158">
        <f t="shared" si="44"/>
        <v>0.05304</v>
      </c>
      <c r="H63" s="162">
        <v>13.26</v>
      </c>
      <c r="I63" s="93">
        <f t="shared" si="45"/>
        <v>236.74</v>
      </c>
      <c r="J63" s="158">
        <f t="shared" si="46"/>
        <v>17.85369532</v>
      </c>
      <c r="K63" s="93"/>
      <c r="L63" s="158"/>
      <c r="M63" s="162"/>
      <c r="N63" s="87"/>
      <c r="O63" s="158"/>
      <c r="P63" s="93"/>
      <c r="Q63" s="158"/>
      <c r="R63" s="162"/>
      <c r="S63" s="87"/>
      <c r="T63" s="158"/>
      <c r="U63" s="93"/>
      <c r="V63" s="158"/>
      <c r="W63" s="162"/>
      <c r="X63" s="87"/>
      <c r="Y63" s="158"/>
      <c r="Z63" s="87"/>
      <c r="AA63" s="87"/>
    </row>
    <row r="64" ht="25.5" customHeight="1" outlineLevel="1">
      <c r="A64" s="826">
        <v>38.0</v>
      </c>
      <c r="B64" s="239" t="s">
        <v>1537</v>
      </c>
      <c r="C64" s="239" t="s">
        <v>1538</v>
      </c>
      <c r="D64" s="93">
        <v>99.0</v>
      </c>
      <c r="E64" s="93" t="s">
        <v>1539</v>
      </c>
      <c r="F64" s="93"/>
      <c r="G64" s="158">
        <f t="shared" si="44"/>
        <v>0.1317171717</v>
      </c>
      <c r="H64" s="162">
        <v>13.04</v>
      </c>
      <c r="I64" s="93">
        <f t="shared" si="45"/>
        <v>85.96</v>
      </c>
      <c r="J64" s="158">
        <f t="shared" si="46"/>
        <v>6.59202454</v>
      </c>
      <c r="K64" s="93"/>
      <c r="L64" s="158"/>
      <c r="M64" s="162"/>
      <c r="N64" s="87"/>
      <c r="O64" s="158"/>
      <c r="P64" s="93"/>
      <c r="Q64" s="158"/>
      <c r="R64" s="162"/>
      <c r="S64" s="87"/>
      <c r="T64" s="158"/>
      <c r="U64" s="93"/>
      <c r="V64" s="158"/>
      <c r="W64" s="162"/>
      <c r="X64" s="87"/>
      <c r="Y64" s="158"/>
      <c r="Z64" s="87"/>
      <c r="AA64" s="87"/>
    </row>
    <row r="65" ht="25.5" customHeight="1" outlineLevel="1">
      <c r="A65" s="826">
        <v>39.0</v>
      </c>
      <c r="B65" s="239" t="s">
        <v>1540</v>
      </c>
      <c r="C65" s="239" t="s">
        <v>1541</v>
      </c>
      <c r="D65" s="93">
        <v>89.0</v>
      </c>
      <c r="E65" s="93" t="s">
        <v>1539</v>
      </c>
      <c r="F65" s="93"/>
      <c r="G65" s="158">
        <f t="shared" si="44"/>
        <v>0.04685393258</v>
      </c>
      <c r="H65" s="162">
        <v>4.17</v>
      </c>
      <c r="I65" s="93">
        <f t="shared" si="45"/>
        <v>84.83</v>
      </c>
      <c r="J65" s="158">
        <f t="shared" si="46"/>
        <v>20.34292566</v>
      </c>
      <c r="K65" s="93"/>
      <c r="L65" s="158"/>
      <c r="M65" s="162"/>
      <c r="N65" s="87"/>
      <c r="O65" s="158"/>
      <c r="P65" s="93"/>
      <c r="Q65" s="158"/>
      <c r="R65" s="162"/>
      <c r="S65" s="87"/>
      <c r="T65" s="158"/>
      <c r="U65" s="93"/>
      <c r="V65" s="158"/>
      <c r="W65" s="162"/>
      <c r="X65" s="87"/>
      <c r="Y65" s="158"/>
      <c r="Z65" s="87"/>
      <c r="AA65" s="87"/>
    </row>
    <row r="66" ht="25.5" customHeight="1" outlineLevel="1">
      <c r="A66" s="826">
        <v>40.0</v>
      </c>
      <c r="B66" s="239" t="s">
        <v>1542</v>
      </c>
      <c r="C66" s="239" t="s">
        <v>1543</v>
      </c>
      <c r="D66" s="93">
        <v>40.0</v>
      </c>
      <c r="E66" s="93" t="s">
        <v>1544</v>
      </c>
      <c r="F66" s="93"/>
      <c r="G66" s="158">
        <f t="shared" si="44"/>
        <v>0.0955</v>
      </c>
      <c r="H66" s="162">
        <v>3.82</v>
      </c>
      <c r="I66" s="93">
        <f t="shared" si="45"/>
        <v>36.18</v>
      </c>
      <c r="J66" s="158">
        <f t="shared" si="46"/>
        <v>9.471204188</v>
      </c>
      <c r="K66" s="93"/>
      <c r="L66" s="158"/>
      <c r="M66" s="162"/>
      <c r="N66" s="87"/>
      <c r="O66" s="158"/>
      <c r="P66" s="93"/>
      <c r="Q66" s="158"/>
      <c r="R66" s="162"/>
      <c r="S66" s="87"/>
      <c r="T66" s="158"/>
      <c r="U66" s="93"/>
      <c r="V66" s="158"/>
      <c r="W66" s="162"/>
      <c r="X66" s="87"/>
      <c r="Y66" s="158"/>
      <c r="Z66" s="87"/>
      <c r="AA66" s="87"/>
    </row>
    <row r="67" ht="25.5" customHeight="1" outlineLevel="1">
      <c r="A67" s="826">
        <v>41.0</v>
      </c>
      <c r="B67" s="239" t="s">
        <v>1545</v>
      </c>
      <c r="C67" s="239" t="s">
        <v>1546</v>
      </c>
      <c r="D67" s="93">
        <v>40.0</v>
      </c>
      <c r="E67" s="93" t="s">
        <v>1544</v>
      </c>
      <c r="F67" s="93"/>
      <c r="G67" s="158">
        <f t="shared" si="44"/>
        <v>0.1255</v>
      </c>
      <c r="H67" s="162">
        <v>5.02</v>
      </c>
      <c r="I67" s="93">
        <f t="shared" si="45"/>
        <v>34.98</v>
      </c>
      <c r="J67" s="158">
        <f t="shared" si="46"/>
        <v>6.96812749</v>
      </c>
      <c r="K67" s="93"/>
      <c r="L67" s="158"/>
      <c r="M67" s="162"/>
      <c r="N67" s="87"/>
      <c r="O67" s="158"/>
      <c r="P67" s="93"/>
      <c r="Q67" s="158"/>
      <c r="R67" s="162"/>
      <c r="S67" s="87"/>
      <c r="T67" s="158"/>
      <c r="U67" s="93"/>
      <c r="V67" s="158"/>
      <c r="W67" s="162"/>
      <c r="X67" s="87"/>
      <c r="Y67" s="158"/>
      <c r="Z67" s="87"/>
      <c r="AA67" s="87"/>
    </row>
    <row r="68" ht="25.5" customHeight="1" outlineLevel="1">
      <c r="A68" s="826">
        <v>42.0</v>
      </c>
      <c r="B68" s="239" t="s">
        <v>1547</v>
      </c>
      <c r="C68" s="239" t="s">
        <v>1548</v>
      </c>
      <c r="D68" s="93">
        <v>400.0</v>
      </c>
      <c r="E68" s="93" t="s">
        <v>1549</v>
      </c>
      <c r="F68" s="93"/>
      <c r="G68" s="158">
        <f t="shared" si="44"/>
        <v>0.05765</v>
      </c>
      <c r="H68" s="162">
        <v>23.06</v>
      </c>
      <c r="I68" s="93">
        <f t="shared" si="45"/>
        <v>376.94</v>
      </c>
      <c r="J68" s="158">
        <f t="shared" si="46"/>
        <v>16.34605377</v>
      </c>
      <c r="K68" s="93"/>
      <c r="L68" s="158"/>
      <c r="M68" s="162"/>
      <c r="N68" s="87"/>
      <c r="O68" s="158"/>
      <c r="P68" s="93"/>
      <c r="Q68" s="158"/>
      <c r="R68" s="162"/>
      <c r="S68" s="87"/>
      <c r="T68" s="158"/>
      <c r="U68" s="93"/>
      <c r="V68" s="158"/>
      <c r="W68" s="162"/>
      <c r="X68" s="87"/>
      <c r="Y68" s="158"/>
      <c r="Z68" s="87"/>
      <c r="AA68" s="87"/>
    </row>
    <row r="69" ht="25.5" customHeight="1" outlineLevel="1">
      <c r="A69" s="826">
        <v>43.0</v>
      </c>
      <c r="B69" s="239" t="s">
        <v>1550</v>
      </c>
      <c r="C69" s="239" t="s">
        <v>1551</v>
      </c>
      <c r="D69" s="93">
        <v>40.0</v>
      </c>
      <c r="E69" s="93" t="s">
        <v>1552</v>
      </c>
      <c r="F69" s="93"/>
      <c r="G69" s="158">
        <f t="shared" si="44"/>
        <v>0.1255</v>
      </c>
      <c r="H69" s="162">
        <v>5.02</v>
      </c>
      <c r="I69" s="93">
        <f t="shared" si="45"/>
        <v>34.98</v>
      </c>
      <c r="J69" s="158">
        <f t="shared" si="46"/>
        <v>6.96812749</v>
      </c>
      <c r="K69" s="93"/>
      <c r="L69" s="158"/>
      <c r="M69" s="162"/>
      <c r="N69" s="87"/>
      <c r="O69" s="158"/>
      <c r="P69" s="93"/>
      <c r="Q69" s="158"/>
      <c r="R69" s="162"/>
      <c r="S69" s="87"/>
      <c r="T69" s="158"/>
      <c r="U69" s="93"/>
      <c r="V69" s="158"/>
      <c r="W69" s="162"/>
      <c r="X69" s="87"/>
      <c r="Y69" s="158"/>
      <c r="Z69" s="87"/>
      <c r="AA69" s="87"/>
    </row>
    <row r="70" ht="25.5" customHeight="1" outlineLevel="1">
      <c r="A70" s="826">
        <v>44.0</v>
      </c>
      <c r="B70" s="239" t="s">
        <v>1553</v>
      </c>
      <c r="C70" s="239" t="s">
        <v>1554</v>
      </c>
      <c r="D70" s="93">
        <v>80.0</v>
      </c>
      <c r="E70" s="93" t="s">
        <v>1531</v>
      </c>
      <c r="F70" s="93"/>
      <c r="G70" s="158">
        <f t="shared" si="44"/>
        <v>0.103125</v>
      </c>
      <c r="H70" s="162">
        <v>8.25</v>
      </c>
      <c r="I70" s="93">
        <f t="shared" si="45"/>
        <v>71.75</v>
      </c>
      <c r="J70" s="158">
        <f t="shared" si="46"/>
        <v>8.696969697</v>
      </c>
      <c r="K70" s="93"/>
      <c r="L70" s="158"/>
      <c r="M70" s="162"/>
      <c r="N70" s="87"/>
      <c r="O70" s="158"/>
      <c r="P70" s="93"/>
      <c r="Q70" s="158"/>
      <c r="R70" s="162"/>
      <c r="S70" s="87"/>
      <c r="T70" s="158"/>
      <c r="U70" s="93"/>
      <c r="V70" s="158"/>
      <c r="W70" s="162"/>
      <c r="X70" s="87"/>
      <c r="Y70" s="158"/>
      <c r="Z70" s="87"/>
      <c r="AA70" s="87"/>
    </row>
    <row r="71" ht="25.5" customHeight="1" outlineLevel="1">
      <c r="A71" s="826">
        <v>45.0</v>
      </c>
      <c r="B71" s="239" t="s">
        <v>1555</v>
      </c>
      <c r="C71" s="239" t="s">
        <v>1556</v>
      </c>
      <c r="D71" s="93">
        <v>100.0</v>
      </c>
      <c r="E71" s="93" t="s">
        <v>1557</v>
      </c>
      <c r="F71" s="93"/>
      <c r="G71" s="158">
        <f t="shared" si="44"/>
        <v>0.2306</v>
      </c>
      <c r="H71" s="162">
        <v>23.06</v>
      </c>
      <c r="I71" s="93">
        <f t="shared" si="45"/>
        <v>76.94</v>
      </c>
      <c r="J71" s="158">
        <f t="shared" si="46"/>
        <v>3.336513443</v>
      </c>
      <c r="K71" s="93"/>
      <c r="L71" s="158"/>
      <c r="M71" s="162"/>
      <c r="N71" s="87"/>
      <c r="O71" s="158"/>
      <c r="P71" s="93"/>
      <c r="Q71" s="158"/>
      <c r="R71" s="162"/>
      <c r="S71" s="87"/>
      <c r="T71" s="158"/>
      <c r="U71" s="93"/>
      <c r="V71" s="158"/>
      <c r="W71" s="162"/>
      <c r="X71" s="87"/>
      <c r="Y71" s="158"/>
      <c r="Z71" s="87"/>
      <c r="AA71" s="87"/>
    </row>
    <row r="72" ht="25.5" customHeight="1" outlineLevel="1">
      <c r="A72" s="826">
        <v>46.0</v>
      </c>
      <c r="B72" s="239" t="s">
        <v>1558</v>
      </c>
      <c r="C72" s="239" t="s">
        <v>1559</v>
      </c>
      <c r="D72" s="93">
        <v>800.0</v>
      </c>
      <c r="E72" s="93" t="s">
        <v>1560</v>
      </c>
      <c r="F72" s="93"/>
      <c r="G72" s="158">
        <f t="shared" si="44"/>
        <v>0.2867125</v>
      </c>
      <c r="H72" s="162">
        <v>229.37</v>
      </c>
      <c r="I72" s="93">
        <f t="shared" si="45"/>
        <v>570.63</v>
      </c>
      <c r="J72" s="158">
        <f t="shared" si="46"/>
        <v>2.487814448</v>
      </c>
      <c r="K72" s="93"/>
      <c r="L72" s="158"/>
      <c r="M72" s="162"/>
      <c r="N72" s="87"/>
      <c r="O72" s="158"/>
      <c r="P72" s="93"/>
      <c r="Q72" s="158"/>
      <c r="R72" s="162"/>
      <c r="S72" s="87"/>
      <c r="T72" s="158"/>
      <c r="U72" s="93"/>
      <c r="V72" s="158"/>
      <c r="W72" s="162"/>
      <c r="X72" s="87"/>
      <c r="Y72" s="158"/>
      <c r="Z72" s="87"/>
      <c r="AA72" s="87"/>
    </row>
    <row r="73" ht="25.5" customHeight="1">
      <c r="A73" s="614"/>
      <c r="B73" s="830" t="str">
        <f>"ТОРТ ИНДИВИД+ЕГО ДОПЫ "&amp;COUNTA(B76:B92)&amp;" шт"</f>
        <v>ТОРТ ИНДИВИД+ЕГО ДОПЫ 3 шт</v>
      </c>
      <c r="C73" s="614"/>
      <c r="D73" s="695"/>
      <c r="E73" s="616"/>
      <c r="F73" s="695"/>
      <c r="G73" s="647">
        <f>AVERAGE(G76)</f>
        <v>0.2368421053</v>
      </c>
      <c r="H73" s="618"/>
      <c r="I73" s="614"/>
      <c r="J73" s="614"/>
      <c r="K73" s="695"/>
      <c r="L73" s="695"/>
      <c r="M73" s="695"/>
      <c r="N73" s="695"/>
      <c r="O73" s="695"/>
      <c r="P73" s="695"/>
      <c r="Q73" s="695"/>
      <c r="R73" s="695"/>
      <c r="S73" s="695"/>
      <c r="T73" s="695"/>
      <c r="U73" s="695"/>
      <c r="V73" s="695"/>
      <c r="W73" s="695"/>
      <c r="X73" s="695"/>
      <c r="Y73" s="695"/>
      <c r="Z73" s="86"/>
      <c r="AA73" s="86"/>
    </row>
    <row r="74" ht="60.75" customHeight="1" outlineLevel="1">
      <c r="A74" s="826"/>
      <c r="B74" s="239" t="s">
        <v>1486</v>
      </c>
      <c r="C74" s="87" t="s">
        <v>1487</v>
      </c>
      <c r="D74" s="93">
        <v>2500.0</v>
      </c>
      <c r="E74" s="258">
        <v>1000.0</v>
      </c>
      <c r="F74" s="93"/>
      <c r="G74" s="158">
        <f t="shared" ref="G74:G76" si="47">H74/D74</f>
        <v>0.26</v>
      </c>
      <c r="H74" s="162">
        <v>650.0</v>
      </c>
      <c r="I74" s="93">
        <f t="shared" ref="I74:I76" si="48">D74-H74</f>
        <v>1850</v>
      </c>
      <c r="J74" s="158">
        <f t="shared" ref="J74:J76" si="49">D74/H74-1</f>
        <v>2.846153846</v>
      </c>
      <c r="K74" s="93"/>
      <c r="L74" s="158"/>
      <c r="M74" s="162"/>
      <c r="N74" s="87"/>
      <c r="O74" s="158"/>
      <c r="P74" s="93"/>
      <c r="Q74" s="158"/>
      <c r="R74" s="162"/>
      <c r="S74" s="87"/>
      <c r="T74" s="158"/>
      <c r="U74" s="93"/>
      <c r="V74" s="158"/>
      <c r="W74" s="162"/>
      <c r="X74" s="87"/>
      <c r="Y74" s="158"/>
      <c r="Z74" s="87"/>
      <c r="AA74" s="87"/>
    </row>
    <row r="75" ht="60.75" customHeight="1" outlineLevel="1">
      <c r="A75" s="826"/>
      <c r="B75" s="239" t="s">
        <v>1488</v>
      </c>
      <c r="C75" s="87" t="s">
        <v>1487</v>
      </c>
      <c r="D75" s="93">
        <v>2950.0</v>
      </c>
      <c r="E75" s="258">
        <v>1000.0</v>
      </c>
      <c r="F75" s="93"/>
      <c r="G75" s="158">
        <f t="shared" si="47"/>
        <v>0.2542372881</v>
      </c>
      <c r="H75" s="162">
        <v>750.0</v>
      </c>
      <c r="I75" s="93">
        <f t="shared" si="48"/>
        <v>2200</v>
      </c>
      <c r="J75" s="158">
        <f t="shared" si="49"/>
        <v>2.933333333</v>
      </c>
      <c r="K75" s="93"/>
      <c r="L75" s="158"/>
      <c r="M75" s="162"/>
      <c r="N75" s="87"/>
      <c r="O75" s="158"/>
      <c r="P75" s="93"/>
      <c r="Q75" s="158"/>
      <c r="R75" s="162"/>
      <c r="S75" s="87"/>
      <c r="T75" s="158"/>
      <c r="U75" s="93"/>
      <c r="V75" s="158"/>
      <c r="W75" s="162"/>
      <c r="X75" s="87"/>
      <c r="Y75" s="158"/>
      <c r="Z75" s="87"/>
      <c r="AA75" s="87"/>
    </row>
    <row r="76" ht="60.75" customHeight="1" outlineLevel="1">
      <c r="A76" s="826">
        <v>47.0</v>
      </c>
      <c r="B76" s="239" t="s">
        <v>1489</v>
      </c>
      <c r="C76" s="87" t="s">
        <v>1487</v>
      </c>
      <c r="D76" s="93">
        <v>3800.0</v>
      </c>
      <c r="E76" s="258">
        <v>1000.0</v>
      </c>
      <c r="F76" s="93"/>
      <c r="G76" s="158">
        <f t="shared" si="47"/>
        <v>0.2368421053</v>
      </c>
      <c r="H76" s="162">
        <v>900.0</v>
      </c>
      <c r="I76" s="93">
        <f t="shared" si="48"/>
        <v>2900</v>
      </c>
      <c r="J76" s="158">
        <f t="shared" si="49"/>
        <v>3.222222222</v>
      </c>
      <c r="K76" s="93"/>
      <c r="L76" s="158"/>
      <c r="M76" s="162"/>
      <c r="N76" s="87"/>
      <c r="O76" s="158"/>
      <c r="P76" s="93"/>
      <c r="Q76" s="158"/>
      <c r="R76" s="162"/>
      <c r="S76" s="87"/>
      <c r="T76" s="158"/>
      <c r="U76" s="93"/>
      <c r="V76" s="158"/>
      <c r="W76" s="162"/>
      <c r="X76" s="87"/>
      <c r="Y76" s="158"/>
      <c r="Z76" s="87"/>
      <c r="AA76" s="87"/>
    </row>
    <row r="77" ht="25.5" customHeight="1" collapsed="1">
      <c r="A77" s="614"/>
      <c r="B77" s="615" t="s">
        <v>1604</v>
      </c>
      <c r="C77" s="614"/>
      <c r="D77" s="695"/>
      <c r="E77" s="616"/>
      <c r="F77" s="695"/>
      <c r="G77" s="647">
        <f>AVERAGE(G78:G82)</f>
        <v>0.1690909091</v>
      </c>
      <c r="H77" s="618"/>
      <c r="I77" s="614"/>
      <c r="J77" s="614"/>
      <c r="K77" s="695"/>
      <c r="L77" s="695"/>
      <c r="M77" s="695"/>
      <c r="N77" s="695"/>
      <c r="O77" s="695"/>
      <c r="P77" s="695"/>
      <c r="Q77" s="695"/>
      <c r="R77" s="695"/>
      <c r="S77" s="695"/>
      <c r="T77" s="695"/>
      <c r="U77" s="695"/>
      <c r="V77" s="695"/>
      <c r="W77" s="618"/>
      <c r="X77" s="614"/>
      <c r="Y77" s="614"/>
      <c r="Z77" s="86"/>
      <c r="AA77" s="86"/>
    </row>
    <row r="78" ht="25.5" hidden="1" customHeight="1" outlineLevel="1">
      <c r="A78" s="826">
        <v>65.0</v>
      </c>
      <c r="B78" s="89" t="s">
        <v>1577</v>
      </c>
      <c r="C78" s="274"/>
      <c r="D78" s="243">
        <v>99.0</v>
      </c>
      <c r="E78" s="265" t="s">
        <v>1578</v>
      </c>
      <c r="F78" s="243"/>
      <c r="G78" s="158">
        <f>H78/D78</f>
        <v>0.1690909091</v>
      </c>
      <c r="H78" s="275">
        <v>16.74</v>
      </c>
      <c r="I78" s="93">
        <f>D78-H78</f>
        <v>82.26</v>
      </c>
      <c r="J78" s="158">
        <f>D78/H78-1</f>
        <v>4.913978495</v>
      </c>
      <c r="K78" s="243"/>
      <c r="L78" s="247"/>
      <c r="M78" s="275"/>
      <c r="N78" s="239"/>
      <c r="O78" s="247"/>
      <c r="P78" s="243"/>
      <c r="Q78" s="247"/>
      <c r="R78" s="275"/>
      <c r="S78" s="239"/>
      <c r="T78" s="247"/>
      <c r="U78" s="243"/>
      <c r="V78" s="247"/>
      <c r="W78" s="275"/>
      <c r="X78" s="239"/>
      <c r="Y78" s="247"/>
      <c r="Z78" s="239"/>
      <c r="AA78" s="239"/>
    </row>
    <row r="79" ht="25.5" hidden="1" customHeight="1" outlineLevel="1">
      <c r="A79" s="239"/>
      <c r="B79" s="838"/>
      <c r="C79" s="274"/>
      <c r="D79" s="243"/>
      <c r="E79" s="265"/>
      <c r="F79" s="243"/>
      <c r="G79" s="247"/>
      <c r="H79" s="275"/>
      <c r="I79" s="239"/>
      <c r="J79" s="247"/>
      <c r="K79" s="243"/>
      <c r="L79" s="247"/>
      <c r="M79" s="275"/>
      <c r="N79" s="239"/>
      <c r="O79" s="247"/>
      <c r="P79" s="243"/>
      <c r="Q79" s="247"/>
      <c r="R79" s="275"/>
      <c r="S79" s="239"/>
      <c r="T79" s="247"/>
      <c r="U79" s="243"/>
      <c r="V79" s="247"/>
      <c r="W79" s="275"/>
      <c r="X79" s="239"/>
      <c r="Y79" s="247"/>
      <c r="Z79" s="239"/>
      <c r="AA79" s="239"/>
    </row>
    <row r="80" ht="25.5" hidden="1" customHeight="1" outlineLevel="1">
      <c r="A80" s="239"/>
      <c r="B80" s="89"/>
      <c r="C80" s="274"/>
      <c r="D80" s="243"/>
      <c r="E80" s="265"/>
      <c r="F80" s="243"/>
      <c r="G80" s="247"/>
      <c r="H80" s="275"/>
      <c r="I80" s="239"/>
      <c r="J80" s="247"/>
      <c r="K80" s="243"/>
      <c r="L80" s="247"/>
      <c r="M80" s="275"/>
      <c r="N80" s="239"/>
      <c r="O80" s="247"/>
      <c r="P80" s="243"/>
      <c r="Q80" s="247"/>
      <c r="R80" s="275"/>
      <c r="S80" s="239"/>
      <c r="T80" s="247"/>
      <c r="U80" s="243"/>
      <c r="V80" s="247"/>
      <c r="W80" s="275"/>
      <c r="X80" s="239"/>
      <c r="Y80" s="247"/>
      <c r="Z80" s="239"/>
      <c r="AA80" s="239"/>
    </row>
    <row r="81" ht="25.5" hidden="1" customHeight="1" outlineLevel="1">
      <c r="A81" s="239"/>
      <c r="B81" s="89"/>
      <c r="C81" s="274"/>
      <c r="D81" s="243"/>
      <c r="E81" s="265"/>
      <c r="F81" s="243"/>
      <c r="G81" s="247"/>
      <c r="H81" s="275"/>
      <c r="I81" s="239"/>
      <c r="J81" s="247"/>
      <c r="K81" s="243"/>
      <c r="L81" s="247"/>
      <c r="M81" s="275"/>
      <c r="N81" s="239"/>
      <c r="O81" s="247"/>
      <c r="P81" s="243"/>
      <c r="Q81" s="247"/>
      <c r="R81" s="275"/>
      <c r="S81" s="239"/>
      <c r="T81" s="247"/>
      <c r="U81" s="243"/>
      <c r="V81" s="247"/>
      <c r="W81" s="275"/>
      <c r="X81" s="239"/>
      <c r="Y81" s="247"/>
      <c r="Z81" s="239"/>
      <c r="AA81" s="239"/>
    </row>
    <row r="82" ht="25.5" hidden="1" customHeight="1" outlineLevel="1">
      <c r="A82" s="239"/>
      <c r="B82" s="89"/>
      <c r="C82" s="274"/>
      <c r="D82" s="243"/>
      <c r="E82" s="265"/>
      <c r="F82" s="243"/>
      <c r="G82" s="247"/>
      <c r="H82" s="275"/>
      <c r="I82" s="239"/>
      <c r="J82" s="247"/>
      <c r="K82" s="243"/>
      <c r="L82" s="247"/>
      <c r="M82" s="275"/>
      <c r="N82" s="239"/>
      <c r="O82" s="247"/>
      <c r="P82" s="243"/>
      <c r="Q82" s="247"/>
      <c r="R82" s="275"/>
      <c r="S82" s="239"/>
      <c r="T82" s="247"/>
      <c r="U82" s="243"/>
      <c r="V82" s="247"/>
      <c r="W82" s="275"/>
      <c r="X82" s="239"/>
      <c r="Y82" s="247"/>
      <c r="Z82" s="239"/>
      <c r="AA82" s="239"/>
    </row>
    <row r="83" ht="25.5" hidden="1" customHeight="1" outlineLevel="1">
      <c r="A83" s="239"/>
      <c r="B83" s="89"/>
      <c r="C83" s="274"/>
      <c r="D83" s="243"/>
      <c r="E83" s="265"/>
      <c r="F83" s="243"/>
      <c r="G83" s="247"/>
      <c r="H83" s="275"/>
      <c r="I83" s="239"/>
      <c r="J83" s="247"/>
      <c r="K83" s="243"/>
      <c r="L83" s="247"/>
      <c r="M83" s="275"/>
      <c r="N83" s="239"/>
      <c r="O83" s="247"/>
      <c r="P83" s="243"/>
      <c r="Q83" s="247"/>
      <c r="R83" s="275"/>
      <c r="S83" s="239"/>
      <c r="T83" s="247"/>
      <c r="U83" s="243"/>
      <c r="V83" s="247"/>
      <c r="W83" s="275"/>
      <c r="X83" s="239"/>
      <c r="Y83" s="247"/>
      <c r="Z83" s="239"/>
      <c r="AA83" s="239"/>
    </row>
    <row r="84" ht="25.5" hidden="1" customHeight="1" outlineLevel="1">
      <c r="A84" s="239"/>
      <c r="B84" s="89"/>
      <c r="C84" s="274"/>
      <c r="D84" s="243"/>
      <c r="E84" s="265"/>
      <c r="F84" s="243"/>
      <c r="G84" s="247"/>
      <c r="H84" s="275"/>
      <c r="I84" s="239"/>
      <c r="J84" s="247"/>
      <c r="K84" s="243"/>
      <c r="L84" s="247"/>
      <c r="M84" s="275"/>
      <c r="N84" s="239"/>
      <c r="O84" s="247"/>
      <c r="P84" s="243"/>
      <c r="Q84" s="247"/>
      <c r="R84" s="275"/>
      <c r="S84" s="239"/>
      <c r="T84" s="247"/>
      <c r="U84" s="243"/>
      <c r="V84" s="247"/>
      <c r="W84" s="275"/>
      <c r="X84" s="239"/>
      <c r="Y84" s="247"/>
      <c r="Z84" s="239"/>
      <c r="AA84" s="239"/>
    </row>
    <row r="85" ht="25.5" customHeight="1">
      <c r="A85" s="239"/>
      <c r="B85" s="87"/>
      <c r="C85" s="274"/>
      <c r="D85" s="243"/>
      <c r="E85" s="265"/>
      <c r="F85" s="243"/>
      <c r="G85" s="247"/>
      <c r="H85" s="275"/>
      <c r="I85" s="239"/>
      <c r="J85" s="247"/>
      <c r="K85" s="243"/>
      <c r="L85" s="247"/>
      <c r="M85" s="275"/>
      <c r="N85" s="239"/>
      <c r="O85" s="247"/>
      <c r="P85" s="243"/>
      <c r="Q85" s="247"/>
      <c r="R85" s="275"/>
      <c r="S85" s="239"/>
      <c r="T85" s="247"/>
      <c r="U85" s="243"/>
      <c r="V85" s="247"/>
      <c r="W85" s="275"/>
      <c r="X85" s="239"/>
      <c r="Y85" s="247"/>
      <c r="Z85" s="239"/>
      <c r="AA85" s="239"/>
    </row>
    <row r="86" ht="25.5" customHeight="1">
      <c r="A86" s="239"/>
      <c r="B86" s="89"/>
      <c r="C86" s="274"/>
      <c r="D86" s="243"/>
      <c r="E86" s="265"/>
      <c r="F86" s="243"/>
      <c r="G86" s="247"/>
      <c r="H86" s="275"/>
      <c r="I86" s="239"/>
      <c r="J86" s="247"/>
      <c r="K86" s="243"/>
      <c r="L86" s="247"/>
      <c r="M86" s="275"/>
      <c r="N86" s="239"/>
      <c r="O86" s="247"/>
      <c r="P86" s="243"/>
      <c r="Q86" s="247"/>
      <c r="R86" s="275"/>
      <c r="S86" s="239"/>
      <c r="T86" s="247"/>
      <c r="U86" s="243"/>
      <c r="V86" s="247"/>
      <c r="W86" s="275"/>
      <c r="X86" s="239"/>
      <c r="Y86" s="247"/>
      <c r="Z86" s="239"/>
      <c r="AA86" s="239"/>
    </row>
    <row r="87" ht="25.5" customHeight="1">
      <c r="A87" s="239"/>
      <c r="B87" s="89"/>
      <c r="C87" s="274"/>
      <c r="D87" s="243"/>
      <c r="E87" s="265"/>
      <c r="F87" s="243"/>
      <c r="G87" s="247"/>
      <c r="H87" s="275"/>
      <c r="I87" s="239"/>
      <c r="J87" s="247"/>
      <c r="K87" s="243"/>
      <c r="L87" s="247"/>
      <c r="M87" s="275"/>
      <c r="N87" s="239"/>
      <c r="O87" s="247"/>
      <c r="P87" s="243"/>
      <c r="Q87" s="247"/>
      <c r="R87" s="275"/>
      <c r="S87" s="239"/>
      <c r="T87" s="247"/>
      <c r="U87" s="243"/>
      <c r="V87" s="247"/>
      <c r="W87" s="275"/>
      <c r="X87" s="239"/>
      <c r="Y87" s="247"/>
      <c r="Z87" s="239"/>
      <c r="AA87" s="239"/>
    </row>
    <row r="88" ht="25.5" customHeight="1">
      <c r="A88" s="239"/>
      <c r="B88" s="89"/>
      <c r="C88" s="274"/>
      <c r="D88" s="243"/>
      <c r="E88" s="265"/>
      <c r="F88" s="243"/>
      <c r="G88" s="247"/>
      <c r="H88" s="275"/>
      <c r="I88" s="239"/>
      <c r="J88" s="247"/>
      <c r="K88" s="243"/>
      <c r="L88" s="247"/>
      <c r="M88" s="275"/>
      <c r="N88" s="239"/>
      <c r="O88" s="247"/>
      <c r="P88" s="243"/>
      <c r="Q88" s="247"/>
      <c r="R88" s="275"/>
      <c r="S88" s="239"/>
      <c r="T88" s="247"/>
      <c r="U88" s="243"/>
      <c r="V88" s="247"/>
      <c r="W88" s="275"/>
      <c r="X88" s="239"/>
      <c r="Y88" s="247"/>
      <c r="Z88" s="239"/>
      <c r="AA88" s="239"/>
    </row>
    <row r="89" ht="25.5" customHeight="1">
      <c r="A89" s="239"/>
      <c r="B89" s="89"/>
      <c r="C89" s="274"/>
      <c r="D89" s="243"/>
      <c r="E89" s="265"/>
      <c r="F89" s="243"/>
      <c r="G89" s="247"/>
      <c r="H89" s="275"/>
      <c r="I89" s="239"/>
      <c r="J89" s="247"/>
      <c r="K89" s="243"/>
      <c r="L89" s="247"/>
      <c r="M89" s="275"/>
      <c r="N89" s="239"/>
      <c r="O89" s="247"/>
      <c r="P89" s="243"/>
      <c r="Q89" s="247"/>
      <c r="R89" s="275"/>
      <c r="S89" s="239"/>
      <c r="T89" s="247"/>
      <c r="U89" s="243"/>
      <c r="V89" s="247"/>
      <c r="W89" s="275"/>
      <c r="X89" s="239"/>
      <c r="Y89" s="247"/>
      <c r="Z89" s="239"/>
      <c r="AA89" s="239"/>
    </row>
    <row r="90" ht="25.5" customHeight="1">
      <c r="A90" s="239"/>
      <c r="B90" s="89"/>
      <c r="C90" s="274"/>
      <c r="D90" s="243"/>
      <c r="E90" s="265"/>
      <c r="F90" s="243"/>
      <c r="G90" s="247"/>
      <c r="H90" s="275"/>
      <c r="I90" s="239"/>
      <c r="J90" s="247"/>
      <c r="K90" s="243"/>
      <c r="L90" s="247"/>
      <c r="M90" s="275"/>
      <c r="N90" s="239"/>
      <c r="O90" s="247"/>
      <c r="P90" s="243"/>
      <c r="Q90" s="247"/>
      <c r="R90" s="275"/>
      <c r="S90" s="239"/>
      <c r="T90" s="247"/>
      <c r="U90" s="243"/>
      <c r="V90" s="247"/>
      <c r="W90" s="275"/>
      <c r="X90" s="239"/>
      <c r="Y90" s="247"/>
      <c r="Z90" s="239"/>
      <c r="AA90" s="239"/>
    </row>
    <row r="91" ht="25.5" customHeight="1">
      <c r="A91" s="239"/>
      <c r="B91" s="89"/>
      <c r="C91" s="274"/>
      <c r="D91" s="243"/>
      <c r="E91" s="265"/>
      <c r="F91" s="243"/>
      <c r="G91" s="247"/>
      <c r="H91" s="275"/>
      <c r="I91" s="239"/>
      <c r="J91" s="247"/>
      <c r="K91" s="243"/>
      <c r="L91" s="247"/>
      <c r="M91" s="275"/>
      <c r="N91" s="239"/>
      <c r="O91" s="247"/>
      <c r="P91" s="243"/>
      <c r="Q91" s="247"/>
      <c r="R91" s="275"/>
      <c r="S91" s="239"/>
      <c r="T91" s="247"/>
      <c r="U91" s="243"/>
      <c r="V91" s="247"/>
      <c r="W91" s="275"/>
      <c r="X91" s="239"/>
      <c r="Y91" s="247"/>
      <c r="Z91" s="239"/>
      <c r="AA91" s="239"/>
    </row>
    <row r="92" ht="25.5" customHeight="1">
      <c r="A92" s="239"/>
      <c r="B92" s="89"/>
      <c r="C92" s="274"/>
      <c r="D92" s="243"/>
      <c r="E92" s="265"/>
      <c r="F92" s="243"/>
      <c r="G92" s="247"/>
      <c r="H92" s="275"/>
      <c r="I92" s="239"/>
      <c r="J92" s="247"/>
      <c r="K92" s="243"/>
      <c r="L92" s="247"/>
      <c r="M92" s="275"/>
      <c r="N92" s="239"/>
      <c r="O92" s="247"/>
      <c r="P92" s="243"/>
      <c r="Q92" s="247"/>
      <c r="R92" s="275"/>
      <c r="S92" s="239"/>
      <c r="T92" s="247"/>
      <c r="U92" s="243"/>
      <c r="V92" s="247"/>
      <c r="W92" s="275"/>
      <c r="X92" s="239"/>
      <c r="Y92" s="247"/>
      <c r="Z92" s="239"/>
      <c r="AA92" s="239"/>
    </row>
    <row r="93" ht="25.5" customHeight="1">
      <c r="A93" s="239"/>
      <c r="B93" s="89"/>
      <c r="C93" s="274"/>
      <c r="D93" s="243"/>
      <c r="E93" s="265"/>
      <c r="F93" s="243"/>
      <c r="G93" s="247"/>
      <c r="H93" s="275"/>
      <c r="I93" s="239"/>
      <c r="J93" s="247"/>
      <c r="K93" s="243"/>
      <c r="L93" s="247"/>
      <c r="M93" s="275"/>
      <c r="N93" s="239"/>
      <c r="O93" s="247"/>
      <c r="P93" s="243"/>
      <c r="Q93" s="247"/>
      <c r="R93" s="275"/>
      <c r="S93" s="239"/>
      <c r="T93" s="247"/>
      <c r="U93" s="243"/>
      <c r="V93" s="247"/>
      <c r="W93" s="275"/>
      <c r="X93" s="239"/>
      <c r="Y93" s="247"/>
      <c r="Z93" s="239"/>
      <c r="AA93" s="239"/>
    </row>
    <row r="94" ht="25.5" customHeight="1">
      <c r="A94" s="239"/>
      <c r="B94" s="89"/>
      <c r="C94" s="274"/>
      <c r="D94" s="243"/>
      <c r="E94" s="265"/>
      <c r="F94" s="243"/>
      <c r="G94" s="247"/>
      <c r="H94" s="275"/>
      <c r="I94" s="239"/>
      <c r="J94" s="247"/>
      <c r="K94" s="243"/>
      <c r="L94" s="247"/>
      <c r="M94" s="275"/>
      <c r="N94" s="239"/>
      <c r="O94" s="247"/>
      <c r="P94" s="243"/>
      <c r="Q94" s="247"/>
      <c r="R94" s="275"/>
      <c r="S94" s="239"/>
      <c r="T94" s="247"/>
      <c r="U94" s="243"/>
      <c r="V94" s="247"/>
      <c r="W94" s="275"/>
      <c r="X94" s="239"/>
      <c r="Y94" s="247"/>
      <c r="Z94" s="239"/>
      <c r="AA94" s="239"/>
    </row>
    <row r="95" ht="25.5" customHeight="1">
      <c r="A95" s="239"/>
      <c r="B95" s="89"/>
      <c r="C95" s="274"/>
      <c r="D95" s="243"/>
      <c r="E95" s="265"/>
      <c r="F95" s="243"/>
      <c r="G95" s="247"/>
      <c r="H95" s="275"/>
      <c r="I95" s="239"/>
      <c r="J95" s="247"/>
      <c r="K95" s="243"/>
      <c r="L95" s="247"/>
      <c r="M95" s="275"/>
      <c r="N95" s="239"/>
      <c r="O95" s="247"/>
      <c r="P95" s="243"/>
      <c r="Q95" s="247"/>
      <c r="R95" s="275"/>
      <c r="S95" s="239"/>
      <c r="T95" s="247"/>
      <c r="U95" s="243"/>
      <c r="V95" s="247"/>
      <c r="W95" s="275"/>
      <c r="X95" s="239"/>
      <c r="Y95" s="247"/>
      <c r="Z95" s="239"/>
      <c r="AA95" s="239"/>
    </row>
    <row r="96" ht="25.5" customHeight="1">
      <c r="A96" s="239"/>
      <c r="B96" s="89"/>
      <c r="C96" s="274"/>
      <c r="D96" s="243"/>
      <c r="E96" s="265"/>
      <c r="F96" s="243"/>
      <c r="G96" s="247"/>
      <c r="H96" s="275"/>
      <c r="I96" s="239"/>
      <c r="J96" s="247"/>
      <c r="K96" s="243"/>
      <c r="L96" s="247"/>
      <c r="M96" s="275"/>
      <c r="N96" s="239"/>
      <c r="O96" s="247"/>
      <c r="P96" s="243"/>
      <c r="Q96" s="247"/>
      <c r="R96" s="275"/>
      <c r="S96" s="239"/>
      <c r="T96" s="247"/>
      <c r="U96" s="243"/>
      <c r="V96" s="247"/>
      <c r="W96" s="275"/>
      <c r="X96" s="239"/>
      <c r="Y96" s="247"/>
      <c r="Z96" s="239"/>
      <c r="AA96" s="239"/>
    </row>
    <row r="97" ht="25.5" customHeight="1">
      <c r="A97" s="239"/>
      <c r="B97" s="89"/>
      <c r="C97" s="274"/>
      <c r="D97" s="243"/>
      <c r="E97" s="265"/>
      <c r="F97" s="243"/>
      <c r="G97" s="247"/>
      <c r="H97" s="275"/>
      <c r="I97" s="239"/>
      <c r="J97" s="247"/>
      <c r="K97" s="243"/>
      <c r="L97" s="247"/>
      <c r="M97" s="275"/>
      <c r="N97" s="239"/>
      <c r="O97" s="247"/>
      <c r="P97" s="243"/>
      <c r="Q97" s="247"/>
      <c r="R97" s="275"/>
      <c r="S97" s="239"/>
      <c r="T97" s="247"/>
      <c r="U97" s="243"/>
      <c r="V97" s="247"/>
      <c r="W97" s="275"/>
      <c r="X97" s="239"/>
      <c r="Y97" s="247"/>
      <c r="Z97" s="239"/>
      <c r="AA97" s="239"/>
    </row>
    <row r="98" ht="25.5" customHeight="1">
      <c r="A98" s="239"/>
      <c r="B98" s="89"/>
      <c r="C98" s="274"/>
      <c r="D98" s="243"/>
      <c r="E98" s="265"/>
      <c r="F98" s="243"/>
      <c r="G98" s="247"/>
      <c r="H98" s="275"/>
      <c r="I98" s="239"/>
      <c r="J98" s="247"/>
      <c r="K98" s="243"/>
      <c r="L98" s="247"/>
      <c r="M98" s="275"/>
      <c r="N98" s="239"/>
      <c r="O98" s="247"/>
      <c r="P98" s="243"/>
      <c r="Q98" s="247"/>
      <c r="R98" s="275"/>
      <c r="S98" s="239"/>
      <c r="T98" s="247"/>
      <c r="U98" s="243"/>
      <c r="V98" s="247"/>
      <c r="W98" s="275"/>
      <c r="X98" s="239"/>
      <c r="Y98" s="247"/>
      <c r="Z98" s="239"/>
      <c r="AA98" s="239"/>
    </row>
    <row r="99" ht="25.5" customHeight="1">
      <c r="A99" s="239"/>
      <c r="B99" s="89"/>
      <c r="C99" s="274"/>
      <c r="D99" s="243"/>
      <c r="E99" s="265"/>
      <c r="F99" s="243"/>
      <c r="G99" s="247"/>
      <c r="H99" s="275"/>
      <c r="I99" s="239"/>
      <c r="J99" s="247"/>
      <c r="K99" s="243"/>
      <c r="L99" s="247"/>
      <c r="M99" s="275"/>
      <c r="N99" s="239"/>
      <c r="O99" s="247"/>
      <c r="P99" s="243"/>
      <c r="Q99" s="247"/>
      <c r="R99" s="275"/>
      <c r="S99" s="239"/>
      <c r="T99" s="247"/>
      <c r="U99" s="243"/>
      <c r="V99" s="247"/>
      <c r="W99" s="275"/>
      <c r="X99" s="239"/>
      <c r="Y99" s="247"/>
      <c r="Z99" s="239"/>
      <c r="AA99" s="239"/>
    </row>
    <row r="100" ht="25.5" customHeight="1">
      <c r="A100" s="239"/>
      <c r="B100" s="89"/>
      <c r="C100" s="274"/>
      <c r="D100" s="243"/>
      <c r="E100" s="265"/>
      <c r="F100" s="243"/>
      <c r="G100" s="247"/>
      <c r="H100" s="275"/>
      <c r="I100" s="239"/>
      <c r="J100" s="247"/>
      <c r="K100" s="243"/>
      <c r="L100" s="247"/>
      <c r="M100" s="275"/>
      <c r="N100" s="239"/>
      <c r="O100" s="247"/>
      <c r="P100" s="243"/>
      <c r="Q100" s="247"/>
      <c r="R100" s="275"/>
      <c r="S100" s="239"/>
      <c r="T100" s="247"/>
      <c r="U100" s="243"/>
      <c r="V100" s="247"/>
      <c r="W100" s="275"/>
      <c r="X100" s="239"/>
      <c r="Y100" s="247"/>
      <c r="Z100" s="239"/>
      <c r="AA100" s="23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conditionalFormatting sqref="G1:G100 L1:L100 Q1:Q100 R19 R32 R34 V1:V100 W7:W8 W13 W15 W19:W20 W22 W27 W3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Z1:AA100">
    <cfRule type="containsText" dxfId="0" priority="2" operator="containsText" text="нет">
      <formula>NOT(ISERROR(SEARCH(("нет"),(Z1))))</formula>
    </cfRule>
  </conditionalFormatting>
  <conditionalFormatting sqref="C37 F1:F77 K1:K77 L34:O34 L36:O36 L46:O46 L73:O73 L77:O77 P1:P77 Q4:T4 Q19:T19 Q30:Q32 Q34:T34 Q36:T36 Q46:T46 Q73:T73 Q77:T77 R32:S32 T30:T32 U1:U77 V4:V8 V13:V15 V19:Y20 V22:V23 V27:Y27 V29:V32 V34:Y34 V36 V46:Y46 V73:Y73 V77 W4:X4 W7:X8 W13:X13 W15:X15 W22:Y22 W32:X32 Y4:Y8 Y13:Y15 Y29:Y32">
    <cfRule type="colorScale" priority="3">
      <colorScale>
        <cfvo type="min"/>
        <cfvo type="max"/>
        <color rgb="FFFFFFFF"/>
        <color rgb="FFE67C73"/>
      </colorScale>
    </cfRule>
  </conditionalFormatting>
  <conditionalFormatting sqref="D4:D33">
    <cfRule type="colorScale" priority="4">
      <colorScale>
        <cfvo type="min"/>
        <cfvo type="max"/>
        <color rgb="FFFFFFFF"/>
        <color rgb="FF00FF00"/>
      </colorScale>
    </cfRule>
  </conditionalFormatting>
  <dataValidations>
    <dataValidation type="list" allowBlank="1" showErrorMessage="1" sqref="Z3:AA100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7.29"/>
    <col customWidth="1" min="2" max="2" width="49.29"/>
    <col customWidth="1" min="3" max="3" width="35.86"/>
    <col customWidth="1" min="4" max="5" width="34.86"/>
    <col customWidth="1" min="6" max="7" width="8.43"/>
    <col customWidth="1" min="8" max="8" width="11.0"/>
    <col customWidth="1" min="9" max="11" width="8.43"/>
    <col customWidth="1" min="12" max="12" width="11.86"/>
    <col customWidth="1" min="13" max="14" width="9.86"/>
    <col customWidth="1" min="15" max="15" width="14.14"/>
    <col customWidth="1" min="16" max="29" width="14.71"/>
  </cols>
  <sheetData>
    <row r="1">
      <c r="A1" s="285"/>
      <c r="C1" s="595" t="s">
        <v>1605</v>
      </c>
      <c r="D1" s="595" t="s">
        <v>1606</v>
      </c>
      <c r="E1" s="595"/>
      <c r="F1" s="602"/>
      <c r="G1" s="300"/>
      <c r="H1" s="603"/>
      <c r="I1" s="839">
        <f>AVERAGE(I4:I118)</f>
        <v>0.1970806685</v>
      </c>
      <c r="J1" s="285"/>
      <c r="K1" s="413"/>
      <c r="L1" s="331"/>
      <c r="M1" s="285"/>
      <c r="N1" s="285"/>
      <c r="O1" s="840"/>
      <c r="P1" s="840"/>
      <c r="Q1" s="840"/>
      <c r="R1" s="840"/>
      <c r="S1" s="840"/>
      <c r="T1" s="840"/>
      <c r="U1" s="840"/>
      <c r="V1" s="840"/>
      <c r="W1" s="840"/>
      <c r="X1" s="840"/>
      <c r="Y1" s="840"/>
      <c r="Z1" s="840"/>
      <c r="AA1" s="840"/>
      <c r="AB1" s="840"/>
      <c r="AC1" s="840"/>
    </row>
    <row r="2" ht="31.5" customHeight="1">
      <c r="A2" s="285"/>
      <c r="B2" s="595" t="s">
        <v>498</v>
      </c>
      <c r="C2" s="595" t="s">
        <v>1324</v>
      </c>
      <c r="D2" s="595" t="s">
        <v>1015</v>
      </c>
      <c r="E2" s="595"/>
      <c r="F2" s="280" t="s">
        <v>96</v>
      </c>
      <c r="G2" s="300" t="s">
        <v>465</v>
      </c>
      <c r="H2" s="841" t="s">
        <v>99</v>
      </c>
      <c r="I2" s="284" t="s">
        <v>100</v>
      </c>
      <c r="J2" s="285" t="s">
        <v>466</v>
      </c>
      <c r="K2" s="286" t="s">
        <v>102</v>
      </c>
      <c r="L2" s="287" t="s">
        <v>505</v>
      </c>
      <c r="M2" s="285" t="s">
        <v>506</v>
      </c>
      <c r="N2" s="285" t="s">
        <v>507</v>
      </c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</row>
    <row r="3" ht="14.25" customHeight="1">
      <c r="A3" s="842">
        <f t="array" ref="A3:A177">SEQUENCE(175,1,1,1)</f>
        <v>1</v>
      </c>
      <c r="B3" s="594" t="s">
        <v>1325</v>
      </c>
      <c r="C3" s="290"/>
      <c r="D3" s="290"/>
      <c r="E3" s="290"/>
      <c r="F3" s="293"/>
      <c r="G3" s="298"/>
      <c r="H3" s="843"/>
      <c r="I3" s="297">
        <f>AVERAGE(I5:I9)</f>
        <v>0.0950965251</v>
      </c>
      <c r="J3" s="298"/>
      <c r="K3" s="297"/>
      <c r="L3" s="299"/>
      <c r="M3" s="297"/>
      <c r="N3" s="297"/>
      <c r="O3" s="844"/>
      <c r="P3" s="840"/>
      <c r="Q3" s="840"/>
      <c r="R3" s="840"/>
      <c r="S3" s="840"/>
      <c r="T3" s="840"/>
      <c r="U3" s="840"/>
      <c r="V3" s="840"/>
      <c r="W3" s="840"/>
      <c r="X3" s="840"/>
      <c r="Y3" s="840"/>
      <c r="Z3" s="840"/>
      <c r="AA3" s="840"/>
      <c r="AB3" s="840"/>
      <c r="AC3" s="840"/>
    </row>
    <row r="4" ht="14.25" customHeight="1">
      <c r="A4" s="803">
        <v>2.0</v>
      </c>
      <c r="B4" s="594" t="s">
        <v>516</v>
      </c>
      <c r="C4" s="290"/>
      <c r="D4" s="290"/>
      <c r="E4" s="290"/>
      <c r="F4" s="293"/>
      <c r="G4" s="298"/>
      <c r="H4" s="843"/>
      <c r="I4" s="297"/>
      <c r="J4" s="298"/>
      <c r="K4" s="297"/>
      <c r="L4" s="299"/>
      <c r="M4" s="297"/>
      <c r="N4" s="297"/>
      <c r="O4" s="844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</row>
    <row r="5" ht="14.25" customHeight="1" outlineLevel="1">
      <c r="A5" s="845">
        <v>3.0</v>
      </c>
      <c r="B5" s="606" t="s">
        <v>1607</v>
      </c>
      <c r="C5" s="606" t="s">
        <v>1004</v>
      </c>
      <c r="D5" s="606"/>
      <c r="E5" s="606"/>
      <c r="F5" s="607">
        <v>700.0</v>
      </c>
      <c r="G5" s="319">
        <v>259.0</v>
      </c>
      <c r="H5" s="608">
        <v>24.63</v>
      </c>
      <c r="I5" s="314">
        <f t="shared" ref="I5:I6" si="1">H5/G5</f>
        <v>0.0950965251</v>
      </c>
      <c r="J5" s="315">
        <f t="shared" ref="J5:J6" si="2">G5-H5</f>
        <v>234.37</v>
      </c>
      <c r="K5" s="316">
        <f t="shared" ref="K5:K6" si="3">G5/H5-1</f>
        <v>9.515631344</v>
      </c>
      <c r="L5" s="317"/>
      <c r="M5" s="318" t="s">
        <v>112</v>
      </c>
      <c r="N5" s="318" t="s">
        <v>112</v>
      </c>
      <c r="O5" s="844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</row>
    <row r="6" ht="14.25" customHeight="1" outlineLevel="1">
      <c r="A6" s="845">
        <v>4.0</v>
      </c>
      <c r="B6" s="606" t="s">
        <v>1608</v>
      </c>
      <c r="C6" s="606" t="s">
        <v>1004</v>
      </c>
      <c r="D6" s="606"/>
      <c r="E6" s="606"/>
      <c r="F6" s="607">
        <v>700.0</v>
      </c>
      <c r="G6" s="319">
        <v>259.0</v>
      </c>
      <c r="H6" s="608">
        <v>24.63</v>
      </c>
      <c r="I6" s="314">
        <f t="shared" si="1"/>
        <v>0.0950965251</v>
      </c>
      <c r="J6" s="315">
        <f t="shared" si="2"/>
        <v>234.37</v>
      </c>
      <c r="K6" s="316">
        <f t="shared" si="3"/>
        <v>9.515631344</v>
      </c>
      <c r="L6" s="317"/>
      <c r="M6" s="318" t="s">
        <v>112</v>
      </c>
      <c r="N6" s="318" t="s">
        <v>112</v>
      </c>
      <c r="O6" s="844"/>
      <c r="P6" s="840"/>
      <c r="Q6" s="840"/>
      <c r="R6" s="840"/>
      <c r="S6" s="840"/>
      <c r="T6" s="840"/>
      <c r="U6" s="840"/>
      <c r="V6" s="840"/>
      <c r="W6" s="840"/>
      <c r="X6" s="840"/>
      <c r="Y6" s="840"/>
      <c r="Z6" s="840"/>
      <c r="AA6" s="840"/>
      <c r="AB6" s="840"/>
      <c r="AC6" s="840"/>
    </row>
    <row r="7" ht="14.25" customHeight="1">
      <c r="A7" s="803">
        <v>5.0</v>
      </c>
      <c r="B7" s="594" t="s">
        <v>522</v>
      </c>
      <c r="C7" s="290"/>
      <c r="D7" s="290"/>
      <c r="E7" s="290"/>
      <c r="F7" s="293"/>
      <c r="G7" s="298"/>
      <c r="H7" s="843"/>
      <c r="I7" s="297"/>
      <c r="J7" s="298"/>
      <c r="K7" s="297"/>
      <c r="L7" s="299"/>
      <c r="M7" s="290"/>
      <c r="N7" s="290"/>
      <c r="O7" s="840"/>
      <c r="P7" s="840"/>
      <c r="Q7" s="840"/>
      <c r="R7" s="840"/>
      <c r="S7" s="840"/>
      <c r="T7" s="840"/>
      <c r="U7" s="840"/>
      <c r="V7" s="840"/>
      <c r="W7" s="840"/>
      <c r="X7" s="840"/>
      <c r="Y7" s="840"/>
      <c r="Z7" s="840"/>
      <c r="AA7" s="840"/>
      <c r="AB7" s="840"/>
      <c r="AC7" s="840"/>
    </row>
    <row r="8" ht="14.25" customHeight="1" outlineLevel="1">
      <c r="A8" s="845">
        <v>6.0</v>
      </c>
      <c r="B8" s="606" t="s">
        <v>1609</v>
      </c>
      <c r="C8" s="606" t="s">
        <v>1004</v>
      </c>
      <c r="D8" s="606"/>
      <c r="E8" s="606"/>
      <c r="F8" s="607">
        <v>700.0</v>
      </c>
      <c r="G8" s="319">
        <v>259.0</v>
      </c>
      <c r="H8" s="608">
        <v>24.63</v>
      </c>
      <c r="I8" s="314">
        <f t="shared" ref="I8:I9" si="4">H8/G8</f>
        <v>0.0950965251</v>
      </c>
      <c r="J8" s="315">
        <f t="shared" ref="J8:J9" si="5">G8-H8</f>
        <v>234.37</v>
      </c>
      <c r="K8" s="316">
        <f t="shared" ref="K8:K9" si="6">G8/H8-1</f>
        <v>9.515631344</v>
      </c>
      <c r="L8" s="317"/>
      <c r="M8" s="318" t="s">
        <v>112</v>
      </c>
      <c r="N8" s="318" t="s">
        <v>112</v>
      </c>
      <c r="O8" s="844"/>
      <c r="P8" s="840"/>
      <c r="Q8" s="840"/>
      <c r="R8" s="840"/>
      <c r="S8" s="840"/>
      <c r="T8" s="840"/>
      <c r="U8" s="840"/>
      <c r="V8" s="840"/>
      <c r="W8" s="840"/>
      <c r="X8" s="840"/>
      <c r="Y8" s="840"/>
      <c r="Z8" s="840"/>
      <c r="AA8" s="840"/>
      <c r="AB8" s="840"/>
      <c r="AC8" s="840"/>
    </row>
    <row r="9" ht="14.25" customHeight="1" outlineLevel="1">
      <c r="A9" s="845">
        <v>7.0</v>
      </c>
      <c r="B9" s="606" t="s">
        <v>1610</v>
      </c>
      <c r="C9" s="606" t="s">
        <v>1004</v>
      </c>
      <c r="D9" s="606"/>
      <c r="E9" s="606"/>
      <c r="F9" s="607">
        <v>700.0</v>
      </c>
      <c r="G9" s="319">
        <v>259.0</v>
      </c>
      <c r="H9" s="608">
        <v>24.63</v>
      </c>
      <c r="I9" s="314">
        <f t="shared" si="4"/>
        <v>0.0950965251</v>
      </c>
      <c r="J9" s="315">
        <f t="shared" si="5"/>
        <v>234.37</v>
      </c>
      <c r="K9" s="316">
        <f t="shared" si="6"/>
        <v>9.515631344</v>
      </c>
      <c r="L9" s="317"/>
      <c r="M9" s="318" t="s">
        <v>112</v>
      </c>
      <c r="N9" s="318" t="s">
        <v>112</v>
      </c>
      <c r="O9" s="844"/>
      <c r="P9" s="840"/>
      <c r="Q9" s="840"/>
      <c r="R9" s="840"/>
      <c r="S9" s="840"/>
      <c r="T9" s="840"/>
      <c r="U9" s="840"/>
      <c r="V9" s="840"/>
      <c r="W9" s="840"/>
      <c r="X9" s="840"/>
      <c r="Y9" s="840"/>
      <c r="Z9" s="840"/>
      <c r="AA9" s="840"/>
      <c r="AB9" s="840"/>
      <c r="AC9" s="840"/>
    </row>
    <row r="10" ht="14.25" customHeight="1">
      <c r="A10" s="803">
        <v>8.0</v>
      </c>
      <c r="B10" s="594" t="s">
        <v>528</v>
      </c>
      <c r="C10" s="290"/>
      <c r="D10" s="290"/>
      <c r="E10" s="290"/>
      <c r="F10" s="293"/>
      <c r="G10" s="298"/>
      <c r="H10" s="843"/>
      <c r="I10" s="297"/>
      <c r="J10" s="298"/>
      <c r="K10" s="297"/>
      <c r="L10" s="299"/>
      <c r="M10" s="297"/>
      <c r="N10" s="297"/>
      <c r="O10" s="844"/>
      <c r="P10" s="840"/>
      <c r="Q10" s="840"/>
      <c r="R10" s="840"/>
      <c r="S10" s="840"/>
      <c r="T10" s="840"/>
      <c r="U10" s="840"/>
      <c r="V10" s="840"/>
      <c r="W10" s="840"/>
      <c r="X10" s="840"/>
      <c r="Y10" s="840"/>
      <c r="Z10" s="840"/>
      <c r="AA10" s="840"/>
      <c r="AB10" s="840"/>
      <c r="AC10" s="840"/>
    </row>
    <row r="11" ht="14.25" customHeight="1" outlineLevel="1">
      <c r="A11" s="845">
        <v>9.0</v>
      </c>
      <c r="B11" s="595" t="s">
        <v>1611</v>
      </c>
      <c r="C11" s="595" t="s">
        <v>1332</v>
      </c>
      <c r="D11" s="595" t="s">
        <v>1612</v>
      </c>
      <c r="E11" s="595" t="s">
        <v>1327</v>
      </c>
      <c r="F11" s="602">
        <v>600.0</v>
      </c>
      <c r="G11" s="311">
        <v>299.0</v>
      </c>
      <c r="H11" s="603">
        <v>37.63</v>
      </c>
      <c r="I11" s="846">
        <f t="shared" ref="I11:I12" si="7">H11/G11</f>
        <v>0.1258528428</v>
      </c>
      <c r="J11" s="300">
        <f t="shared" ref="J11:J12" si="8">O11-H11</f>
        <v>251.37</v>
      </c>
      <c r="K11" s="413">
        <f t="shared" ref="K11:K12" si="9">O11/H11-1</f>
        <v>6.680042519</v>
      </c>
      <c r="L11" s="331"/>
      <c r="M11" s="318" t="s">
        <v>112</v>
      </c>
      <c r="N11" s="318" t="s">
        <v>112</v>
      </c>
      <c r="O11" s="319">
        <v>289.0</v>
      </c>
      <c r="P11" s="840"/>
      <c r="Q11" s="840"/>
      <c r="R11" s="840"/>
      <c r="S11" s="840"/>
      <c r="T11" s="840"/>
      <c r="U11" s="840"/>
      <c r="V11" s="840"/>
      <c r="W11" s="840"/>
      <c r="X11" s="840"/>
      <c r="Y11" s="840"/>
      <c r="Z11" s="840"/>
      <c r="AA11" s="840"/>
      <c r="AB11" s="840"/>
      <c r="AC11" s="840"/>
    </row>
    <row r="12" ht="14.25" customHeight="1" outlineLevel="1">
      <c r="A12" s="847">
        <v>10.0</v>
      </c>
      <c r="B12" s="416" t="s">
        <v>1613</v>
      </c>
      <c r="C12" s="321" t="s">
        <v>1335</v>
      </c>
      <c r="D12" s="422" t="s">
        <v>1614</v>
      </c>
      <c r="E12" s="321"/>
      <c r="F12" s="848">
        <v>600.0</v>
      </c>
      <c r="G12" s="301">
        <v>299.0</v>
      </c>
      <c r="H12" s="849">
        <v>37.43</v>
      </c>
      <c r="I12" s="332">
        <f t="shared" si="7"/>
        <v>0.1251839465</v>
      </c>
      <c r="J12" s="319">
        <f t="shared" si="8"/>
        <v>241.57</v>
      </c>
      <c r="K12" s="332">
        <f t="shared" si="9"/>
        <v>6.453913973</v>
      </c>
      <c r="L12" s="331"/>
      <c r="M12" s="332" t="s">
        <v>112</v>
      </c>
      <c r="N12" s="332" t="s">
        <v>112</v>
      </c>
      <c r="O12" s="429">
        <v>279.0</v>
      </c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</row>
    <row r="13" ht="14.25" customHeight="1">
      <c r="A13" s="803">
        <v>11.0</v>
      </c>
      <c r="B13" s="594" t="s">
        <v>555</v>
      </c>
      <c r="C13" s="594"/>
      <c r="D13" s="290"/>
      <c r="E13" s="290"/>
      <c r="F13" s="293"/>
      <c r="G13" s="298"/>
      <c r="H13" s="843"/>
      <c r="I13" s="297"/>
      <c r="J13" s="298"/>
      <c r="K13" s="297"/>
      <c r="L13" s="299"/>
      <c r="M13" s="297"/>
      <c r="N13" s="297"/>
      <c r="O13" s="844"/>
      <c r="P13" s="840"/>
      <c r="Q13" s="840"/>
      <c r="R13" s="840"/>
      <c r="S13" s="840"/>
      <c r="T13" s="840"/>
      <c r="U13" s="840"/>
      <c r="V13" s="840"/>
      <c r="W13" s="840"/>
      <c r="X13" s="840"/>
      <c r="Y13" s="840"/>
      <c r="Z13" s="840"/>
      <c r="AA13" s="840"/>
      <c r="AB13" s="840"/>
      <c r="AC13" s="840"/>
    </row>
    <row r="14" ht="14.25" customHeight="1" outlineLevel="1">
      <c r="A14" s="845">
        <v>12.0</v>
      </c>
      <c r="B14" s="595" t="s">
        <v>560</v>
      </c>
      <c r="C14" s="595" t="s">
        <v>993</v>
      </c>
      <c r="D14" s="595"/>
      <c r="E14" s="595" t="s">
        <v>1336</v>
      </c>
      <c r="F14" s="596">
        <v>180.0</v>
      </c>
      <c r="G14" s="301">
        <v>149.0</v>
      </c>
      <c r="H14" s="345">
        <v>16.66</v>
      </c>
      <c r="I14" s="521">
        <f t="shared" ref="I14:I21" si="10">H14/G14</f>
        <v>0.1118120805</v>
      </c>
      <c r="J14" s="315">
        <f t="shared" ref="J14:J21" si="11">O14-H14</f>
        <v>122.34</v>
      </c>
      <c r="K14" s="316">
        <f t="shared" ref="K14:K21" si="12">O14/H14-1</f>
        <v>7.343337335</v>
      </c>
      <c r="L14" s="317"/>
      <c r="M14" s="318" t="s">
        <v>112</v>
      </c>
      <c r="N14" s="318" t="s">
        <v>112</v>
      </c>
      <c r="O14" s="300">
        <v>139.0</v>
      </c>
      <c r="P14" s="840"/>
      <c r="Q14" s="840"/>
      <c r="R14" s="840"/>
      <c r="S14" s="840"/>
      <c r="T14" s="840"/>
      <c r="U14" s="840"/>
      <c r="V14" s="840"/>
      <c r="W14" s="840"/>
      <c r="X14" s="840"/>
      <c r="Y14" s="840"/>
      <c r="Z14" s="840"/>
      <c r="AA14" s="840"/>
      <c r="AB14" s="840"/>
      <c r="AC14" s="840"/>
    </row>
    <row r="15" ht="14.25" customHeight="1" outlineLevel="1">
      <c r="A15" s="845">
        <v>13.0</v>
      </c>
      <c r="B15" s="595" t="s">
        <v>562</v>
      </c>
      <c r="C15" s="595" t="s">
        <v>994</v>
      </c>
      <c r="D15" s="595"/>
      <c r="E15" s="595" t="s">
        <v>1336</v>
      </c>
      <c r="F15" s="596">
        <v>340.0</v>
      </c>
      <c r="G15" s="301">
        <v>249.0</v>
      </c>
      <c r="H15" s="345">
        <v>23.02</v>
      </c>
      <c r="I15" s="521">
        <f t="shared" si="10"/>
        <v>0.0924497992</v>
      </c>
      <c r="J15" s="315">
        <f t="shared" si="11"/>
        <v>205.98</v>
      </c>
      <c r="K15" s="316">
        <f t="shared" si="12"/>
        <v>8.947871416</v>
      </c>
      <c r="L15" s="317"/>
      <c r="M15" s="318" t="s">
        <v>112</v>
      </c>
      <c r="N15" s="318" t="s">
        <v>112</v>
      </c>
      <c r="O15" s="300">
        <v>229.0</v>
      </c>
      <c r="P15" s="840"/>
      <c r="Q15" s="840"/>
      <c r="R15" s="840"/>
      <c r="S15" s="840"/>
      <c r="T15" s="840"/>
      <c r="U15" s="840"/>
      <c r="V15" s="840"/>
      <c r="W15" s="840"/>
      <c r="X15" s="840"/>
      <c r="Y15" s="840"/>
      <c r="Z15" s="840"/>
      <c r="AA15" s="840"/>
      <c r="AB15" s="840"/>
      <c r="AC15" s="840"/>
    </row>
    <row r="16" ht="14.25" customHeight="1" outlineLevel="1">
      <c r="A16" s="845">
        <v>14.0</v>
      </c>
      <c r="B16" s="595" t="s">
        <v>563</v>
      </c>
      <c r="C16" s="595" t="s">
        <v>995</v>
      </c>
      <c r="D16" s="595" t="s">
        <v>564</v>
      </c>
      <c r="E16" s="595" t="s">
        <v>1336</v>
      </c>
      <c r="F16" s="596">
        <v>200.0</v>
      </c>
      <c r="G16" s="301">
        <v>179.0</v>
      </c>
      <c r="H16" s="345">
        <v>30.9</v>
      </c>
      <c r="I16" s="521">
        <f t="shared" si="10"/>
        <v>0.1726256983</v>
      </c>
      <c r="J16" s="315">
        <f t="shared" si="11"/>
        <v>128.1</v>
      </c>
      <c r="K16" s="316">
        <f t="shared" si="12"/>
        <v>4.145631068</v>
      </c>
      <c r="L16" s="317"/>
      <c r="M16" s="318" t="s">
        <v>112</v>
      </c>
      <c r="N16" s="318" t="s">
        <v>112</v>
      </c>
      <c r="O16" s="300">
        <v>159.0</v>
      </c>
      <c r="P16" s="840"/>
      <c r="Q16" s="840"/>
      <c r="R16" s="840"/>
      <c r="S16" s="840"/>
      <c r="T16" s="840"/>
      <c r="U16" s="840"/>
      <c r="V16" s="840"/>
      <c r="W16" s="840"/>
      <c r="X16" s="840"/>
      <c r="Y16" s="840"/>
      <c r="Z16" s="840"/>
      <c r="AA16" s="840"/>
      <c r="AB16" s="840"/>
      <c r="AC16" s="840"/>
    </row>
    <row r="17" ht="14.25" customHeight="1" outlineLevel="1">
      <c r="A17" s="845">
        <v>15.0</v>
      </c>
      <c r="B17" s="595" t="s">
        <v>566</v>
      </c>
      <c r="C17" s="595" t="s">
        <v>996</v>
      </c>
      <c r="D17" s="595" t="s">
        <v>567</v>
      </c>
      <c r="E17" s="595" t="s">
        <v>1336</v>
      </c>
      <c r="F17" s="596">
        <v>340.0</v>
      </c>
      <c r="G17" s="301">
        <v>299.0</v>
      </c>
      <c r="H17" s="345">
        <v>42.2</v>
      </c>
      <c r="I17" s="521">
        <f t="shared" si="10"/>
        <v>0.1411371237</v>
      </c>
      <c r="J17" s="315">
        <f t="shared" si="11"/>
        <v>246.8</v>
      </c>
      <c r="K17" s="316">
        <f t="shared" si="12"/>
        <v>5.848341232</v>
      </c>
      <c r="L17" s="317"/>
      <c r="M17" s="318" t="s">
        <v>112</v>
      </c>
      <c r="N17" s="318" t="s">
        <v>112</v>
      </c>
      <c r="O17" s="300">
        <v>289.0</v>
      </c>
      <c r="P17" s="840"/>
      <c r="Q17" s="840"/>
      <c r="R17" s="840"/>
      <c r="S17" s="840"/>
      <c r="T17" s="840"/>
      <c r="U17" s="840"/>
      <c r="V17" s="840"/>
      <c r="W17" s="840"/>
      <c r="X17" s="840"/>
      <c r="Y17" s="840"/>
      <c r="Z17" s="840"/>
      <c r="AA17" s="840"/>
      <c r="AB17" s="840"/>
      <c r="AC17" s="840"/>
    </row>
    <row r="18" ht="14.25" customHeight="1" outlineLevel="1">
      <c r="A18" s="845">
        <v>16.0</v>
      </c>
      <c r="B18" s="595" t="s">
        <v>568</v>
      </c>
      <c r="C18" s="595" t="s">
        <v>995</v>
      </c>
      <c r="D18" s="595"/>
      <c r="E18" s="595" t="s">
        <v>1336</v>
      </c>
      <c r="F18" s="596">
        <v>200.0</v>
      </c>
      <c r="G18" s="301">
        <v>179.0</v>
      </c>
      <c r="H18" s="345">
        <v>30.76</v>
      </c>
      <c r="I18" s="521">
        <f t="shared" si="10"/>
        <v>0.1718435754</v>
      </c>
      <c r="J18" s="315">
        <f t="shared" si="11"/>
        <v>128.24</v>
      </c>
      <c r="K18" s="316">
        <f t="shared" si="12"/>
        <v>4.169050715</v>
      </c>
      <c r="L18" s="317"/>
      <c r="M18" s="318" t="s">
        <v>112</v>
      </c>
      <c r="N18" s="318" t="s">
        <v>112</v>
      </c>
      <c r="O18" s="300">
        <v>159.0</v>
      </c>
      <c r="P18" s="840"/>
      <c r="Q18" s="840"/>
      <c r="R18" s="840"/>
      <c r="S18" s="840"/>
      <c r="T18" s="840"/>
      <c r="U18" s="840"/>
      <c r="V18" s="840"/>
      <c r="W18" s="840"/>
      <c r="X18" s="840"/>
      <c r="Y18" s="840"/>
      <c r="Z18" s="840"/>
      <c r="AA18" s="840"/>
      <c r="AB18" s="840"/>
      <c r="AC18" s="840"/>
    </row>
    <row r="19" ht="14.25" customHeight="1" outlineLevel="1">
      <c r="A19" s="845">
        <v>17.0</v>
      </c>
      <c r="B19" s="595" t="s">
        <v>570</v>
      </c>
      <c r="C19" s="595" t="s">
        <v>996</v>
      </c>
      <c r="D19" s="595"/>
      <c r="E19" s="595" t="s">
        <v>1336</v>
      </c>
      <c r="F19" s="596">
        <v>400.0</v>
      </c>
      <c r="G19" s="301">
        <v>299.0</v>
      </c>
      <c r="H19" s="345">
        <v>39.09</v>
      </c>
      <c r="I19" s="521">
        <f t="shared" si="10"/>
        <v>0.130735786</v>
      </c>
      <c r="J19" s="315">
        <f t="shared" si="11"/>
        <v>249.91</v>
      </c>
      <c r="K19" s="316">
        <f t="shared" si="12"/>
        <v>6.393195191</v>
      </c>
      <c r="L19" s="317"/>
      <c r="M19" s="318" t="s">
        <v>112</v>
      </c>
      <c r="N19" s="318" t="s">
        <v>112</v>
      </c>
      <c r="O19" s="300">
        <v>289.0</v>
      </c>
      <c r="P19" s="840"/>
      <c r="Q19" s="840"/>
      <c r="R19" s="840"/>
      <c r="S19" s="840"/>
      <c r="T19" s="840"/>
      <c r="U19" s="840"/>
      <c r="V19" s="840"/>
      <c r="W19" s="840"/>
      <c r="X19" s="840"/>
      <c r="Y19" s="840"/>
      <c r="Z19" s="840"/>
      <c r="AA19" s="840"/>
      <c r="AB19" s="840"/>
      <c r="AC19" s="840"/>
    </row>
    <row r="20" ht="14.25" customHeight="1" outlineLevel="1">
      <c r="A20" s="845">
        <v>18.0</v>
      </c>
      <c r="B20" s="595" t="s">
        <v>571</v>
      </c>
      <c r="C20" s="595" t="s">
        <v>997</v>
      </c>
      <c r="D20" s="595"/>
      <c r="E20" s="595" t="s">
        <v>1336</v>
      </c>
      <c r="F20" s="596">
        <v>200.0</v>
      </c>
      <c r="G20" s="301">
        <v>279.0</v>
      </c>
      <c r="H20" s="345">
        <v>47.83</v>
      </c>
      <c r="I20" s="521">
        <f t="shared" si="10"/>
        <v>0.1714336918</v>
      </c>
      <c r="J20" s="315">
        <f t="shared" si="11"/>
        <v>201.17</v>
      </c>
      <c r="K20" s="316">
        <f t="shared" si="12"/>
        <v>4.205937696</v>
      </c>
      <c r="L20" s="317"/>
      <c r="M20" s="318" t="s">
        <v>112</v>
      </c>
      <c r="N20" s="318" t="s">
        <v>112</v>
      </c>
      <c r="O20" s="300">
        <v>249.0</v>
      </c>
      <c r="P20" s="840"/>
      <c r="Q20" s="840"/>
      <c r="R20" s="840"/>
      <c r="S20" s="840"/>
      <c r="T20" s="840"/>
      <c r="U20" s="840"/>
      <c r="V20" s="840"/>
      <c r="W20" s="840"/>
      <c r="X20" s="840"/>
      <c r="Y20" s="840"/>
      <c r="Z20" s="840"/>
      <c r="AA20" s="840"/>
      <c r="AB20" s="840"/>
      <c r="AC20" s="840"/>
    </row>
    <row r="21" ht="14.25" customHeight="1" outlineLevel="1">
      <c r="A21" s="285">
        <v>19.0</v>
      </c>
      <c r="B21" s="595" t="s">
        <v>573</v>
      </c>
      <c r="C21" s="595" t="s">
        <v>998</v>
      </c>
      <c r="D21" s="595"/>
      <c r="E21" s="595" t="s">
        <v>1336</v>
      </c>
      <c r="F21" s="596">
        <v>400.0</v>
      </c>
      <c r="G21" s="311">
        <v>429.0</v>
      </c>
      <c r="H21" s="345">
        <v>83.19</v>
      </c>
      <c r="I21" s="521">
        <f t="shared" si="10"/>
        <v>0.1939160839</v>
      </c>
      <c r="J21" s="315">
        <f t="shared" si="11"/>
        <v>315.81</v>
      </c>
      <c r="K21" s="316">
        <f t="shared" si="12"/>
        <v>3.796249549</v>
      </c>
      <c r="L21" s="317"/>
      <c r="M21" s="318" t="s">
        <v>112</v>
      </c>
      <c r="N21" s="318" t="s">
        <v>112</v>
      </c>
      <c r="O21" s="319">
        <v>399.0</v>
      </c>
      <c r="P21" s="840"/>
      <c r="Q21" s="840"/>
      <c r="R21" s="840"/>
      <c r="S21" s="840"/>
      <c r="T21" s="840"/>
      <c r="U21" s="840"/>
      <c r="V21" s="840"/>
      <c r="W21" s="840"/>
      <c r="X21" s="840"/>
      <c r="Y21" s="840"/>
      <c r="Z21" s="840"/>
      <c r="AA21" s="840"/>
      <c r="AB21" s="840"/>
      <c r="AC21" s="840"/>
    </row>
    <row r="22" ht="14.25" customHeight="1">
      <c r="A22" s="803">
        <v>20.0</v>
      </c>
      <c r="B22" s="594" t="s">
        <v>917</v>
      </c>
      <c r="C22" s="290"/>
      <c r="D22" s="290"/>
      <c r="E22" s="290"/>
      <c r="F22" s="293"/>
      <c r="G22" s="298"/>
      <c r="H22" s="843"/>
      <c r="I22" s="297"/>
      <c r="J22" s="298"/>
      <c r="K22" s="297"/>
      <c r="L22" s="299"/>
      <c r="M22" s="290"/>
      <c r="N22" s="290"/>
      <c r="O22" s="844"/>
      <c r="P22" s="840"/>
      <c r="Q22" s="840"/>
      <c r="R22" s="840"/>
      <c r="S22" s="840"/>
      <c r="T22" s="840"/>
      <c r="U22" s="840"/>
      <c r="V22" s="840"/>
      <c r="W22" s="840"/>
      <c r="X22" s="840"/>
      <c r="Y22" s="840"/>
      <c r="Z22" s="840"/>
      <c r="AA22" s="840"/>
      <c r="AB22" s="840"/>
      <c r="AC22" s="840"/>
    </row>
    <row r="23" ht="14.25" customHeight="1" outlineLevel="1">
      <c r="A23" s="285">
        <v>21.0</v>
      </c>
      <c r="B23" s="595" t="s">
        <v>919</v>
      </c>
      <c r="C23" s="595" t="s">
        <v>1337</v>
      </c>
      <c r="D23" s="416"/>
      <c r="E23" s="416"/>
      <c r="F23" s="602">
        <v>1000.0</v>
      </c>
      <c r="G23" s="301">
        <v>359.0</v>
      </c>
      <c r="H23" s="603">
        <v>48.33</v>
      </c>
      <c r="I23" s="468">
        <f t="shared" ref="I23:I26" si="13">H23/G23</f>
        <v>0.1346239554</v>
      </c>
      <c r="J23" s="315">
        <f t="shared" ref="J23:J26" si="14">O23-H23</f>
        <v>300.67</v>
      </c>
      <c r="K23" s="316">
        <f t="shared" ref="K23:K26" si="15">O23/H23-1</f>
        <v>6.221187668</v>
      </c>
      <c r="L23" s="442"/>
      <c r="M23" s="318" t="s">
        <v>112</v>
      </c>
      <c r="N23" s="318" t="s">
        <v>112</v>
      </c>
      <c r="O23" s="300">
        <v>349.0</v>
      </c>
      <c r="P23" s="457"/>
      <c r="Q23" s="457"/>
      <c r="R23" s="457"/>
      <c r="S23" s="457"/>
      <c r="T23" s="457"/>
      <c r="U23" s="457"/>
      <c r="V23" s="457"/>
      <c r="W23" s="457"/>
      <c r="X23" s="457"/>
      <c r="Y23" s="457"/>
      <c r="Z23" s="457"/>
      <c r="AA23" s="457"/>
      <c r="AB23" s="840"/>
      <c r="AC23" s="840"/>
    </row>
    <row r="24" ht="14.25" customHeight="1" outlineLevel="1">
      <c r="A24" s="285">
        <v>22.0</v>
      </c>
      <c r="B24" s="595" t="s">
        <v>1338</v>
      </c>
      <c r="C24" s="416"/>
      <c r="D24" s="416"/>
      <c r="E24" s="416"/>
      <c r="F24" s="596">
        <v>1000.0</v>
      </c>
      <c r="G24" s="311">
        <v>359.0</v>
      </c>
      <c r="H24" s="345">
        <v>55.67</v>
      </c>
      <c r="I24" s="559">
        <f t="shared" si="13"/>
        <v>0.1550696379</v>
      </c>
      <c r="J24" s="319">
        <f t="shared" si="14"/>
        <v>-55.67</v>
      </c>
      <c r="K24" s="332">
        <f t="shared" si="15"/>
        <v>-1</v>
      </c>
      <c r="L24" s="442"/>
      <c r="M24" s="454"/>
      <c r="N24" s="454"/>
      <c r="O24" s="577"/>
      <c r="P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  <c r="AA24" s="491"/>
      <c r="AB24" s="840"/>
      <c r="AC24" s="840"/>
    </row>
    <row r="25" ht="14.25" customHeight="1" outlineLevel="1">
      <c r="A25" s="285">
        <v>23.0</v>
      </c>
      <c r="B25" s="595" t="s">
        <v>920</v>
      </c>
      <c r="C25" s="595" t="s">
        <v>1339</v>
      </c>
      <c r="D25" s="416"/>
      <c r="E25" s="416"/>
      <c r="F25" s="596">
        <v>300.0</v>
      </c>
      <c r="G25" s="301">
        <v>279.0</v>
      </c>
      <c r="H25" s="345">
        <v>20.16</v>
      </c>
      <c r="I25" s="850">
        <f t="shared" si="13"/>
        <v>0.07225806452</v>
      </c>
      <c r="J25" s="315">
        <f t="shared" si="14"/>
        <v>248.84</v>
      </c>
      <c r="K25" s="316">
        <f t="shared" si="15"/>
        <v>12.34325397</v>
      </c>
      <c r="L25" s="317">
        <v>349.0</v>
      </c>
      <c r="M25" s="318" t="s">
        <v>112</v>
      </c>
      <c r="N25" s="343" t="s">
        <v>111</v>
      </c>
      <c r="O25" s="300">
        <v>269.0</v>
      </c>
      <c r="P25" s="457"/>
      <c r="Q25" s="457"/>
      <c r="R25" s="457"/>
      <c r="S25" s="457"/>
      <c r="T25" s="457"/>
      <c r="U25" s="457"/>
      <c r="V25" s="457"/>
      <c r="W25" s="457"/>
      <c r="X25" s="457"/>
      <c r="Y25" s="457"/>
      <c r="Z25" s="457"/>
      <c r="AA25" s="457"/>
      <c r="AB25" s="840"/>
      <c r="AC25" s="840"/>
    </row>
    <row r="26" ht="14.25" customHeight="1" outlineLevel="1">
      <c r="A26" s="285">
        <v>24.0</v>
      </c>
      <c r="B26" s="595" t="s">
        <v>1615</v>
      </c>
      <c r="C26" s="595" t="s">
        <v>1616</v>
      </c>
      <c r="D26" s="416"/>
      <c r="E26" s="416"/>
      <c r="F26" s="596">
        <v>300.0</v>
      </c>
      <c r="G26" s="301">
        <v>279.0</v>
      </c>
      <c r="H26" s="345">
        <v>41.62</v>
      </c>
      <c r="I26" s="851">
        <f t="shared" si="13"/>
        <v>0.1491756272</v>
      </c>
      <c r="J26" s="315">
        <f t="shared" si="14"/>
        <v>227.38</v>
      </c>
      <c r="K26" s="316">
        <f t="shared" si="15"/>
        <v>5.463238827</v>
      </c>
      <c r="L26" s="317">
        <v>349.0</v>
      </c>
      <c r="M26" s="318" t="s">
        <v>112</v>
      </c>
      <c r="N26" s="343" t="s">
        <v>111</v>
      </c>
      <c r="O26" s="300">
        <v>269.0</v>
      </c>
      <c r="P26" s="457"/>
      <c r="Q26" s="457"/>
      <c r="R26" s="457"/>
      <c r="S26" s="457"/>
      <c r="T26" s="457"/>
      <c r="U26" s="457"/>
      <c r="V26" s="457"/>
      <c r="W26" s="457"/>
      <c r="X26" s="457"/>
      <c r="Y26" s="457"/>
      <c r="Z26" s="457"/>
      <c r="AA26" s="457"/>
      <c r="AB26" s="840"/>
      <c r="AC26" s="840"/>
    </row>
    <row r="27" ht="14.25" customHeight="1">
      <c r="A27" s="803">
        <v>25.0</v>
      </c>
      <c r="B27" s="594" t="s">
        <v>612</v>
      </c>
      <c r="C27" s="290"/>
      <c r="D27" s="290"/>
      <c r="E27" s="290"/>
      <c r="F27" s="293"/>
      <c r="G27" s="298"/>
      <c r="H27" s="843"/>
      <c r="I27" s="297"/>
      <c r="J27" s="298"/>
      <c r="K27" s="297"/>
      <c r="L27" s="299"/>
      <c r="M27" s="290"/>
      <c r="N27" s="290"/>
      <c r="O27" s="840"/>
      <c r="P27" s="840"/>
      <c r="Q27" s="840"/>
      <c r="R27" s="840"/>
      <c r="S27" s="840"/>
      <c r="T27" s="840"/>
      <c r="U27" s="840"/>
      <c r="V27" s="840"/>
      <c r="W27" s="840"/>
      <c r="X27" s="840"/>
      <c r="Y27" s="840"/>
      <c r="Z27" s="840"/>
      <c r="AA27" s="840"/>
      <c r="AB27" s="840"/>
      <c r="AC27" s="840"/>
    </row>
    <row r="28" ht="12.75" customHeight="1" outlineLevel="1">
      <c r="A28" s="285">
        <v>26.0</v>
      </c>
      <c r="B28" s="595" t="s">
        <v>1344</v>
      </c>
      <c r="C28" s="416"/>
      <c r="D28" s="416"/>
      <c r="E28" s="416"/>
      <c r="F28" s="596">
        <v>250.0</v>
      </c>
      <c r="G28" s="301">
        <v>229.0</v>
      </c>
      <c r="H28" s="345">
        <v>53.0</v>
      </c>
      <c r="I28" s="501">
        <f t="shared" ref="I28:I39" si="16">H28/G28</f>
        <v>0.231441048</v>
      </c>
      <c r="J28" s="315">
        <f t="shared" ref="J28:J39" si="17">O28-H28</f>
        <v>166</v>
      </c>
      <c r="K28" s="316">
        <f t="shared" ref="K28:K39" si="18">O28/H28-1</f>
        <v>3.132075472</v>
      </c>
      <c r="L28" s="331">
        <v>249.0</v>
      </c>
      <c r="M28" s="343" t="s">
        <v>111</v>
      </c>
      <c r="N28" s="343" t="s">
        <v>111</v>
      </c>
      <c r="O28" s="300">
        <v>219.0</v>
      </c>
      <c r="P28" s="457"/>
      <c r="Q28" s="457"/>
      <c r="R28" s="457"/>
      <c r="S28" s="457"/>
      <c r="T28" s="457"/>
      <c r="U28" s="457"/>
      <c r="V28" s="457"/>
      <c r="W28" s="457"/>
      <c r="X28" s="457"/>
      <c r="Y28" s="457"/>
      <c r="Z28" s="457"/>
      <c r="AA28" s="457"/>
      <c r="AB28" s="840"/>
      <c r="AC28" s="840"/>
    </row>
    <row r="29" ht="14.25" customHeight="1" outlineLevel="1">
      <c r="A29" s="285">
        <v>27.0</v>
      </c>
      <c r="B29" s="595" t="s">
        <v>1345</v>
      </c>
      <c r="C29" s="416"/>
      <c r="D29" s="416"/>
      <c r="E29" s="416"/>
      <c r="F29" s="596">
        <v>500.0</v>
      </c>
      <c r="G29" s="311">
        <v>249.0</v>
      </c>
      <c r="H29" s="345">
        <v>60.78</v>
      </c>
      <c r="I29" s="852">
        <f t="shared" si="16"/>
        <v>0.2440963855</v>
      </c>
      <c r="J29" s="315">
        <f t="shared" si="17"/>
        <v>178.22</v>
      </c>
      <c r="K29" s="316">
        <f t="shared" si="18"/>
        <v>2.932214544</v>
      </c>
      <c r="L29" s="442"/>
      <c r="M29" s="318" t="s">
        <v>112</v>
      </c>
      <c r="N29" s="343" t="s">
        <v>111</v>
      </c>
      <c r="O29" s="319">
        <v>239.0</v>
      </c>
      <c r="P29" s="457"/>
      <c r="Q29" s="457"/>
      <c r="R29" s="457"/>
      <c r="S29" s="457"/>
      <c r="T29" s="457"/>
      <c r="U29" s="457"/>
      <c r="V29" s="457"/>
      <c r="W29" s="457"/>
      <c r="X29" s="457"/>
      <c r="Y29" s="457"/>
      <c r="Z29" s="457"/>
      <c r="AA29" s="457"/>
      <c r="AB29" s="840"/>
      <c r="AC29" s="840"/>
    </row>
    <row r="30" ht="14.25" customHeight="1" outlineLevel="1">
      <c r="A30" s="285">
        <v>28.0</v>
      </c>
      <c r="B30" s="595" t="s">
        <v>1346</v>
      </c>
      <c r="C30" s="416"/>
      <c r="D30" s="416"/>
      <c r="E30" s="416"/>
      <c r="F30" s="596">
        <v>250.0</v>
      </c>
      <c r="G30" s="301">
        <v>229.0</v>
      </c>
      <c r="H30" s="345">
        <v>53.0</v>
      </c>
      <c r="I30" s="501">
        <f t="shared" si="16"/>
        <v>0.231441048</v>
      </c>
      <c r="J30" s="315">
        <f t="shared" si="17"/>
        <v>166</v>
      </c>
      <c r="K30" s="316">
        <f t="shared" si="18"/>
        <v>3.132075472</v>
      </c>
      <c r="L30" s="331">
        <v>249.0</v>
      </c>
      <c r="M30" s="343" t="s">
        <v>111</v>
      </c>
      <c r="N30" s="343" t="s">
        <v>111</v>
      </c>
      <c r="O30" s="300">
        <v>219.0</v>
      </c>
      <c r="P30" s="457"/>
      <c r="Q30" s="457"/>
      <c r="R30" s="457"/>
      <c r="S30" s="457"/>
      <c r="T30" s="457"/>
      <c r="U30" s="457"/>
      <c r="V30" s="457"/>
      <c r="W30" s="457"/>
      <c r="X30" s="457"/>
      <c r="Y30" s="457"/>
      <c r="Z30" s="457"/>
      <c r="AA30" s="457"/>
      <c r="AB30" s="840"/>
      <c r="AC30" s="840"/>
    </row>
    <row r="31" ht="14.25" customHeight="1" outlineLevel="1">
      <c r="A31" s="285">
        <v>29.0</v>
      </c>
      <c r="B31" s="595" t="s">
        <v>1347</v>
      </c>
      <c r="C31" s="416"/>
      <c r="D31" s="416"/>
      <c r="E31" s="416"/>
      <c r="F31" s="596">
        <v>500.0</v>
      </c>
      <c r="G31" s="311">
        <v>249.0</v>
      </c>
      <c r="H31" s="345">
        <v>60.78</v>
      </c>
      <c r="I31" s="852">
        <f t="shared" si="16"/>
        <v>0.2440963855</v>
      </c>
      <c r="J31" s="315">
        <f t="shared" si="17"/>
        <v>178.22</v>
      </c>
      <c r="K31" s="316">
        <f t="shared" si="18"/>
        <v>2.932214544</v>
      </c>
      <c r="L31" s="442"/>
      <c r="M31" s="318" t="s">
        <v>112</v>
      </c>
      <c r="N31" s="343" t="s">
        <v>111</v>
      </c>
      <c r="O31" s="319">
        <v>239.0</v>
      </c>
      <c r="P31" s="457"/>
      <c r="Q31" s="457"/>
      <c r="R31" s="457"/>
      <c r="S31" s="457"/>
      <c r="T31" s="457"/>
      <c r="U31" s="457"/>
      <c r="V31" s="457"/>
      <c r="W31" s="457"/>
      <c r="X31" s="457"/>
      <c r="Y31" s="457"/>
      <c r="Z31" s="457"/>
      <c r="AA31" s="457"/>
      <c r="AB31" s="840"/>
      <c r="AC31" s="840"/>
    </row>
    <row r="32" ht="14.25" customHeight="1" outlineLevel="1">
      <c r="A32" s="285">
        <v>30.0</v>
      </c>
      <c r="B32" s="595" t="s">
        <v>1617</v>
      </c>
      <c r="C32" s="416"/>
      <c r="D32" s="416"/>
      <c r="E32" s="416"/>
      <c r="F32" s="596">
        <v>200.0</v>
      </c>
      <c r="G32" s="301">
        <v>79.0</v>
      </c>
      <c r="H32" s="345">
        <v>15.59</v>
      </c>
      <c r="I32" s="543">
        <f t="shared" si="16"/>
        <v>0.1973417722</v>
      </c>
      <c r="J32" s="411">
        <f t="shared" si="17"/>
        <v>63.41</v>
      </c>
      <c r="K32" s="316">
        <f t="shared" si="18"/>
        <v>4.067350866</v>
      </c>
      <c r="L32" s="442"/>
      <c r="M32" s="318" t="s">
        <v>112</v>
      </c>
      <c r="N32" s="343" t="s">
        <v>111</v>
      </c>
      <c r="O32" s="300">
        <v>79.0</v>
      </c>
      <c r="P32" s="457"/>
      <c r="Q32" s="457"/>
      <c r="R32" s="457"/>
      <c r="S32" s="457"/>
      <c r="T32" s="457"/>
      <c r="U32" s="457"/>
      <c r="V32" s="457"/>
      <c r="W32" s="457"/>
      <c r="X32" s="457"/>
      <c r="Y32" s="457"/>
      <c r="Z32" s="457"/>
      <c r="AA32" s="457"/>
      <c r="AB32" s="840"/>
      <c r="AC32" s="840"/>
    </row>
    <row r="33" ht="14.25" customHeight="1" outlineLevel="1">
      <c r="A33" s="285">
        <v>31.0</v>
      </c>
      <c r="B33" s="595" t="s">
        <v>1618</v>
      </c>
      <c r="C33" s="416"/>
      <c r="D33" s="416"/>
      <c r="E33" s="416"/>
      <c r="F33" s="596">
        <v>1000.0</v>
      </c>
      <c r="G33" s="301">
        <v>369.0</v>
      </c>
      <c r="H33" s="345">
        <v>32.0</v>
      </c>
      <c r="I33" s="853">
        <f t="shared" si="16"/>
        <v>0.08672086721</v>
      </c>
      <c r="J33" s="411">
        <f t="shared" si="17"/>
        <v>337</v>
      </c>
      <c r="K33" s="316">
        <f t="shared" si="18"/>
        <v>10.53125</v>
      </c>
      <c r="L33" s="331">
        <v>399.0</v>
      </c>
      <c r="M33" s="343" t="s">
        <v>111</v>
      </c>
      <c r="N33" s="343" t="s">
        <v>111</v>
      </c>
      <c r="O33" s="300">
        <v>369.0</v>
      </c>
      <c r="P33" s="798">
        <f>H33/4</f>
        <v>8</v>
      </c>
      <c r="Q33" s="457"/>
      <c r="R33" s="457"/>
      <c r="S33" s="457"/>
      <c r="T33" s="457"/>
      <c r="U33" s="457"/>
      <c r="V33" s="457"/>
      <c r="W33" s="457"/>
      <c r="X33" s="457"/>
      <c r="Y33" s="457"/>
      <c r="Z33" s="457"/>
      <c r="AA33" s="457"/>
      <c r="AB33" s="840"/>
      <c r="AC33" s="840"/>
    </row>
    <row r="34" ht="14.25" customHeight="1" outlineLevel="1">
      <c r="A34" s="285">
        <v>32.0</v>
      </c>
      <c r="B34" s="595" t="s">
        <v>1342</v>
      </c>
      <c r="C34" s="416"/>
      <c r="D34" s="416"/>
      <c r="E34" s="416"/>
      <c r="F34" s="596">
        <v>200.0</v>
      </c>
      <c r="G34" s="301">
        <v>99.0</v>
      </c>
      <c r="H34" s="345">
        <v>24.47</v>
      </c>
      <c r="I34" s="854">
        <f t="shared" si="16"/>
        <v>0.2471717172</v>
      </c>
      <c r="J34" s="315">
        <f t="shared" si="17"/>
        <v>74.53</v>
      </c>
      <c r="K34" s="316">
        <f t="shared" si="18"/>
        <v>3.045770331</v>
      </c>
      <c r="L34" s="442"/>
      <c r="M34" s="318" t="s">
        <v>112</v>
      </c>
      <c r="N34" s="343" t="s">
        <v>111</v>
      </c>
      <c r="O34" s="300">
        <v>99.0</v>
      </c>
      <c r="P34" s="457"/>
      <c r="Q34" s="457"/>
      <c r="R34" s="457"/>
      <c r="S34" s="457"/>
      <c r="T34" s="457"/>
      <c r="U34" s="457"/>
      <c r="V34" s="457"/>
      <c r="W34" s="457"/>
      <c r="X34" s="457"/>
      <c r="Y34" s="457"/>
      <c r="Z34" s="457"/>
      <c r="AA34" s="457"/>
      <c r="AB34" s="840"/>
      <c r="AC34" s="840"/>
    </row>
    <row r="35" ht="14.25" customHeight="1" outlineLevel="1">
      <c r="A35" s="285">
        <v>33.0</v>
      </c>
      <c r="B35" s="595" t="s">
        <v>1343</v>
      </c>
      <c r="C35" s="416"/>
      <c r="D35" s="416"/>
      <c r="E35" s="416"/>
      <c r="F35" s="596">
        <v>1000.0</v>
      </c>
      <c r="G35" s="301">
        <v>459.0</v>
      </c>
      <c r="H35" s="345">
        <v>122.35</v>
      </c>
      <c r="I35" s="855">
        <f t="shared" si="16"/>
        <v>0.2665577342</v>
      </c>
      <c r="J35" s="315">
        <f t="shared" si="17"/>
        <v>336.65</v>
      </c>
      <c r="K35" s="316">
        <f t="shared" si="18"/>
        <v>2.751532489</v>
      </c>
      <c r="L35" s="331">
        <v>499.0</v>
      </c>
      <c r="M35" s="343" t="s">
        <v>111</v>
      </c>
      <c r="N35" s="343" t="s">
        <v>111</v>
      </c>
      <c r="O35" s="300">
        <v>459.0</v>
      </c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840"/>
      <c r="AC35" s="840"/>
    </row>
    <row r="36" ht="14.25" customHeight="1" outlineLevel="1">
      <c r="A36" s="285">
        <v>34.0</v>
      </c>
      <c r="B36" s="595" t="s">
        <v>1349</v>
      </c>
      <c r="C36" s="595"/>
      <c r="D36" s="595" t="s">
        <v>1350</v>
      </c>
      <c r="E36" s="416"/>
      <c r="F36" s="596">
        <v>500.0</v>
      </c>
      <c r="G36" s="301">
        <v>249.0</v>
      </c>
      <c r="H36" s="345">
        <v>48.98</v>
      </c>
      <c r="I36" s="856">
        <f t="shared" si="16"/>
        <v>0.1967068273</v>
      </c>
      <c r="J36" s="315">
        <f t="shared" si="17"/>
        <v>150.02</v>
      </c>
      <c r="K36" s="316">
        <f t="shared" si="18"/>
        <v>3.062882809</v>
      </c>
      <c r="L36" s="331">
        <v>279.0</v>
      </c>
      <c r="M36" s="343" t="s">
        <v>111</v>
      </c>
      <c r="N36" s="343" t="s">
        <v>111</v>
      </c>
      <c r="O36" s="300">
        <v>199.0</v>
      </c>
      <c r="P36" s="457"/>
      <c r="Q36" s="457"/>
      <c r="R36" s="457"/>
      <c r="S36" s="457"/>
      <c r="T36" s="457"/>
      <c r="U36" s="457"/>
      <c r="V36" s="457"/>
      <c r="W36" s="457"/>
      <c r="X36" s="457"/>
      <c r="Y36" s="457"/>
      <c r="Z36" s="457"/>
      <c r="AA36" s="457"/>
      <c r="AB36" s="840"/>
      <c r="AC36" s="840"/>
    </row>
    <row r="37" ht="14.25" customHeight="1" outlineLevel="1">
      <c r="A37" s="285">
        <v>35.0</v>
      </c>
      <c r="B37" s="595" t="s">
        <v>1351</v>
      </c>
      <c r="C37" s="595"/>
      <c r="D37" s="595" t="s">
        <v>1352</v>
      </c>
      <c r="E37" s="416"/>
      <c r="F37" s="596">
        <v>330.0</v>
      </c>
      <c r="G37" s="311">
        <v>299.0</v>
      </c>
      <c r="H37" s="345">
        <v>72.9</v>
      </c>
      <c r="I37" s="857">
        <f t="shared" si="16"/>
        <v>0.243812709</v>
      </c>
      <c r="J37" s="315">
        <f t="shared" si="17"/>
        <v>226.1</v>
      </c>
      <c r="K37" s="316">
        <f t="shared" si="18"/>
        <v>3.101508916</v>
      </c>
      <c r="L37" s="442"/>
      <c r="M37" s="318" t="s">
        <v>112</v>
      </c>
      <c r="N37" s="343" t="s">
        <v>111</v>
      </c>
      <c r="O37" s="319">
        <v>299.0</v>
      </c>
      <c r="P37" s="457"/>
      <c r="Q37" s="457"/>
      <c r="R37" s="457"/>
      <c r="S37" s="457"/>
      <c r="T37" s="457"/>
      <c r="U37" s="457"/>
      <c r="V37" s="457"/>
      <c r="W37" s="457"/>
      <c r="X37" s="457"/>
      <c r="Y37" s="457"/>
      <c r="Z37" s="457"/>
      <c r="AA37" s="457"/>
      <c r="AB37" s="840"/>
      <c r="AC37" s="840"/>
    </row>
    <row r="38" ht="14.25" customHeight="1" outlineLevel="1">
      <c r="A38" s="285">
        <v>36.0</v>
      </c>
      <c r="B38" s="595" t="s">
        <v>639</v>
      </c>
      <c r="C38" s="416"/>
      <c r="D38" s="416"/>
      <c r="E38" s="416"/>
      <c r="F38" s="596">
        <v>500.0</v>
      </c>
      <c r="G38" s="301">
        <v>149.0</v>
      </c>
      <c r="H38" s="345">
        <v>32.98</v>
      </c>
      <c r="I38" s="488">
        <f t="shared" si="16"/>
        <v>0.2213422819</v>
      </c>
      <c r="J38" s="315">
        <f t="shared" si="17"/>
        <v>106.02</v>
      </c>
      <c r="K38" s="316">
        <f t="shared" si="18"/>
        <v>3.214675561</v>
      </c>
      <c r="L38" s="331">
        <v>189.0</v>
      </c>
      <c r="M38" s="343" t="s">
        <v>111</v>
      </c>
      <c r="N38" s="343" t="s">
        <v>111</v>
      </c>
      <c r="O38" s="300">
        <v>139.0</v>
      </c>
      <c r="P38" s="457"/>
      <c r="Q38" s="457"/>
      <c r="R38" s="457"/>
      <c r="S38" s="457"/>
      <c r="T38" s="457"/>
      <c r="U38" s="457"/>
      <c r="V38" s="457"/>
      <c r="W38" s="457"/>
      <c r="X38" s="457"/>
      <c r="Y38" s="457"/>
      <c r="Z38" s="457"/>
      <c r="AA38" s="457"/>
      <c r="AB38" s="840"/>
      <c r="AC38" s="840"/>
    </row>
    <row r="39" ht="14.25" customHeight="1" outlineLevel="1">
      <c r="A39" s="285">
        <v>37.0</v>
      </c>
      <c r="B39" s="595" t="s">
        <v>641</v>
      </c>
      <c r="C39" s="416"/>
      <c r="D39" s="416"/>
      <c r="E39" s="416"/>
      <c r="F39" s="596">
        <v>500.0</v>
      </c>
      <c r="G39" s="301">
        <v>139.0</v>
      </c>
      <c r="H39" s="345">
        <v>16.0</v>
      </c>
      <c r="I39" s="858">
        <f t="shared" si="16"/>
        <v>0.1151079137</v>
      </c>
      <c r="J39" s="315">
        <f t="shared" si="17"/>
        <v>113</v>
      </c>
      <c r="K39" s="316">
        <f t="shared" si="18"/>
        <v>7.0625</v>
      </c>
      <c r="L39" s="331">
        <v>179.0</v>
      </c>
      <c r="M39" s="343" t="s">
        <v>111</v>
      </c>
      <c r="N39" s="343" t="s">
        <v>111</v>
      </c>
      <c r="O39" s="300">
        <v>129.0</v>
      </c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840"/>
      <c r="AC39" s="840"/>
    </row>
    <row r="40" ht="14.25" customHeight="1">
      <c r="A40" s="803">
        <v>38.0</v>
      </c>
      <c r="B40" s="594" t="s">
        <v>1356</v>
      </c>
      <c r="C40" s="290"/>
      <c r="D40" s="290"/>
      <c r="E40" s="290"/>
      <c r="F40" s="293"/>
      <c r="G40" s="298"/>
      <c r="H40" s="843"/>
      <c r="I40" s="297"/>
      <c r="J40" s="298"/>
      <c r="K40" s="297"/>
      <c r="L40" s="299"/>
      <c r="M40" s="297"/>
      <c r="N40" s="297"/>
      <c r="O40" s="844"/>
      <c r="P40" s="840"/>
      <c r="Q40" s="840"/>
      <c r="R40" s="840"/>
      <c r="S40" s="840"/>
      <c r="T40" s="840"/>
      <c r="U40" s="840"/>
      <c r="V40" s="840"/>
      <c r="W40" s="840"/>
      <c r="X40" s="840"/>
      <c r="Y40" s="840"/>
      <c r="Z40" s="840"/>
      <c r="AA40" s="840"/>
      <c r="AB40" s="840"/>
      <c r="AC40" s="840"/>
    </row>
    <row r="41" ht="14.25" customHeight="1" outlineLevel="1">
      <c r="A41" s="845">
        <v>39.0</v>
      </c>
      <c r="B41" s="606" t="s">
        <v>1357</v>
      </c>
      <c r="C41" s="606"/>
      <c r="D41" s="606"/>
      <c r="E41" s="606"/>
      <c r="F41" s="607">
        <v>250.0</v>
      </c>
      <c r="G41" s="301">
        <v>239.0</v>
      </c>
      <c r="H41" s="608">
        <v>59.0</v>
      </c>
      <c r="I41" s="521">
        <f t="shared" ref="I41:I45" si="19">H41/G41</f>
        <v>0.2468619247</v>
      </c>
      <c r="J41" s="315">
        <f t="shared" ref="J41:J45" si="20">O41-H41</f>
        <v>170</v>
      </c>
      <c r="K41" s="316">
        <f t="shared" ref="K41:K45" si="21">O41/H41-1</f>
        <v>2.881355932</v>
      </c>
      <c r="L41" s="317"/>
      <c r="M41" s="343" t="s">
        <v>112</v>
      </c>
      <c r="N41" s="318" t="s">
        <v>112</v>
      </c>
      <c r="O41" s="300">
        <v>229.0</v>
      </c>
      <c r="P41" s="840"/>
      <c r="Q41" s="840"/>
      <c r="R41" s="840"/>
      <c r="S41" s="840"/>
      <c r="T41" s="840"/>
      <c r="U41" s="840"/>
      <c r="V41" s="840"/>
      <c r="W41" s="840"/>
      <c r="X41" s="840"/>
      <c r="Y41" s="840"/>
      <c r="Z41" s="840"/>
      <c r="AA41" s="840"/>
      <c r="AB41" s="840"/>
      <c r="AC41" s="840"/>
    </row>
    <row r="42" ht="14.25" customHeight="1" outlineLevel="1">
      <c r="A42" s="845">
        <v>40.0</v>
      </c>
      <c r="B42" s="606" t="s">
        <v>1358</v>
      </c>
      <c r="C42" s="606"/>
      <c r="D42" s="606"/>
      <c r="E42" s="606"/>
      <c r="F42" s="607">
        <v>250.0</v>
      </c>
      <c r="G42" s="301">
        <v>239.0</v>
      </c>
      <c r="H42" s="608">
        <v>59.0</v>
      </c>
      <c r="I42" s="521">
        <f t="shared" si="19"/>
        <v>0.2468619247</v>
      </c>
      <c r="J42" s="315">
        <f t="shared" si="20"/>
        <v>170</v>
      </c>
      <c r="K42" s="316">
        <f t="shared" si="21"/>
        <v>2.881355932</v>
      </c>
      <c r="L42" s="317"/>
      <c r="M42" s="343" t="s">
        <v>112</v>
      </c>
      <c r="N42" s="318" t="s">
        <v>112</v>
      </c>
      <c r="O42" s="300">
        <v>229.0</v>
      </c>
      <c r="P42" s="840"/>
      <c r="Q42" s="840"/>
      <c r="R42" s="840"/>
      <c r="S42" s="840"/>
      <c r="T42" s="840"/>
      <c r="U42" s="840"/>
      <c r="V42" s="840"/>
      <c r="W42" s="840"/>
      <c r="X42" s="840"/>
      <c r="Y42" s="840"/>
      <c r="Z42" s="840"/>
      <c r="AA42" s="840"/>
      <c r="AB42" s="840"/>
      <c r="AC42" s="840"/>
    </row>
    <row r="43" ht="14.25" customHeight="1" outlineLevel="1">
      <c r="A43" s="845">
        <v>41.0</v>
      </c>
      <c r="B43" s="606" t="s">
        <v>1359</v>
      </c>
      <c r="C43" s="606"/>
      <c r="D43" s="606"/>
      <c r="E43" s="606"/>
      <c r="F43" s="607">
        <v>250.0</v>
      </c>
      <c r="G43" s="301">
        <v>239.0</v>
      </c>
      <c r="H43" s="608">
        <v>59.0</v>
      </c>
      <c r="I43" s="521">
        <f t="shared" si="19"/>
        <v>0.2468619247</v>
      </c>
      <c r="J43" s="315">
        <f t="shared" si="20"/>
        <v>170</v>
      </c>
      <c r="K43" s="316">
        <f t="shared" si="21"/>
        <v>2.881355932</v>
      </c>
      <c r="L43" s="317"/>
      <c r="M43" s="343" t="s">
        <v>112</v>
      </c>
      <c r="N43" s="318" t="s">
        <v>112</v>
      </c>
      <c r="O43" s="300">
        <v>229.0</v>
      </c>
      <c r="P43" s="840"/>
      <c r="Q43" s="840"/>
      <c r="R43" s="840"/>
      <c r="S43" s="840"/>
      <c r="T43" s="840"/>
      <c r="U43" s="840"/>
      <c r="V43" s="840"/>
      <c r="W43" s="840"/>
      <c r="X43" s="840"/>
      <c r="Y43" s="840"/>
      <c r="Z43" s="840"/>
      <c r="AA43" s="840"/>
      <c r="AB43" s="840"/>
      <c r="AC43" s="840"/>
    </row>
    <row r="44" ht="14.25" customHeight="1" outlineLevel="1">
      <c r="A44" s="285">
        <v>42.0</v>
      </c>
      <c r="B44" s="595" t="s">
        <v>1619</v>
      </c>
      <c r="C44" s="595"/>
      <c r="D44" s="595"/>
      <c r="E44" s="595"/>
      <c r="F44" s="596">
        <v>250.0</v>
      </c>
      <c r="G44" s="301">
        <v>239.0</v>
      </c>
      <c r="H44" s="608">
        <v>59.0</v>
      </c>
      <c r="I44" s="521">
        <f t="shared" si="19"/>
        <v>0.2468619247</v>
      </c>
      <c r="J44" s="315">
        <f t="shared" si="20"/>
        <v>170</v>
      </c>
      <c r="K44" s="316">
        <f t="shared" si="21"/>
        <v>2.881355932</v>
      </c>
      <c r="L44" s="317"/>
      <c r="M44" s="343" t="s">
        <v>112</v>
      </c>
      <c r="N44" s="318" t="s">
        <v>112</v>
      </c>
      <c r="O44" s="300">
        <v>229.0</v>
      </c>
      <c r="P44" s="840"/>
      <c r="Q44" s="840"/>
      <c r="R44" s="840"/>
      <c r="S44" s="840"/>
      <c r="T44" s="840"/>
      <c r="U44" s="840"/>
      <c r="V44" s="840"/>
      <c r="W44" s="840"/>
      <c r="X44" s="840"/>
      <c r="Y44" s="840"/>
      <c r="Z44" s="840"/>
      <c r="AA44" s="840"/>
      <c r="AB44" s="840"/>
      <c r="AC44" s="840"/>
    </row>
    <row r="45" ht="14.25" customHeight="1" outlineLevel="1">
      <c r="A45" s="285">
        <v>43.0</v>
      </c>
      <c r="B45" s="595" t="s">
        <v>1620</v>
      </c>
      <c r="C45" s="595"/>
      <c r="D45" s="595"/>
      <c r="E45" s="595"/>
      <c r="F45" s="596">
        <v>250.0</v>
      </c>
      <c r="G45" s="301">
        <v>239.0</v>
      </c>
      <c r="H45" s="608">
        <v>59.0</v>
      </c>
      <c r="I45" s="521">
        <f t="shared" si="19"/>
        <v>0.2468619247</v>
      </c>
      <c r="J45" s="315">
        <f t="shared" si="20"/>
        <v>170</v>
      </c>
      <c r="K45" s="316">
        <f t="shared" si="21"/>
        <v>2.881355932</v>
      </c>
      <c r="L45" s="317"/>
      <c r="M45" s="343" t="s">
        <v>112</v>
      </c>
      <c r="N45" s="318"/>
      <c r="O45" s="300">
        <v>229.0</v>
      </c>
      <c r="P45" s="840"/>
      <c r="Q45" s="840"/>
      <c r="R45" s="840"/>
      <c r="S45" s="840"/>
      <c r="T45" s="840"/>
      <c r="U45" s="840"/>
      <c r="V45" s="840"/>
      <c r="W45" s="840"/>
      <c r="X45" s="840"/>
      <c r="Y45" s="840"/>
      <c r="Z45" s="840"/>
      <c r="AA45" s="840"/>
      <c r="AB45" s="840"/>
      <c r="AC45" s="840"/>
    </row>
    <row r="46" ht="14.25" customHeight="1">
      <c r="A46" s="803">
        <v>44.0</v>
      </c>
      <c r="B46" s="594" t="s">
        <v>643</v>
      </c>
      <c r="C46" s="594" t="s">
        <v>1361</v>
      </c>
      <c r="D46" s="290"/>
      <c r="E46" s="290"/>
      <c r="F46" s="293"/>
      <c r="G46" s="298"/>
      <c r="H46" s="843"/>
      <c r="I46" s="297"/>
      <c r="J46" s="803"/>
      <c r="K46" s="297"/>
      <c r="L46" s="299"/>
      <c r="M46" s="290"/>
      <c r="N46" s="290"/>
      <c r="O46" s="840"/>
      <c r="P46" s="840"/>
      <c r="Q46" s="840"/>
      <c r="R46" s="840"/>
      <c r="S46" s="840"/>
      <c r="T46" s="840"/>
      <c r="U46" s="840"/>
      <c r="V46" s="840"/>
      <c r="W46" s="840"/>
      <c r="X46" s="840"/>
      <c r="Y46" s="840"/>
      <c r="Z46" s="840"/>
      <c r="AA46" s="840"/>
      <c r="AB46" s="840"/>
      <c r="AC46" s="840"/>
    </row>
    <row r="47" ht="14.25" customHeight="1" outlineLevel="1">
      <c r="A47" s="285">
        <v>45.0</v>
      </c>
      <c r="B47" s="595" t="s">
        <v>1621</v>
      </c>
      <c r="C47" s="416"/>
      <c r="D47" s="595" t="s">
        <v>646</v>
      </c>
      <c r="E47" s="416"/>
      <c r="F47" s="602">
        <v>500.0</v>
      </c>
      <c r="G47" s="311">
        <v>249.0</v>
      </c>
      <c r="H47" s="603">
        <v>40.52</v>
      </c>
      <c r="I47" s="557">
        <f t="shared" ref="I47:I53" si="22">H47/G47</f>
        <v>0.1627309237</v>
      </c>
      <c r="J47" s="300">
        <f t="shared" ref="J47:J53" si="23">O47-H47</f>
        <v>188.48</v>
      </c>
      <c r="K47" s="413">
        <f t="shared" ref="K47:K53" si="24">O47/H47-1</f>
        <v>4.651530109</v>
      </c>
      <c r="L47" s="442"/>
      <c r="M47" s="318" t="s">
        <v>112</v>
      </c>
      <c r="N47" s="318" t="s">
        <v>112</v>
      </c>
      <c r="O47" s="319">
        <v>229.0</v>
      </c>
      <c r="P47" s="457"/>
      <c r="Q47" s="457"/>
      <c r="R47" s="457"/>
      <c r="S47" s="457"/>
      <c r="T47" s="457"/>
      <c r="U47" s="457"/>
      <c r="V47" s="457"/>
      <c r="W47" s="457"/>
      <c r="X47" s="457"/>
      <c r="Y47" s="457"/>
      <c r="Z47" s="457"/>
      <c r="AA47" s="457"/>
      <c r="AB47" s="840"/>
      <c r="AC47" s="840"/>
    </row>
    <row r="48" ht="14.25" customHeight="1" outlineLevel="1">
      <c r="A48" s="285">
        <v>46.0</v>
      </c>
      <c r="B48" s="595" t="s">
        <v>1362</v>
      </c>
      <c r="C48" s="416"/>
      <c r="D48" s="595" t="s">
        <v>652</v>
      </c>
      <c r="E48" s="416"/>
      <c r="F48" s="596">
        <v>500.0</v>
      </c>
      <c r="G48" s="311">
        <v>299.0</v>
      </c>
      <c r="H48" s="345">
        <v>64.0</v>
      </c>
      <c r="I48" s="859">
        <f t="shared" si="22"/>
        <v>0.2140468227</v>
      </c>
      <c r="J48" s="315">
        <f t="shared" si="23"/>
        <v>225</v>
      </c>
      <c r="K48" s="316">
        <f t="shared" si="24"/>
        <v>3.515625</v>
      </c>
      <c r="L48" s="452"/>
      <c r="M48" s="318" t="s">
        <v>112</v>
      </c>
      <c r="N48" s="318" t="s">
        <v>112</v>
      </c>
      <c r="O48" s="319">
        <v>289.0</v>
      </c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840"/>
      <c r="AC48" s="840"/>
    </row>
    <row r="49" ht="14.25" customHeight="1" outlineLevel="1">
      <c r="A49" s="285">
        <v>47.0</v>
      </c>
      <c r="B49" s="595" t="s">
        <v>1363</v>
      </c>
      <c r="C49" s="416"/>
      <c r="D49" s="595" t="s">
        <v>661</v>
      </c>
      <c r="E49" s="416"/>
      <c r="F49" s="596">
        <v>500.0</v>
      </c>
      <c r="G49" s="311">
        <v>359.0</v>
      </c>
      <c r="H49" s="345">
        <v>79.34</v>
      </c>
      <c r="I49" s="488">
        <f t="shared" si="22"/>
        <v>0.2210027855</v>
      </c>
      <c r="J49" s="315">
        <f t="shared" si="23"/>
        <v>249.66</v>
      </c>
      <c r="K49" s="316">
        <f t="shared" si="24"/>
        <v>3.14671036</v>
      </c>
      <c r="L49" s="452"/>
      <c r="M49" s="318" t="s">
        <v>112</v>
      </c>
      <c r="N49" s="318" t="s">
        <v>112</v>
      </c>
      <c r="O49" s="319">
        <v>329.0</v>
      </c>
      <c r="P49" s="457"/>
      <c r="Q49" s="457"/>
      <c r="R49" s="457"/>
      <c r="S49" s="457"/>
      <c r="T49" s="457"/>
      <c r="U49" s="457"/>
      <c r="V49" s="457"/>
      <c r="W49" s="457"/>
      <c r="X49" s="457"/>
      <c r="Y49" s="457"/>
      <c r="Z49" s="457"/>
      <c r="AA49" s="457"/>
      <c r="AB49" s="840"/>
      <c r="AC49" s="840"/>
    </row>
    <row r="50" ht="14.25" customHeight="1" outlineLevel="1">
      <c r="A50" s="285">
        <v>48.0</v>
      </c>
      <c r="B50" s="595" t="s">
        <v>1364</v>
      </c>
      <c r="C50" s="416"/>
      <c r="D50" s="595" t="s">
        <v>688</v>
      </c>
      <c r="E50" s="416"/>
      <c r="F50" s="596">
        <v>445.0</v>
      </c>
      <c r="G50" s="358">
        <v>599.0</v>
      </c>
      <c r="H50" s="345">
        <v>214.0</v>
      </c>
      <c r="I50" s="860">
        <f t="shared" si="22"/>
        <v>0.3572621035</v>
      </c>
      <c r="J50" s="315">
        <f t="shared" si="23"/>
        <v>385</v>
      </c>
      <c r="K50" s="316">
        <f t="shared" si="24"/>
        <v>1.799065421</v>
      </c>
      <c r="L50" s="452"/>
      <c r="M50" s="318" t="s">
        <v>112</v>
      </c>
      <c r="N50" s="318" t="s">
        <v>112</v>
      </c>
      <c r="O50" s="359">
        <v>599.0</v>
      </c>
      <c r="P50" s="457"/>
      <c r="Q50" s="457"/>
      <c r="R50" s="457"/>
      <c r="S50" s="457"/>
      <c r="T50" s="457"/>
      <c r="U50" s="457"/>
      <c r="V50" s="457"/>
      <c r="W50" s="457"/>
      <c r="X50" s="457"/>
      <c r="Y50" s="457"/>
      <c r="Z50" s="457"/>
      <c r="AA50" s="457"/>
      <c r="AB50" s="840"/>
      <c r="AC50" s="840"/>
    </row>
    <row r="51" ht="14.25" customHeight="1" outlineLevel="1">
      <c r="A51" s="285">
        <v>49.0</v>
      </c>
      <c r="B51" s="595" t="s">
        <v>1622</v>
      </c>
      <c r="C51" s="595" t="s">
        <v>1623</v>
      </c>
      <c r="D51" s="595" t="s">
        <v>692</v>
      </c>
      <c r="E51" s="416"/>
      <c r="F51" s="602">
        <v>500.0</v>
      </c>
      <c r="G51" s="301">
        <v>319.0</v>
      </c>
      <c r="H51" s="603">
        <v>56.31</v>
      </c>
      <c r="I51" s="478">
        <f t="shared" si="22"/>
        <v>0.1765203762</v>
      </c>
      <c r="J51" s="300">
        <f t="shared" si="23"/>
        <v>242.69</v>
      </c>
      <c r="K51" s="413">
        <f t="shared" si="24"/>
        <v>4.309891671</v>
      </c>
      <c r="L51" s="442"/>
      <c r="M51" s="318" t="s">
        <v>112</v>
      </c>
      <c r="N51" s="318" t="s">
        <v>112</v>
      </c>
      <c r="O51" s="300">
        <v>299.0</v>
      </c>
      <c r="P51" s="457"/>
      <c r="Q51" s="457"/>
      <c r="R51" s="457"/>
      <c r="S51" s="457"/>
      <c r="T51" s="457"/>
      <c r="U51" s="457"/>
      <c r="V51" s="457"/>
      <c r="W51" s="457"/>
      <c r="X51" s="457"/>
      <c r="Y51" s="457"/>
      <c r="Z51" s="457"/>
      <c r="AA51" s="457"/>
      <c r="AB51" s="840"/>
      <c r="AC51" s="840"/>
    </row>
    <row r="52" ht="14.25" customHeight="1" outlineLevel="1">
      <c r="A52" s="285">
        <v>50.0</v>
      </c>
      <c r="B52" s="595" t="s">
        <v>695</v>
      </c>
      <c r="C52" s="595" t="s">
        <v>1367</v>
      </c>
      <c r="D52" s="595" t="s">
        <v>696</v>
      </c>
      <c r="E52" s="416"/>
      <c r="F52" s="602">
        <v>450.0</v>
      </c>
      <c r="G52" s="311">
        <v>369.0</v>
      </c>
      <c r="H52" s="603">
        <v>85.0</v>
      </c>
      <c r="I52" s="861">
        <f t="shared" si="22"/>
        <v>0.2303523035</v>
      </c>
      <c r="J52" s="300">
        <f t="shared" si="23"/>
        <v>-85</v>
      </c>
      <c r="K52" s="413">
        <f t="shared" si="24"/>
        <v>-1</v>
      </c>
      <c r="L52" s="442"/>
      <c r="M52" s="318" t="s">
        <v>112</v>
      </c>
      <c r="N52" s="808" t="s">
        <v>112</v>
      </c>
      <c r="O52" s="577"/>
      <c r="P52" s="457"/>
      <c r="Q52" s="809"/>
      <c r="R52" s="457"/>
      <c r="S52" s="457"/>
      <c r="T52" s="457"/>
      <c r="U52" s="457"/>
      <c r="V52" s="457"/>
      <c r="W52" s="457"/>
      <c r="X52" s="457"/>
      <c r="Y52" s="457"/>
      <c r="Z52" s="457"/>
      <c r="AA52" s="457"/>
      <c r="AB52" s="840"/>
      <c r="AC52" s="840"/>
    </row>
    <row r="53" ht="14.25" customHeight="1" outlineLevel="1">
      <c r="A53" s="285">
        <v>51.0</v>
      </c>
      <c r="B53" s="595" t="s">
        <v>1368</v>
      </c>
      <c r="C53" s="416"/>
      <c r="D53" s="416"/>
      <c r="E53" s="416"/>
      <c r="F53" s="602">
        <v>330.0</v>
      </c>
      <c r="G53" s="311">
        <v>239.0</v>
      </c>
      <c r="H53" s="603">
        <v>46.0</v>
      </c>
      <c r="I53" s="862">
        <f t="shared" si="22"/>
        <v>0.1924686192</v>
      </c>
      <c r="J53" s="300">
        <f t="shared" si="23"/>
        <v>-46</v>
      </c>
      <c r="K53" s="413">
        <f t="shared" si="24"/>
        <v>-1</v>
      </c>
      <c r="L53" s="442"/>
      <c r="M53" s="454"/>
      <c r="N53" s="810"/>
      <c r="O53" s="577"/>
      <c r="P53" s="457"/>
      <c r="Q53" s="809"/>
      <c r="R53" s="457"/>
      <c r="S53" s="457"/>
      <c r="T53" s="457"/>
      <c r="U53" s="457"/>
      <c r="V53" s="457"/>
      <c r="W53" s="457"/>
      <c r="X53" s="457"/>
      <c r="Y53" s="457"/>
      <c r="Z53" s="457"/>
      <c r="AA53" s="457"/>
      <c r="AB53" s="840"/>
      <c r="AC53" s="840"/>
    </row>
    <row r="54" ht="14.25" customHeight="1">
      <c r="A54" s="803">
        <v>52.0</v>
      </c>
      <c r="B54" s="594" t="s">
        <v>1624</v>
      </c>
      <c r="C54" s="290"/>
      <c r="D54" s="418" t="s">
        <v>1625</v>
      </c>
      <c r="E54" s="290"/>
      <c r="F54" s="293"/>
      <c r="G54" s="298"/>
      <c r="H54" s="843"/>
      <c r="I54" s="297"/>
      <c r="J54" s="298"/>
      <c r="K54" s="297"/>
      <c r="L54" s="299"/>
      <c r="M54" s="290"/>
      <c r="N54" s="290"/>
      <c r="O54" s="840"/>
      <c r="P54" s="840"/>
      <c r="Q54" s="840"/>
      <c r="R54" s="840"/>
      <c r="S54" s="840"/>
      <c r="T54" s="840"/>
      <c r="U54" s="840"/>
      <c r="V54" s="840"/>
      <c r="W54" s="840"/>
      <c r="X54" s="840"/>
      <c r="Y54" s="840"/>
      <c r="Z54" s="840"/>
      <c r="AA54" s="840"/>
      <c r="AB54" s="840"/>
      <c r="AC54" s="840"/>
    </row>
    <row r="55" ht="14.25" customHeight="1" outlineLevel="1">
      <c r="A55" s="845">
        <v>53.0</v>
      </c>
      <c r="B55" s="606" t="s">
        <v>1626</v>
      </c>
      <c r="C55" s="606" t="s">
        <v>1627</v>
      </c>
      <c r="D55" s="796" t="s">
        <v>1628</v>
      </c>
      <c r="E55" s="796"/>
      <c r="F55" s="607">
        <v>125.0</v>
      </c>
      <c r="G55" s="311">
        <v>249.0</v>
      </c>
      <c r="H55" s="608">
        <v>50.08</v>
      </c>
      <c r="I55" s="524">
        <f t="shared" ref="I55:I58" si="25">H55/G55</f>
        <v>0.201124498</v>
      </c>
      <c r="J55" s="315">
        <f t="shared" ref="J55:J58" si="26">O55-H55</f>
        <v>178.92</v>
      </c>
      <c r="K55" s="316">
        <f t="shared" ref="K55:K58" si="27">O55/H55-1</f>
        <v>3.572683706</v>
      </c>
      <c r="L55" s="452"/>
      <c r="M55" s="318" t="s">
        <v>112</v>
      </c>
      <c r="N55" s="318" t="s">
        <v>112</v>
      </c>
      <c r="O55" s="319">
        <v>229.0</v>
      </c>
      <c r="P55" s="457"/>
      <c r="Q55" s="457"/>
      <c r="R55" s="457"/>
      <c r="S55" s="457"/>
      <c r="T55" s="457"/>
      <c r="U55" s="457"/>
      <c r="V55" s="457"/>
      <c r="W55" s="457"/>
      <c r="X55" s="457"/>
      <c r="Y55" s="457"/>
      <c r="Z55" s="457"/>
      <c r="AA55" s="457"/>
      <c r="AB55" s="840"/>
      <c r="AC55" s="840"/>
    </row>
    <row r="56" ht="14.25" customHeight="1" outlineLevel="1">
      <c r="A56" s="285">
        <v>54.0</v>
      </c>
      <c r="B56" s="595" t="s">
        <v>1629</v>
      </c>
      <c r="C56" s="595" t="s">
        <v>1630</v>
      </c>
      <c r="D56" s="416" t="s">
        <v>1631</v>
      </c>
      <c r="E56" s="416"/>
      <c r="F56" s="596">
        <v>125.0</v>
      </c>
      <c r="G56" s="311">
        <v>449.0</v>
      </c>
      <c r="H56" s="608">
        <v>141.19</v>
      </c>
      <c r="I56" s="863">
        <f t="shared" si="25"/>
        <v>0.314454343</v>
      </c>
      <c r="J56" s="315">
        <f t="shared" si="26"/>
        <v>257.81</v>
      </c>
      <c r="K56" s="316">
        <f t="shared" si="27"/>
        <v>1.825979177</v>
      </c>
      <c r="L56" s="452"/>
      <c r="M56" s="318" t="s">
        <v>112</v>
      </c>
      <c r="N56" s="318" t="s">
        <v>112</v>
      </c>
      <c r="O56" s="319">
        <v>399.0</v>
      </c>
      <c r="P56" s="457"/>
      <c r="Q56" s="457"/>
      <c r="R56" s="457"/>
      <c r="S56" s="457"/>
      <c r="T56" s="457"/>
      <c r="U56" s="457"/>
      <c r="V56" s="457"/>
      <c r="W56" s="457"/>
      <c r="X56" s="457"/>
      <c r="Y56" s="457"/>
      <c r="Z56" s="457"/>
      <c r="AA56" s="457"/>
      <c r="AB56" s="840"/>
      <c r="AC56" s="840"/>
    </row>
    <row r="57" ht="14.25" customHeight="1" outlineLevel="1">
      <c r="A57" s="285">
        <v>55.0</v>
      </c>
      <c r="B57" s="595" t="s">
        <v>1375</v>
      </c>
      <c r="C57" s="595" t="s">
        <v>1632</v>
      </c>
      <c r="D57" s="416" t="s">
        <v>1633</v>
      </c>
      <c r="E57" s="416"/>
      <c r="F57" s="596">
        <v>125.0</v>
      </c>
      <c r="G57" s="311">
        <v>379.0</v>
      </c>
      <c r="H57" s="345">
        <v>77.16</v>
      </c>
      <c r="I57" s="518">
        <f t="shared" si="25"/>
        <v>0.2035883905</v>
      </c>
      <c r="J57" s="315">
        <f t="shared" si="26"/>
        <v>-77.16</v>
      </c>
      <c r="K57" s="316">
        <f t="shared" si="27"/>
        <v>-1</v>
      </c>
      <c r="L57" s="452"/>
      <c r="M57" s="318" t="s">
        <v>112</v>
      </c>
      <c r="N57" s="318" t="s">
        <v>112</v>
      </c>
      <c r="O57" s="577"/>
      <c r="P57" s="457"/>
      <c r="Q57" s="457"/>
      <c r="R57" s="457"/>
      <c r="S57" s="457"/>
      <c r="T57" s="457"/>
      <c r="U57" s="457"/>
      <c r="V57" s="457"/>
      <c r="W57" s="457"/>
      <c r="X57" s="457"/>
      <c r="Y57" s="457"/>
      <c r="Z57" s="457"/>
      <c r="AA57" s="457"/>
      <c r="AB57" s="840"/>
      <c r="AC57" s="840"/>
    </row>
    <row r="58" ht="14.25" customHeight="1" outlineLevel="1">
      <c r="A58" s="285">
        <v>56.0</v>
      </c>
      <c r="B58" s="595" t="s">
        <v>1387</v>
      </c>
      <c r="C58" s="595" t="s">
        <v>1378</v>
      </c>
      <c r="D58" s="416" t="s">
        <v>1631</v>
      </c>
      <c r="E58" s="416"/>
      <c r="F58" s="596">
        <v>125.0</v>
      </c>
      <c r="G58" s="311">
        <v>449.0</v>
      </c>
      <c r="H58" s="345">
        <v>95.0</v>
      </c>
      <c r="I58" s="864">
        <f t="shared" si="25"/>
        <v>0.2115812918</v>
      </c>
      <c r="J58" s="315">
        <f t="shared" si="26"/>
        <v>-95</v>
      </c>
      <c r="K58" s="316">
        <f t="shared" si="27"/>
        <v>-1</v>
      </c>
      <c r="L58" s="452"/>
      <c r="M58" s="318" t="s">
        <v>112</v>
      </c>
      <c r="N58" s="318" t="s">
        <v>112</v>
      </c>
      <c r="O58" s="577"/>
      <c r="P58" s="457"/>
      <c r="Q58" s="457"/>
      <c r="R58" s="457"/>
      <c r="S58" s="457"/>
      <c r="T58" s="457"/>
      <c r="U58" s="457"/>
      <c r="V58" s="457"/>
      <c r="W58" s="457"/>
      <c r="X58" s="457"/>
      <c r="Y58" s="457"/>
      <c r="Z58" s="457"/>
      <c r="AA58" s="457"/>
      <c r="AB58" s="840"/>
      <c r="AC58" s="840"/>
    </row>
    <row r="59" ht="14.25" customHeight="1">
      <c r="A59" s="803">
        <v>57.0</v>
      </c>
      <c r="B59" s="594" t="s">
        <v>1634</v>
      </c>
      <c r="C59" s="290"/>
      <c r="D59" s="290"/>
      <c r="E59" s="290"/>
      <c r="F59" s="293"/>
      <c r="G59" s="298"/>
      <c r="H59" s="843"/>
      <c r="I59" s="297"/>
      <c r="J59" s="298"/>
      <c r="K59" s="297"/>
      <c r="L59" s="299"/>
      <c r="M59" s="290"/>
      <c r="N59" s="290"/>
      <c r="O59" s="840"/>
      <c r="P59" s="840"/>
      <c r="Q59" s="840"/>
      <c r="R59" s="840"/>
      <c r="S59" s="840"/>
      <c r="T59" s="840"/>
      <c r="U59" s="840"/>
      <c r="V59" s="840"/>
      <c r="W59" s="840"/>
      <c r="X59" s="840"/>
      <c r="Y59" s="840"/>
      <c r="Z59" s="840"/>
      <c r="AA59" s="840"/>
      <c r="AB59" s="840"/>
      <c r="AC59" s="840"/>
    </row>
    <row r="60" ht="14.25" customHeight="1" outlineLevel="1">
      <c r="A60" s="285">
        <v>58.0</v>
      </c>
      <c r="B60" s="595" t="s">
        <v>1635</v>
      </c>
      <c r="C60" s="595" t="s">
        <v>1627</v>
      </c>
      <c r="D60" s="416" t="s">
        <v>1628</v>
      </c>
      <c r="E60" s="416"/>
      <c r="F60" s="596">
        <v>125.0</v>
      </c>
      <c r="G60" s="311">
        <v>249.0</v>
      </c>
      <c r="H60" s="608">
        <v>50.08</v>
      </c>
      <c r="I60" s="524">
        <f t="shared" ref="I60:I63" si="28">H60/G60</f>
        <v>0.201124498</v>
      </c>
      <c r="J60" s="315">
        <f t="shared" ref="J60:J63" si="29">O60-H60</f>
        <v>178.92</v>
      </c>
      <c r="K60" s="316">
        <f t="shared" ref="K60:K63" si="30">O60/H60-1</f>
        <v>3.572683706</v>
      </c>
      <c r="L60" s="452"/>
      <c r="M60" s="318" t="s">
        <v>112</v>
      </c>
      <c r="N60" s="318" t="s">
        <v>112</v>
      </c>
      <c r="O60" s="319">
        <v>229.0</v>
      </c>
      <c r="P60" s="457"/>
      <c r="Q60" s="457"/>
      <c r="R60" s="457"/>
      <c r="S60" s="457"/>
      <c r="T60" s="457"/>
      <c r="U60" s="457"/>
      <c r="V60" s="457"/>
      <c r="W60" s="457"/>
      <c r="X60" s="457"/>
      <c r="Y60" s="457"/>
      <c r="Z60" s="457"/>
      <c r="AA60" s="457"/>
      <c r="AB60" s="457"/>
      <c r="AC60" s="457"/>
    </row>
    <row r="61" ht="14.25" customHeight="1" outlineLevel="1">
      <c r="A61" s="285">
        <v>59.0</v>
      </c>
      <c r="B61" s="595" t="s">
        <v>1373</v>
      </c>
      <c r="C61" s="595" t="s">
        <v>1630</v>
      </c>
      <c r="D61" s="416" t="s">
        <v>1631</v>
      </c>
      <c r="E61" s="416"/>
      <c r="F61" s="596">
        <v>125.0</v>
      </c>
      <c r="G61" s="311">
        <v>449.0</v>
      </c>
      <c r="H61" s="345">
        <v>94.33</v>
      </c>
      <c r="I61" s="865">
        <f t="shared" si="28"/>
        <v>0.2100890869</v>
      </c>
      <c r="J61" s="315">
        <f t="shared" si="29"/>
        <v>304.67</v>
      </c>
      <c r="K61" s="316">
        <f t="shared" si="30"/>
        <v>3.229831443</v>
      </c>
      <c r="L61" s="452"/>
      <c r="M61" s="318" t="s">
        <v>112</v>
      </c>
      <c r="N61" s="318" t="s">
        <v>112</v>
      </c>
      <c r="O61" s="319">
        <v>399.0</v>
      </c>
      <c r="P61" s="457"/>
      <c r="Q61" s="457"/>
      <c r="R61" s="457"/>
      <c r="S61" s="457"/>
      <c r="T61" s="457"/>
      <c r="U61" s="457"/>
      <c r="V61" s="457"/>
      <c r="W61" s="457"/>
      <c r="X61" s="457"/>
      <c r="Y61" s="457"/>
      <c r="Z61" s="457"/>
      <c r="AA61" s="457"/>
      <c r="AB61" s="840"/>
      <c r="AC61" s="840"/>
    </row>
    <row r="62" ht="14.25" customHeight="1" outlineLevel="1">
      <c r="A62" s="285">
        <v>60.0</v>
      </c>
      <c r="B62" s="595" t="s">
        <v>1375</v>
      </c>
      <c r="C62" s="595" t="s">
        <v>1636</v>
      </c>
      <c r="D62" s="416" t="s">
        <v>1633</v>
      </c>
      <c r="E62" s="416"/>
      <c r="F62" s="596">
        <v>125.0</v>
      </c>
      <c r="G62" s="311">
        <v>379.0</v>
      </c>
      <c r="H62" s="345">
        <v>77.16</v>
      </c>
      <c r="I62" s="518">
        <f t="shared" si="28"/>
        <v>0.2035883905</v>
      </c>
      <c r="J62" s="315">
        <f t="shared" si="29"/>
        <v>-77.16</v>
      </c>
      <c r="K62" s="316">
        <f t="shared" si="30"/>
        <v>-1</v>
      </c>
      <c r="L62" s="452"/>
      <c r="M62" s="318" t="s">
        <v>112</v>
      </c>
      <c r="N62" s="318" t="s">
        <v>112</v>
      </c>
      <c r="O62" s="577"/>
      <c r="P62" s="457"/>
      <c r="Q62" s="457"/>
      <c r="R62" s="457"/>
      <c r="S62" s="457"/>
      <c r="T62" s="457"/>
      <c r="U62" s="457"/>
      <c r="V62" s="457"/>
      <c r="W62" s="457"/>
      <c r="X62" s="457"/>
      <c r="Y62" s="457"/>
      <c r="Z62" s="457"/>
      <c r="AA62" s="457"/>
      <c r="AB62" s="840"/>
      <c r="AC62" s="840"/>
    </row>
    <row r="63" ht="14.25" customHeight="1" outlineLevel="1">
      <c r="A63" s="285">
        <v>61.0</v>
      </c>
      <c r="B63" s="595" t="s">
        <v>1377</v>
      </c>
      <c r="C63" s="595" t="s">
        <v>1378</v>
      </c>
      <c r="D63" s="416" t="s">
        <v>1631</v>
      </c>
      <c r="E63" s="416"/>
      <c r="F63" s="596">
        <v>125.0</v>
      </c>
      <c r="G63" s="311">
        <v>449.0</v>
      </c>
      <c r="H63" s="345">
        <v>95.0</v>
      </c>
      <c r="I63" s="864">
        <f t="shared" si="28"/>
        <v>0.2115812918</v>
      </c>
      <c r="J63" s="315">
        <f t="shared" si="29"/>
        <v>-95</v>
      </c>
      <c r="K63" s="316">
        <f t="shared" si="30"/>
        <v>-1</v>
      </c>
      <c r="L63" s="452"/>
      <c r="M63" s="318" t="s">
        <v>112</v>
      </c>
      <c r="N63" s="318" t="s">
        <v>112</v>
      </c>
      <c r="O63" s="577"/>
      <c r="P63" s="457"/>
      <c r="Q63" s="457"/>
      <c r="R63" s="457"/>
      <c r="S63" s="457"/>
      <c r="T63" s="457"/>
      <c r="U63" s="457"/>
      <c r="V63" s="457"/>
      <c r="W63" s="457"/>
      <c r="X63" s="457"/>
      <c r="Y63" s="457"/>
      <c r="Z63" s="457"/>
      <c r="AA63" s="457"/>
      <c r="AB63" s="840"/>
      <c r="AC63" s="840"/>
    </row>
    <row r="64" ht="14.25" customHeight="1">
      <c r="A64" s="803">
        <v>62.0</v>
      </c>
      <c r="B64" s="594" t="s">
        <v>1637</v>
      </c>
      <c r="C64" s="290"/>
      <c r="D64" s="290"/>
      <c r="E64" s="290"/>
      <c r="F64" s="293"/>
      <c r="G64" s="298"/>
      <c r="H64" s="843"/>
      <c r="I64" s="297"/>
      <c r="J64" s="298"/>
      <c r="K64" s="297"/>
      <c r="L64" s="299"/>
      <c r="M64" s="290"/>
      <c r="N64" s="290"/>
      <c r="O64" s="844"/>
      <c r="P64" s="840"/>
      <c r="Q64" s="840"/>
      <c r="R64" s="840"/>
      <c r="S64" s="840"/>
      <c r="T64" s="840"/>
      <c r="U64" s="840"/>
      <c r="V64" s="840"/>
      <c r="W64" s="840"/>
      <c r="X64" s="840"/>
      <c r="Y64" s="840"/>
      <c r="Z64" s="840"/>
      <c r="AA64" s="840"/>
      <c r="AB64" s="840"/>
      <c r="AC64" s="840"/>
    </row>
    <row r="65" ht="14.25" customHeight="1" outlineLevel="1">
      <c r="A65" s="285">
        <v>63.0</v>
      </c>
      <c r="B65" s="595" t="s">
        <v>1638</v>
      </c>
      <c r="C65" s="606" t="s">
        <v>737</v>
      </c>
      <c r="D65" s="606" t="s">
        <v>1631</v>
      </c>
      <c r="E65" s="606"/>
      <c r="F65" s="607">
        <v>125.0</v>
      </c>
      <c r="G65" s="311">
        <v>449.0</v>
      </c>
      <c r="H65" s="608">
        <v>144.27</v>
      </c>
      <c r="I65" s="866">
        <f>H65/G65</f>
        <v>0.3213140312</v>
      </c>
      <c r="J65" s="315">
        <f>O65-H65</f>
        <v>254.73</v>
      </c>
      <c r="K65" s="316">
        <f>O65/H65-1</f>
        <v>1.765647744</v>
      </c>
      <c r="L65" s="317"/>
      <c r="M65" s="318" t="s">
        <v>112</v>
      </c>
      <c r="N65" s="318" t="s">
        <v>112</v>
      </c>
      <c r="O65" s="319">
        <v>399.0</v>
      </c>
      <c r="P65" s="840"/>
      <c r="Q65" s="840"/>
      <c r="R65" s="840"/>
      <c r="S65" s="840"/>
      <c r="T65" s="840"/>
      <c r="U65" s="840"/>
      <c r="V65" s="840"/>
      <c r="W65" s="840"/>
      <c r="X65" s="840"/>
      <c r="Y65" s="840"/>
      <c r="Z65" s="840"/>
      <c r="AA65" s="840"/>
      <c r="AB65" s="605"/>
      <c r="AC65" s="605"/>
    </row>
    <row r="66" ht="14.25" customHeight="1">
      <c r="A66" s="803">
        <v>64.0</v>
      </c>
      <c r="B66" s="594" t="s">
        <v>1639</v>
      </c>
      <c r="C66" s="815" t="s">
        <v>729</v>
      </c>
      <c r="D66" s="290"/>
      <c r="E66" s="290"/>
      <c r="F66" s="293"/>
      <c r="G66" s="298"/>
      <c r="H66" s="843"/>
      <c r="I66" s="297"/>
      <c r="J66" s="298"/>
      <c r="K66" s="297"/>
      <c r="L66" s="299"/>
      <c r="M66" s="290"/>
      <c r="N66" s="290"/>
      <c r="O66" s="844"/>
      <c r="P66" s="840"/>
      <c r="Q66" s="840"/>
      <c r="R66" s="840"/>
      <c r="S66" s="840"/>
      <c r="T66" s="840"/>
      <c r="U66" s="840"/>
      <c r="V66" s="840"/>
      <c r="W66" s="840"/>
      <c r="X66" s="840"/>
      <c r="Y66" s="840"/>
      <c r="Z66" s="840"/>
      <c r="AA66" s="840"/>
      <c r="AB66" s="840"/>
      <c r="AC66" s="840"/>
    </row>
    <row r="67" ht="14.25" customHeight="1" outlineLevel="1">
      <c r="A67" s="285">
        <v>65.0</v>
      </c>
      <c r="B67" s="595" t="s">
        <v>1396</v>
      </c>
      <c r="C67" s="816" t="s">
        <v>733</v>
      </c>
      <c r="D67" s="416"/>
      <c r="E67" s="416"/>
      <c r="F67" s="596">
        <v>750.0</v>
      </c>
      <c r="G67" s="311">
        <v>1599.0</v>
      </c>
      <c r="H67" s="345">
        <v>332.78</v>
      </c>
      <c r="I67" s="867">
        <f t="shared" ref="I67:I70" si="31">H67/G67</f>
        <v>0.2081175735</v>
      </c>
      <c r="J67" s="319">
        <f t="shared" ref="J67:J70" si="32">O67-H67</f>
        <v>-332.78</v>
      </c>
      <c r="K67" s="332">
        <f t="shared" ref="K67:K70" si="33">O67/H67-1</f>
        <v>-1</v>
      </c>
      <c r="L67" s="442"/>
      <c r="M67" s="491"/>
      <c r="N67" s="491"/>
      <c r="O67" s="577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1"/>
      <c r="AB67" s="605"/>
      <c r="AC67" s="605"/>
    </row>
    <row r="68" ht="14.25" customHeight="1" outlineLevel="1">
      <c r="A68" s="285">
        <v>66.0</v>
      </c>
      <c r="B68" s="595" t="s">
        <v>1640</v>
      </c>
      <c r="C68" s="816" t="s">
        <v>731</v>
      </c>
      <c r="D68" s="416"/>
      <c r="E68" s="416"/>
      <c r="F68" s="596">
        <v>750.0</v>
      </c>
      <c r="G68" s="311">
        <v>1599.0</v>
      </c>
      <c r="H68" s="345">
        <v>332.78</v>
      </c>
      <c r="I68" s="867">
        <f t="shared" si="31"/>
        <v>0.2081175735</v>
      </c>
      <c r="J68" s="319">
        <f t="shared" si="32"/>
        <v>-332.78</v>
      </c>
      <c r="K68" s="332">
        <f t="shared" si="33"/>
        <v>-1</v>
      </c>
      <c r="L68" s="442"/>
      <c r="M68" s="491"/>
      <c r="N68" s="491"/>
      <c r="O68" s="577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  <c r="AA68" s="491"/>
      <c r="AB68" s="605"/>
      <c r="AC68" s="605"/>
    </row>
    <row r="69" ht="14.25" customHeight="1" outlineLevel="1">
      <c r="A69" s="285">
        <v>67.0</v>
      </c>
      <c r="B69" s="595" t="s">
        <v>734</v>
      </c>
      <c r="C69" s="816" t="s">
        <v>735</v>
      </c>
      <c r="D69" s="416"/>
      <c r="E69" s="416"/>
      <c r="F69" s="596">
        <v>750.0</v>
      </c>
      <c r="G69" s="311">
        <v>4299.0</v>
      </c>
      <c r="H69" s="345">
        <v>1222.0</v>
      </c>
      <c r="I69" s="868">
        <f t="shared" si="31"/>
        <v>0.2842521517</v>
      </c>
      <c r="J69" s="319">
        <f t="shared" si="32"/>
        <v>2977</v>
      </c>
      <c r="K69" s="332">
        <f t="shared" si="33"/>
        <v>2.436170213</v>
      </c>
      <c r="L69" s="442"/>
      <c r="M69" s="318" t="s">
        <v>112</v>
      </c>
      <c r="N69" s="318" t="s">
        <v>112</v>
      </c>
      <c r="O69" s="319">
        <v>4199.0</v>
      </c>
      <c r="P69" s="491"/>
      <c r="Q69" s="491"/>
      <c r="R69" s="491"/>
      <c r="S69" s="491"/>
      <c r="T69" s="491"/>
      <c r="U69" s="491"/>
      <c r="V69" s="491"/>
      <c r="W69" s="491"/>
      <c r="X69" s="491"/>
      <c r="Y69" s="491"/>
      <c r="Z69" s="491"/>
      <c r="AA69" s="491"/>
      <c r="AB69" s="605"/>
      <c r="AC69" s="605"/>
    </row>
    <row r="70" ht="14.25" customHeight="1" outlineLevel="1">
      <c r="A70" s="285">
        <v>68.0</v>
      </c>
      <c r="B70" s="595" t="s">
        <v>736</v>
      </c>
      <c r="C70" s="816" t="s">
        <v>737</v>
      </c>
      <c r="D70" s="416"/>
      <c r="E70" s="416"/>
      <c r="F70" s="596">
        <v>750.0</v>
      </c>
      <c r="G70" s="311">
        <v>4299.0</v>
      </c>
      <c r="H70" s="345">
        <v>1222.0</v>
      </c>
      <c r="I70" s="868">
        <f t="shared" si="31"/>
        <v>0.2842521517</v>
      </c>
      <c r="J70" s="319">
        <f t="shared" si="32"/>
        <v>2977</v>
      </c>
      <c r="K70" s="332">
        <f t="shared" si="33"/>
        <v>2.436170213</v>
      </c>
      <c r="L70" s="442"/>
      <c r="M70" s="318" t="s">
        <v>112</v>
      </c>
      <c r="N70" s="318" t="s">
        <v>112</v>
      </c>
      <c r="O70" s="319">
        <v>4199.0</v>
      </c>
      <c r="P70" s="491"/>
      <c r="Q70" s="491"/>
      <c r="R70" s="491"/>
      <c r="S70" s="491"/>
      <c r="T70" s="491"/>
      <c r="U70" s="491"/>
      <c r="V70" s="491"/>
      <c r="W70" s="491"/>
      <c r="X70" s="491"/>
      <c r="Y70" s="491"/>
      <c r="Z70" s="491"/>
      <c r="AA70" s="491"/>
      <c r="AB70" s="605"/>
      <c r="AC70" s="605"/>
    </row>
    <row r="71" ht="14.25" customHeight="1">
      <c r="A71" s="803">
        <v>69.0</v>
      </c>
      <c r="B71" s="594" t="s">
        <v>1398</v>
      </c>
      <c r="C71" s="290"/>
      <c r="D71" s="290"/>
      <c r="E71" s="290"/>
      <c r="F71" s="293"/>
      <c r="G71" s="298"/>
      <c r="H71" s="843"/>
      <c r="I71" s="297"/>
      <c r="J71" s="298"/>
      <c r="K71" s="297"/>
      <c r="L71" s="299"/>
      <c r="M71" s="297"/>
      <c r="N71" s="297"/>
      <c r="O71" s="844"/>
      <c r="P71" s="840"/>
      <c r="Q71" s="840"/>
      <c r="R71" s="840"/>
      <c r="S71" s="840"/>
      <c r="T71" s="840"/>
      <c r="U71" s="840"/>
      <c r="V71" s="840"/>
      <c r="W71" s="840"/>
      <c r="X71" s="840"/>
      <c r="Y71" s="840"/>
      <c r="Z71" s="840"/>
      <c r="AA71" s="840"/>
      <c r="AB71" s="840"/>
      <c r="AC71" s="840"/>
    </row>
    <row r="72" ht="14.25" customHeight="1" outlineLevel="1">
      <c r="A72" s="285">
        <v>70.0</v>
      </c>
      <c r="B72" s="595" t="s">
        <v>753</v>
      </c>
      <c r="C72" s="595" t="s">
        <v>1400</v>
      </c>
      <c r="D72" s="595" t="s">
        <v>1399</v>
      </c>
      <c r="E72" s="416"/>
      <c r="F72" s="596">
        <v>200.0</v>
      </c>
      <c r="G72" s="311">
        <v>349.0</v>
      </c>
      <c r="H72" s="345">
        <v>65.9</v>
      </c>
      <c r="I72" s="513">
        <f t="shared" ref="I72:I82" si="34">H72/G72</f>
        <v>0.1888252149</v>
      </c>
      <c r="J72" s="300">
        <f t="shared" ref="J72:J82" si="35">O72-H72</f>
        <v>253.1</v>
      </c>
      <c r="K72" s="413">
        <f t="shared" ref="K72:K82" si="36">O72/H72-1</f>
        <v>3.840667678</v>
      </c>
      <c r="L72" s="442"/>
      <c r="M72" s="318" t="s">
        <v>112</v>
      </c>
      <c r="N72" s="318" t="s">
        <v>112</v>
      </c>
      <c r="O72" s="319">
        <v>319.0</v>
      </c>
      <c r="P72" s="491"/>
      <c r="Q72" s="491"/>
      <c r="R72" s="491"/>
      <c r="S72" s="491"/>
      <c r="T72" s="491"/>
      <c r="U72" s="491"/>
      <c r="V72" s="491"/>
      <c r="W72" s="491"/>
      <c r="X72" s="491"/>
      <c r="Y72" s="491"/>
      <c r="Z72" s="491"/>
      <c r="AA72" s="491"/>
      <c r="AB72" s="605"/>
      <c r="AC72" s="605"/>
    </row>
    <row r="73" ht="14.25" customHeight="1" outlineLevel="1">
      <c r="A73" s="285">
        <v>71.0</v>
      </c>
      <c r="B73" s="595" t="s">
        <v>755</v>
      </c>
      <c r="C73" s="595" t="s">
        <v>1401</v>
      </c>
      <c r="D73" s="416"/>
      <c r="E73" s="416"/>
      <c r="F73" s="596">
        <v>200.0</v>
      </c>
      <c r="G73" s="311">
        <v>369.0</v>
      </c>
      <c r="H73" s="345">
        <v>50.4</v>
      </c>
      <c r="I73" s="869">
        <f t="shared" si="34"/>
        <v>0.1365853659</v>
      </c>
      <c r="J73" s="300">
        <f t="shared" si="35"/>
        <v>298.6</v>
      </c>
      <c r="K73" s="413">
        <f t="shared" si="36"/>
        <v>5.924603175</v>
      </c>
      <c r="L73" s="442"/>
      <c r="M73" s="318" t="s">
        <v>112</v>
      </c>
      <c r="N73" s="318" t="s">
        <v>112</v>
      </c>
      <c r="O73" s="319">
        <v>349.0</v>
      </c>
      <c r="P73" s="491"/>
      <c r="Q73" s="491"/>
      <c r="R73" s="491"/>
      <c r="S73" s="491"/>
      <c r="T73" s="491"/>
      <c r="U73" s="491"/>
      <c r="V73" s="491"/>
      <c r="W73" s="491"/>
      <c r="X73" s="491"/>
      <c r="Y73" s="491"/>
      <c r="Z73" s="491"/>
      <c r="AA73" s="491"/>
      <c r="AB73" s="605"/>
      <c r="AC73" s="605"/>
    </row>
    <row r="74" ht="14.25" customHeight="1" outlineLevel="1">
      <c r="A74" s="285">
        <v>72.0</v>
      </c>
      <c r="B74" s="595" t="s">
        <v>928</v>
      </c>
      <c r="C74" s="595" t="s">
        <v>1641</v>
      </c>
      <c r="D74" s="595" t="s">
        <v>929</v>
      </c>
      <c r="E74" s="416"/>
      <c r="F74" s="596">
        <v>250.0</v>
      </c>
      <c r="G74" s="301">
        <v>369.0</v>
      </c>
      <c r="H74" s="345">
        <v>60.25</v>
      </c>
      <c r="I74" s="870">
        <f t="shared" si="34"/>
        <v>0.1632791328</v>
      </c>
      <c r="J74" s="315">
        <f t="shared" si="35"/>
        <v>288.75</v>
      </c>
      <c r="K74" s="316">
        <f t="shared" si="36"/>
        <v>4.79253112</v>
      </c>
      <c r="L74" s="452"/>
      <c r="M74" s="318" t="s">
        <v>112</v>
      </c>
      <c r="N74" s="318" t="s">
        <v>112</v>
      </c>
      <c r="O74" s="300">
        <v>349.0</v>
      </c>
      <c r="P74" s="457"/>
      <c r="Q74" s="457"/>
      <c r="R74" s="457"/>
      <c r="S74" s="457"/>
      <c r="T74" s="457"/>
      <c r="U74" s="457"/>
      <c r="V74" s="457"/>
      <c r="W74" s="457"/>
      <c r="X74" s="457"/>
      <c r="Y74" s="457"/>
      <c r="Z74" s="457"/>
      <c r="AA74" s="457"/>
      <c r="AB74" s="840"/>
      <c r="AC74" s="840"/>
    </row>
    <row r="75" ht="14.25" customHeight="1" outlineLevel="1">
      <c r="A75" s="845">
        <v>73.0</v>
      </c>
      <c r="B75" s="595" t="s">
        <v>769</v>
      </c>
      <c r="C75" s="595" t="s">
        <v>1642</v>
      </c>
      <c r="D75" s="595" t="s">
        <v>932</v>
      </c>
      <c r="E75" s="416"/>
      <c r="F75" s="596">
        <v>300.0</v>
      </c>
      <c r="G75" s="301">
        <v>349.0</v>
      </c>
      <c r="H75" s="345">
        <v>67.47</v>
      </c>
      <c r="I75" s="332">
        <f t="shared" si="34"/>
        <v>0.1933237822</v>
      </c>
      <c r="J75" s="411">
        <f t="shared" si="35"/>
        <v>261.53</v>
      </c>
      <c r="K75" s="316">
        <f t="shared" si="36"/>
        <v>3.876241292</v>
      </c>
      <c r="L75" s="452"/>
      <c r="M75" s="318" t="s">
        <v>112</v>
      </c>
      <c r="N75" s="318" t="s">
        <v>112</v>
      </c>
      <c r="O75" s="300">
        <v>329.0</v>
      </c>
      <c r="P75" s="457"/>
      <c r="Q75" s="457"/>
      <c r="R75" s="457"/>
      <c r="S75" s="457"/>
      <c r="T75" s="457"/>
      <c r="U75" s="457"/>
      <c r="V75" s="457"/>
      <c r="W75" s="457"/>
      <c r="X75" s="457"/>
      <c r="Y75" s="457"/>
      <c r="Z75" s="457"/>
      <c r="AA75" s="457"/>
      <c r="AB75" s="840"/>
      <c r="AC75" s="840"/>
    </row>
    <row r="76" ht="14.25" customHeight="1" outlineLevel="1">
      <c r="A76" s="845">
        <v>74.0</v>
      </c>
      <c r="B76" s="595" t="s">
        <v>763</v>
      </c>
      <c r="C76" s="595" t="s">
        <v>1407</v>
      </c>
      <c r="D76" s="595" t="s">
        <v>1406</v>
      </c>
      <c r="E76" s="416"/>
      <c r="F76" s="596">
        <v>300.0</v>
      </c>
      <c r="G76" s="301">
        <v>559.0</v>
      </c>
      <c r="H76" s="345">
        <v>118.97</v>
      </c>
      <c r="I76" s="332">
        <f t="shared" si="34"/>
        <v>0.2128264758</v>
      </c>
      <c r="J76" s="411">
        <f t="shared" si="35"/>
        <v>430.03</v>
      </c>
      <c r="K76" s="316">
        <f t="shared" si="36"/>
        <v>3.614608725</v>
      </c>
      <c r="L76" s="452"/>
      <c r="M76" s="318" t="s">
        <v>112</v>
      </c>
      <c r="N76" s="318" t="s">
        <v>112</v>
      </c>
      <c r="O76" s="300">
        <v>549.0</v>
      </c>
      <c r="P76" s="457"/>
      <c r="Q76" s="457"/>
      <c r="R76" s="457"/>
      <c r="S76" s="457"/>
      <c r="T76" s="457"/>
      <c r="U76" s="457"/>
      <c r="V76" s="457"/>
      <c r="W76" s="457"/>
      <c r="X76" s="457"/>
      <c r="Y76" s="457"/>
      <c r="Z76" s="457"/>
      <c r="AA76" s="457"/>
      <c r="AB76" s="840"/>
      <c r="AC76" s="840"/>
    </row>
    <row r="77" ht="14.25" customHeight="1" outlineLevel="1">
      <c r="A77" s="285">
        <v>75.0</v>
      </c>
      <c r="B77" s="595" t="s">
        <v>766</v>
      </c>
      <c r="C77" s="595" t="s">
        <v>1409</v>
      </c>
      <c r="D77" s="595" t="s">
        <v>1408</v>
      </c>
      <c r="E77" s="416"/>
      <c r="F77" s="602">
        <v>300.0</v>
      </c>
      <c r="G77" s="311">
        <v>499.0</v>
      </c>
      <c r="H77" s="603">
        <v>104.23</v>
      </c>
      <c r="I77" s="332">
        <f t="shared" si="34"/>
        <v>0.2088777555</v>
      </c>
      <c r="J77" s="300">
        <f t="shared" si="35"/>
        <v>394.77</v>
      </c>
      <c r="K77" s="413">
        <f t="shared" si="36"/>
        <v>3.787489207</v>
      </c>
      <c r="L77" s="442"/>
      <c r="M77" s="318" t="s">
        <v>112</v>
      </c>
      <c r="N77" s="318" t="s">
        <v>112</v>
      </c>
      <c r="O77" s="319">
        <v>499.0</v>
      </c>
      <c r="P77" s="457"/>
      <c r="Q77" s="457"/>
      <c r="R77" s="457"/>
      <c r="S77" s="457"/>
      <c r="T77" s="457"/>
      <c r="U77" s="457"/>
      <c r="V77" s="457"/>
      <c r="W77" s="457"/>
      <c r="X77" s="457"/>
      <c r="Y77" s="457"/>
      <c r="Z77" s="457"/>
      <c r="AA77" s="457"/>
      <c r="AB77" s="840"/>
      <c r="AC77" s="840"/>
    </row>
    <row r="78" ht="14.25" customHeight="1" outlineLevel="1">
      <c r="A78" s="845">
        <v>76.0</v>
      </c>
      <c r="B78" s="595" t="s">
        <v>598</v>
      </c>
      <c r="C78" s="595" t="s">
        <v>1402</v>
      </c>
      <c r="D78" s="595" t="s">
        <v>938</v>
      </c>
      <c r="E78" s="416"/>
      <c r="F78" s="596">
        <v>300.0</v>
      </c>
      <c r="G78" s="301">
        <v>349.0</v>
      </c>
      <c r="H78" s="345">
        <v>62.92</v>
      </c>
      <c r="I78" s="332">
        <f t="shared" si="34"/>
        <v>0.180286533</v>
      </c>
      <c r="J78" s="411">
        <f t="shared" si="35"/>
        <v>276.08</v>
      </c>
      <c r="K78" s="316">
        <f t="shared" si="36"/>
        <v>4.387794024</v>
      </c>
      <c r="L78" s="452"/>
      <c r="M78" s="318" t="s">
        <v>112</v>
      </c>
      <c r="N78" s="318" t="s">
        <v>112</v>
      </c>
      <c r="O78" s="300">
        <v>339.0</v>
      </c>
      <c r="P78" s="457"/>
      <c r="Q78" s="457"/>
      <c r="R78" s="457"/>
      <c r="S78" s="457"/>
      <c r="T78" s="457"/>
      <c r="U78" s="457"/>
      <c r="V78" s="457"/>
      <c r="W78" s="457"/>
      <c r="X78" s="457"/>
      <c r="Y78" s="457"/>
      <c r="Z78" s="457"/>
      <c r="AA78" s="457"/>
      <c r="AB78" s="840"/>
      <c r="AC78" s="840"/>
    </row>
    <row r="79" ht="14.25" customHeight="1" outlineLevel="1">
      <c r="A79" s="285">
        <v>77.0</v>
      </c>
      <c r="B79" s="595" t="s">
        <v>1643</v>
      </c>
      <c r="C79" s="595" t="s">
        <v>1644</v>
      </c>
      <c r="D79" s="595" t="s">
        <v>1645</v>
      </c>
      <c r="E79" s="416"/>
      <c r="F79" s="602">
        <v>300.0</v>
      </c>
      <c r="G79" s="301">
        <v>379.0</v>
      </c>
      <c r="H79" s="603">
        <v>88.09</v>
      </c>
      <c r="I79" s="332">
        <f t="shared" si="34"/>
        <v>0.2324274406</v>
      </c>
      <c r="J79" s="300">
        <f t="shared" si="35"/>
        <v>270.91</v>
      </c>
      <c r="K79" s="413">
        <f t="shared" si="36"/>
        <v>3.075377455</v>
      </c>
      <c r="L79" s="442"/>
      <c r="M79" s="318" t="s">
        <v>112</v>
      </c>
      <c r="N79" s="318" t="s">
        <v>112</v>
      </c>
      <c r="O79" s="300">
        <v>359.0</v>
      </c>
      <c r="P79" s="457"/>
      <c r="Q79" s="457"/>
      <c r="R79" s="457"/>
      <c r="S79" s="457"/>
      <c r="T79" s="457"/>
      <c r="U79" s="457"/>
      <c r="V79" s="457"/>
      <c r="W79" s="457"/>
      <c r="X79" s="457"/>
      <c r="Y79" s="457"/>
      <c r="Z79" s="457"/>
      <c r="AA79" s="457"/>
      <c r="AB79" s="840"/>
      <c r="AC79" s="840"/>
    </row>
    <row r="80" ht="14.25" customHeight="1" outlineLevel="1">
      <c r="A80" s="285">
        <v>78.0</v>
      </c>
      <c r="B80" s="595" t="s">
        <v>771</v>
      </c>
      <c r="C80" s="595" t="s">
        <v>933</v>
      </c>
      <c r="D80" s="595" t="s">
        <v>933</v>
      </c>
      <c r="E80" s="416"/>
      <c r="F80" s="596">
        <v>300.0</v>
      </c>
      <c r="G80" s="301">
        <v>349.0</v>
      </c>
      <c r="H80" s="345">
        <v>69.86</v>
      </c>
      <c r="I80" s="332">
        <f t="shared" si="34"/>
        <v>0.2001719198</v>
      </c>
      <c r="J80" s="411">
        <f t="shared" si="35"/>
        <v>259.14</v>
      </c>
      <c r="K80" s="316">
        <f t="shared" si="36"/>
        <v>3.709418838</v>
      </c>
      <c r="L80" s="452"/>
      <c r="M80" s="318" t="s">
        <v>112</v>
      </c>
      <c r="N80" s="318" t="s">
        <v>112</v>
      </c>
      <c r="O80" s="300">
        <v>329.0</v>
      </c>
      <c r="P80" s="457"/>
      <c r="Q80" s="457"/>
      <c r="R80" s="457"/>
      <c r="S80" s="457"/>
      <c r="T80" s="457"/>
      <c r="U80" s="457"/>
      <c r="V80" s="457"/>
      <c r="W80" s="457"/>
      <c r="X80" s="457"/>
      <c r="Y80" s="457"/>
      <c r="Z80" s="457"/>
      <c r="AA80" s="457"/>
      <c r="AB80" s="840"/>
      <c r="AC80" s="840"/>
    </row>
    <row r="81" ht="14.25" customHeight="1" outlineLevel="1">
      <c r="A81" s="285">
        <v>79.0</v>
      </c>
      <c r="B81" s="595" t="s">
        <v>936</v>
      </c>
      <c r="C81" s="595" t="s">
        <v>1646</v>
      </c>
      <c r="D81" s="595" t="s">
        <v>937</v>
      </c>
      <c r="E81" s="416"/>
      <c r="F81" s="596">
        <v>300.0</v>
      </c>
      <c r="G81" s="311">
        <v>369.0</v>
      </c>
      <c r="H81" s="345">
        <v>51.46</v>
      </c>
      <c r="I81" s="600">
        <f t="shared" si="34"/>
        <v>0.1394579946</v>
      </c>
      <c r="J81" s="411">
        <f t="shared" si="35"/>
        <v>277.54</v>
      </c>
      <c r="K81" s="316">
        <f t="shared" si="36"/>
        <v>5.393315196</v>
      </c>
      <c r="L81" s="442"/>
      <c r="M81" s="318" t="s">
        <v>112</v>
      </c>
      <c r="N81" s="318" t="s">
        <v>112</v>
      </c>
      <c r="O81" s="319">
        <v>329.0</v>
      </c>
      <c r="P81" s="457"/>
      <c r="Q81" s="457"/>
      <c r="R81" s="457"/>
      <c r="S81" s="457"/>
      <c r="T81" s="457"/>
      <c r="U81" s="457"/>
      <c r="V81" s="457"/>
      <c r="W81" s="457"/>
      <c r="X81" s="457"/>
      <c r="Y81" s="457"/>
      <c r="Z81" s="457"/>
      <c r="AA81" s="457"/>
      <c r="AB81" s="840"/>
      <c r="AC81" s="840"/>
    </row>
    <row r="82" ht="14.25" customHeight="1" outlineLevel="1">
      <c r="A82" s="285">
        <v>80.0</v>
      </c>
      <c r="B82" s="595" t="s">
        <v>1647</v>
      </c>
      <c r="C82" s="595" t="s">
        <v>1648</v>
      </c>
      <c r="D82" s="595" t="s">
        <v>1649</v>
      </c>
      <c r="E82" s="416"/>
      <c r="F82" s="596">
        <v>100.0</v>
      </c>
      <c r="G82" s="311">
        <v>369.0</v>
      </c>
      <c r="H82" s="345">
        <v>64.65</v>
      </c>
      <c r="I82" s="871">
        <f t="shared" si="34"/>
        <v>0.175203252</v>
      </c>
      <c r="J82" s="411">
        <f t="shared" si="35"/>
        <v>264.35</v>
      </c>
      <c r="K82" s="316">
        <f t="shared" si="36"/>
        <v>4.088940449</v>
      </c>
      <c r="L82" s="442"/>
      <c r="M82" s="318" t="s">
        <v>112</v>
      </c>
      <c r="N82" s="318" t="s">
        <v>112</v>
      </c>
      <c r="O82" s="319">
        <v>329.0</v>
      </c>
      <c r="P82" s="457"/>
      <c r="Q82" s="457"/>
      <c r="R82" s="457"/>
      <c r="S82" s="457"/>
      <c r="T82" s="457"/>
      <c r="U82" s="457"/>
      <c r="V82" s="457"/>
      <c r="W82" s="457"/>
      <c r="X82" s="457"/>
      <c r="Y82" s="457"/>
      <c r="Z82" s="457"/>
      <c r="AA82" s="457"/>
      <c r="AB82" s="840"/>
      <c r="AC82" s="840"/>
    </row>
    <row r="83" ht="14.25" customHeight="1">
      <c r="A83" s="803">
        <v>81.0</v>
      </c>
      <c r="B83" s="594" t="s">
        <v>1650</v>
      </c>
      <c r="C83" s="290"/>
      <c r="D83" s="290"/>
      <c r="E83" s="290"/>
      <c r="F83" s="293"/>
      <c r="G83" s="298"/>
      <c r="H83" s="843"/>
      <c r="I83" s="297">
        <f>AVERAGE(I84:I89)</f>
        <v>0.1394556114</v>
      </c>
      <c r="J83" s="298"/>
      <c r="K83" s="297"/>
      <c r="L83" s="299"/>
      <c r="M83" s="290"/>
      <c r="N83" s="290"/>
      <c r="O83" s="844"/>
      <c r="P83" s="840"/>
      <c r="Q83" s="840"/>
      <c r="R83" s="840"/>
      <c r="S83" s="840"/>
      <c r="T83" s="840"/>
      <c r="U83" s="840"/>
      <c r="V83" s="840"/>
      <c r="W83" s="840"/>
      <c r="X83" s="840"/>
      <c r="Y83" s="840"/>
      <c r="Z83" s="840"/>
      <c r="AA83" s="840"/>
      <c r="AB83" s="840"/>
      <c r="AC83" s="840"/>
    </row>
    <row r="84" ht="14.25" customHeight="1" outlineLevel="1">
      <c r="A84" s="845">
        <v>82.0</v>
      </c>
      <c r="B84" s="595" t="s">
        <v>801</v>
      </c>
      <c r="C84" s="595"/>
      <c r="D84" s="595"/>
      <c r="E84" s="595"/>
      <c r="F84" s="596">
        <v>50.0</v>
      </c>
      <c r="G84" s="311">
        <v>199.0</v>
      </c>
      <c r="H84" s="345">
        <v>22.54</v>
      </c>
      <c r="I84" s="332">
        <f t="shared" ref="I84:I90" si="37">H84/G84</f>
        <v>0.1132663317</v>
      </c>
      <c r="J84" s="315">
        <f t="shared" ref="J84:J90" si="38">O84-H84</f>
        <v>166.46</v>
      </c>
      <c r="K84" s="316">
        <f t="shared" ref="K84:K90" si="39">O84/H84-1</f>
        <v>7.385093168</v>
      </c>
      <c r="L84" s="317"/>
      <c r="M84" s="318" t="s">
        <v>112</v>
      </c>
      <c r="N84" s="318" t="s">
        <v>112</v>
      </c>
      <c r="O84" s="319">
        <v>189.0</v>
      </c>
      <c r="P84" s="840"/>
      <c r="Q84" s="840"/>
      <c r="R84" s="840"/>
      <c r="S84" s="840"/>
      <c r="T84" s="840"/>
      <c r="U84" s="840"/>
      <c r="V84" s="840"/>
      <c r="W84" s="840"/>
      <c r="X84" s="840"/>
      <c r="Y84" s="840"/>
      <c r="Z84" s="840"/>
      <c r="AA84" s="840"/>
      <c r="AB84" s="840"/>
      <c r="AC84" s="840"/>
    </row>
    <row r="85" ht="14.25" customHeight="1" outlineLevel="1">
      <c r="A85" s="845">
        <v>83.0</v>
      </c>
      <c r="B85" s="595" t="s">
        <v>803</v>
      </c>
      <c r="C85" s="595"/>
      <c r="D85" s="595"/>
      <c r="E85" s="595"/>
      <c r="F85" s="596">
        <v>50.0</v>
      </c>
      <c r="G85" s="311">
        <v>199.0</v>
      </c>
      <c r="H85" s="345">
        <v>28.53</v>
      </c>
      <c r="I85" s="332">
        <f t="shared" si="37"/>
        <v>0.1433668342</v>
      </c>
      <c r="J85" s="315">
        <f t="shared" si="38"/>
        <v>160.47</v>
      </c>
      <c r="K85" s="316">
        <f t="shared" si="39"/>
        <v>5.624605678</v>
      </c>
      <c r="L85" s="317"/>
      <c r="M85" s="373" t="s">
        <v>112</v>
      </c>
      <c r="N85" s="373" t="s">
        <v>112</v>
      </c>
      <c r="O85" s="319">
        <v>189.0</v>
      </c>
      <c r="P85" s="840"/>
      <c r="Q85" s="840"/>
      <c r="R85" s="840"/>
      <c r="S85" s="840"/>
      <c r="T85" s="840"/>
      <c r="U85" s="840"/>
      <c r="V85" s="840"/>
      <c r="W85" s="840"/>
      <c r="X85" s="840"/>
      <c r="Y85" s="840"/>
      <c r="Z85" s="840"/>
      <c r="AA85" s="840"/>
      <c r="AB85" s="840"/>
      <c r="AC85" s="840"/>
    </row>
    <row r="86" ht="14.25" customHeight="1" outlineLevel="1">
      <c r="A86" s="845">
        <v>84.0</v>
      </c>
      <c r="B86" s="595" t="s">
        <v>808</v>
      </c>
      <c r="C86" s="595"/>
      <c r="D86" s="595"/>
      <c r="E86" s="595"/>
      <c r="F86" s="596">
        <v>50.0</v>
      </c>
      <c r="G86" s="311">
        <v>199.0</v>
      </c>
      <c r="H86" s="345">
        <v>26.44</v>
      </c>
      <c r="I86" s="332">
        <f t="shared" si="37"/>
        <v>0.1328643216</v>
      </c>
      <c r="J86" s="315">
        <f t="shared" si="38"/>
        <v>162.56</v>
      </c>
      <c r="K86" s="316">
        <f t="shared" si="39"/>
        <v>6.148260212</v>
      </c>
      <c r="L86" s="317"/>
      <c r="M86" s="318" t="s">
        <v>112</v>
      </c>
      <c r="N86" s="318" t="s">
        <v>112</v>
      </c>
      <c r="O86" s="319">
        <v>189.0</v>
      </c>
      <c r="P86" s="840"/>
      <c r="Q86" s="840"/>
      <c r="R86" s="840"/>
      <c r="S86" s="840"/>
      <c r="T86" s="840"/>
      <c r="U86" s="840"/>
      <c r="V86" s="840"/>
      <c r="W86" s="840"/>
      <c r="X86" s="840"/>
      <c r="Y86" s="840"/>
      <c r="Z86" s="840"/>
      <c r="AA86" s="840"/>
      <c r="AB86" s="840"/>
      <c r="AC86" s="840"/>
    </row>
    <row r="87" ht="14.25" customHeight="1" outlineLevel="1">
      <c r="A87" s="845">
        <v>85.0</v>
      </c>
      <c r="B87" s="595" t="s">
        <v>804</v>
      </c>
      <c r="C87" s="595"/>
      <c r="D87" s="595"/>
      <c r="E87" s="595"/>
      <c r="F87" s="596">
        <v>50.0</v>
      </c>
      <c r="G87" s="311">
        <v>199.0</v>
      </c>
      <c r="H87" s="345">
        <v>31.24</v>
      </c>
      <c r="I87" s="332">
        <f t="shared" si="37"/>
        <v>0.1569849246</v>
      </c>
      <c r="J87" s="315">
        <f t="shared" si="38"/>
        <v>157.76</v>
      </c>
      <c r="K87" s="316">
        <f t="shared" si="39"/>
        <v>5.04993598</v>
      </c>
      <c r="L87" s="317"/>
      <c r="M87" s="318" t="s">
        <v>112</v>
      </c>
      <c r="N87" s="318" t="s">
        <v>112</v>
      </c>
      <c r="O87" s="319">
        <v>189.0</v>
      </c>
      <c r="P87" s="840"/>
      <c r="Q87" s="840"/>
      <c r="R87" s="840"/>
      <c r="S87" s="840"/>
      <c r="T87" s="840"/>
      <c r="U87" s="840"/>
      <c r="V87" s="840"/>
      <c r="W87" s="840"/>
      <c r="X87" s="840"/>
      <c r="Y87" s="840"/>
      <c r="Z87" s="840"/>
      <c r="AA87" s="840"/>
      <c r="AB87" s="840"/>
      <c r="AC87" s="840"/>
    </row>
    <row r="88" ht="14.25" customHeight="1" outlineLevel="1">
      <c r="A88" s="845">
        <v>86.0</v>
      </c>
      <c r="B88" s="595" t="s">
        <v>805</v>
      </c>
      <c r="C88" s="595"/>
      <c r="D88" s="595"/>
      <c r="E88" s="595"/>
      <c r="F88" s="596">
        <v>50.0</v>
      </c>
      <c r="G88" s="311">
        <v>199.0</v>
      </c>
      <c r="H88" s="345">
        <v>31.46</v>
      </c>
      <c r="I88" s="332">
        <f t="shared" si="37"/>
        <v>0.1580904523</v>
      </c>
      <c r="J88" s="315">
        <f t="shared" si="38"/>
        <v>157.54</v>
      </c>
      <c r="K88" s="316">
        <f t="shared" si="39"/>
        <v>5.007628735</v>
      </c>
      <c r="L88" s="317"/>
      <c r="M88" s="318" t="s">
        <v>112</v>
      </c>
      <c r="N88" s="318" t="s">
        <v>112</v>
      </c>
      <c r="O88" s="319">
        <v>189.0</v>
      </c>
      <c r="P88" s="840"/>
      <c r="Q88" s="840"/>
      <c r="R88" s="840"/>
      <c r="S88" s="840"/>
      <c r="T88" s="840"/>
      <c r="U88" s="840"/>
      <c r="V88" s="840"/>
      <c r="W88" s="840"/>
      <c r="X88" s="840"/>
      <c r="Y88" s="840"/>
      <c r="Z88" s="840"/>
      <c r="AA88" s="840"/>
      <c r="AB88" s="840"/>
      <c r="AC88" s="840"/>
    </row>
    <row r="89" ht="14.25" customHeight="1" outlineLevel="1">
      <c r="A89" s="845">
        <v>87.0</v>
      </c>
      <c r="B89" s="817" t="s">
        <v>806</v>
      </c>
      <c r="C89" s="595"/>
      <c r="D89" s="595"/>
      <c r="E89" s="595"/>
      <c r="F89" s="596">
        <v>50.0</v>
      </c>
      <c r="G89" s="311">
        <v>199.0</v>
      </c>
      <c r="H89" s="345">
        <v>26.3</v>
      </c>
      <c r="I89" s="332">
        <f t="shared" si="37"/>
        <v>0.132160804</v>
      </c>
      <c r="J89" s="315">
        <f t="shared" si="38"/>
        <v>162.7</v>
      </c>
      <c r="K89" s="316">
        <f t="shared" si="39"/>
        <v>6.186311787</v>
      </c>
      <c r="L89" s="317"/>
      <c r="M89" s="318" t="s">
        <v>112</v>
      </c>
      <c r="N89" s="318" t="s">
        <v>112</v>
      </c>
      <c r="O89" s="319">
        <v>189.0</v>
      </c>
      <c r="P89" s="840"/>
      <c r="Q89" s="840"/>
      <c r="R89" s="840"/>
      <c r="S89" s="840"/>
      <c r="T89" s="840"/>
      <c r="U89" s="840"/>
      <c r="V89" s="840"/>
      <c r="W89" s="840"/>
      <c r="X89" s="840"/>
      <c r="Y89" s="840"/>
      <c r="Z89" s="840"/>
      <c r="AA89" s="840"/>
      <c r="AB89" s="840"/>
      <c r="AC89" s="840"/>
    </row>
    <row r="90" ht="14.25" customHeight="1" outlineLevel="1">
      <c r="A90" s="285">
        <v>88.0</v>
      </c>
      <c r="B90" s="817" t="s">
        <v>1651</v>
      </c>
      <c r="C90" s="595"/>
      <c r="D90" s="595"/>
      <c r="E90" s="595"/>
      <c r="F90" s="596">
        <v>50.0</v>
      </c>
      <c r="G90" s="311">
        <v>199.0</v>
      </c>
      <c r="H90" s="345">
        <v>29.56</v>
      </c>
      <c r="I90" s="332">
        <f t="shared" si="37"/>
        <v>0.1485427136</v>
      </c>
      <c r="J90" s="315">
        <f t="shared" si="38"/>
        <v>159.44</v>
      </c>
      <c r="K90" s="316">
        <f t="shared" si="39"/>
        <v>5.393775372</v>
      </c>
      <c r="L90" s="317"/>
      <c r="M90" s="318" t="s">
        <v>112</v>
      </c>
      <c r="N90" s="318" t="s">
        <v>112</v>
      </c>
      <c r="O90" s="319">
        <v>189.0</v>
      </c>
      <c r="P90" s="840"/>
      <c r="Q90" s="840"/>
      <c r="R90" s="840"/>
      <c r="S90" s="840"/>
      <c r="T90" s="840"/>
      <c r="U90" s="840"/>
      <c r="V90" s="840"/>
      <c r="W90" s="840"/>
      <c r="X90" s="840"/>
      <c r="Y90" s="840"/>
      <c r="Z90" s="840"/>
      <c r="AA90" s="840"/>
      <c r="AB90" s="840"/>
      <c r="AC90" s="840"/>
    </row>
    <row r="91" ht="14.25" customHeight="1">
      <c r="A91" s="803">
        <v>89.0</v>
      </c>
      <c r="B91" s="818" t="s">
        <v>843</v>
      </c>
      <c r="C91" s="290" t="s">
        <v>1411</v>
      </c>
      <c r="D91" s="290"/>
      <c r="E91" s="290"/>
      <c r="F91" s="293"/>
      <c r="G91" s="298"/>
      <c r="H91" s="843"/>
      <c r="I91" s="297">
        <f>AVERAGE(I92:I94)</f>
        <v>0.1908638406</v>
      </c>
      <c r="J91" s="298"/>
      <c r="K91" s="297"/>
      <c r="L91" s="299"/>
      <c r="M91" s="297"/>
      <c r="N91" s="297"/>
      <c r="O91" s="844"/>
      <c r="P91" s="840"/>
      <c r="Q91" s="840"/>
      <c r="R91" s="840"/>
      <c r="S91" s="840"/>
      <c r="T91" s="840"/>
      <c r="U91" s="840"/>
      <c r="V91" s="840"/>
      <c r="W91" s="840"/>
      <c r="X91" s="840"/>
      <c r="Y91" s="840"/>
      <c r="Z91" s="840"/>
      <c r="AA91" s="840"/>
      <c r="AB91" s="840"/>
      <c r="AC91" s="840"/>
    </row>
    <row r="92" ht="14.25" customHeight="1" outlineLevel="1">
      <c r="A92" s="285">
        <v>90.0</v>
      </c>
      <c r="B92" s="595" t="s">
        <v>845</v>
      </c>
      <c r="C92" s="416"/>
      <c r="D92" s="416"/>
      <c r="E92" s="416"/>
      <c r="F92" s="596">
        <v>50.0</v>
      </c>
      <c r="G92" s="311">
        <v>179.0</v>
      </c>
      <c r="H92" s="345">
        <v>30.0</v>
      </c>
      <c r="I92" s="332">
        <f t="shared" ref="I92:I96" si="40">H92/G92</f>
        <v>0.1675977654</v>
      </c>
      <c r="J92" s="319">
        <f t="shared" ref="J92:J96" si="41">O92-H92</f>
        <v>129</v>
      </c>
      <c r="K92" s="332">
        <f t="shared" ref="K92:K96" si="42">O92/H92-1</f>
        <v>4.3</v>
      </c>
      <c r="L92" s="442"/>
      <c r="M92" s="318" t="s">
        <v>112</v>
      </c>
      <c r="N92" s="318" t="s">
        <v>112</v>
      </c>
      <c r="O92" s="319">
        <v>159.0</v>
      </c>
      <c r="P92" s="491"/>
      <c r="Q92" s="491"/>
      <c r="R92" s="491"/>
      <c r="S92" s="491"/>
      <c r="T92" s="491"/>
      <c r="U92" s="491"/>
      <c r="V92" s="491"/>
      <c r="W92" s="491"/>
      <c r="X92" s="491"/>
      <c r="Y92" s="491"/>
      <c r="Z92" s="491"/>
      <c r="AA92" s="491"/>
      <c r="AB92" s="285"/>
      <c r="AC92" s="285"/>
    </row>
    <row r="93" ht="14.25" customHeight="1" outlineLevel="1">
      <c r="A93" s="285">
        <v>91.0</v>
      </c>
      <c r="B93" s="817" t="s">
        <v>1412</v>
      </c>
      <c r="C93" s="416"/>
      <c r="D93" s="416"/>
      <c r="E93" s="416"/>
      <c r="F93" s="596">
        <v>50.0</v>
      </c>
      <c r="G93" s="311">
        <v>269.0</v>
      </c>
      <c r="H93" s="345">
        <v>53.44</v>
      </c>
      <c r="I93" s="332">
        <f t="shared" si="40"/>
        <v>0.19866171</v>
      </c>
      <c r="J93" s="319">
        <f t="shared" si="41"/>
        <v>185.56</v>
      </c>
      <c r="K93" s="332">
        <f t="shared" si="42"/>
        <v>3.472305389</v>
      </c>
      <c r="L93" s="442"/>
      <c r="M93" s="318" t="s">
        <v>112</v>
      </c>
      <c r="N93" s="318" t="s">
        <v>112</v>
      </c>
      <c r="O93" s="319">
        <v>239.0</v>
      </c>
      <c r="P93" s="491"/>
      <c r="Q93" s="491"/>
      <c r="R93" s="491"/>
      <c r="S93" s="491"/>
      <c r="T93" s="491"/>
      <c r="U93" s="491"/>
      <c r="V93" s="491"/>
      <c r="W93" s="491"/>
      <c r="X93" s="491"/>
      <c r="Y93" s="491"/>
      <c r="Z93" s="491"/>
      <c r="AA93" s="491"/>
      <c r="AB93" s="605"/>
      <c r="AC93" s="605"/>
    </row>
    <row r="94" ht="14.25" customHeight="1" outlineLevel="1">
      <c r="A94" s="285">
        <v>92.0</v>
      </c>
      <c r="B94" s="817" t="s">
        <v>1413</v>
      </c>
      <c r="C94" s="416"/>
      <c r="D94" s="416"/>
      <c r="E94" s="416"/>
      <c r="F94" s="596">
        <v>50.0</v>
      </c>
      <c r="G94" s="311">
        <v>259.0</v>
      </c>
      <c r="H94" s="345">
        <v>53.44</v>
      </c>
      <c r="I94" s="332">
        <f t="shared" si="40"/>
        <v>0.2063320463</v>
      </c>
      <c r="J94" s="300">
        <f t="shared" si="41"/>
        <v>175.56</v>
      </c>
      <c r="K94" s="332">
        <f t="shared" si="42"/>
        <v>3.285179641</v>
      </c>
      <c r="L94" s="442"/>
      <c r="M94" s="318" t="s">
        <v>112</v>
      </c>
      <c r="N94" s="318" t="s">
        <v>112</v>
      </c>
      <c r="O94" s="319">
        <v>229.0</v>
      </c>
      <c r="P94" s="491"/>
      <c r="Q94" s="491"/>
      <c r="R94" s="491"/>
      <c r="S94" s="491"/>
      <c r="T94" s="491"/>
      <c r="U94" s="491"/>
      <c r="V94" s="491"/>
      <c r="W94" s="491"/>
      <c r="X94" s="491"/>
      <c r="Y94" s="491"/>
      <c r="Z94" s="491"/>
      <c r="AA94" s="491"/>
      <c r="AB94" s="605"/>
      <c r="AC94" s="605"/>
    </row>
    <row r="95" ht="14.25" customHeight="1" outlineLevel="1">
      <c r="A95" s="285">
        <v>93.0</v>
      </c>
      <c r="B95" s="817" t="s">
        <v>1414</v>
      </c>
      <c r="C95" s="416"/>
      <c r="D95" s="416"/>
      <c r="E95" s="416"/>
      <c r="F95" s="596">
        <v>50.0</v>
      </c>
      <c r="G95" s="311">
        <v>269.0</v>
      </c>
      <c r="H95" s="345">
        <v>45.0</v>
      </c>
      <c r="I95" s="332">
        <f t="shared" si="40"/>
        <v>0.1672862454</v>
      </c>
      <c r="J95" s="300">
        <f t="shared" si="41"/>
        <v>-45</v>
      </c>
      <c r="K95" s="332">
        <f t="shared" si="42"/>
        <v>-1</v>
      </c>
      <c r="L95" s="442"/>
      <c r="M95" s="491"/>
      <c r="N95" s="491"/>
      <c r="O95" s="577"/>
      <c r="P95" s="491"/>
      <c r="Q95" s="491"/>
      <c r="R95" s="491"/>
      <c r="S95" s="491"/>
      <c r="T95" s="491"/>
      <c r="U95" s="491"/>
      <c r="V95" s="491"/>
      <c r="W95" s="491"/>
      <c r="X95" s="491"/>
      <c r="Y95" s="491"/>
      <c r="Z95" s="491"/>
      <c r="AA95" s="491"/>
      <c r="AB95" s="605"/>
      <c r="AC95" s="605"/>
    </row>
    <row r="96" ht="14.25" customHeight="1" outlineLevel="1">
      <c r="A96" s="285">
        <v>94.0</v>
      </c>
      <c r="B96" s="817" t="s">
        <v>1415</v>
      </c>
      <c r="C96" s="416"/>
      <c r="D96" s="416"/>
      <c r="E96" s="416"/>
      <c r="F96" s="596">
        <v>50.0</v>
      </c>
      <c r="G96" s="311">
        <v>269.0</v>
      </c>
      <c r="H96" s="345">
        <v>45.0</v>
      </c>
      <c r="I96" s="332">
        <f t="shared" si="40"/>
        <v>0.1672862454</v>
      </c>
      <c r="J96" s="300">
        <f t="shared" si="41"/>
        <v>-45</v>
      </c>
      <c r="K96" s="332">
        <f t="shared" si="42"/>
        <v>-1</v>
      </c>
      <c r="L96" s="442"/>
      <c r="M96" s="491"/>
      <c r="N96" s="491"/>
      <c r="O96" s="577"/>
      <c r="P96" s="491"/>
      <c r="Q96" s="491"/>
      <c r="R96" s="491"/>
      <c r="S96" s="491"/>
      <c r="T96" s="491"/>
      <c r="U96" s="491"/>
      <c r="V96" s="491"/>
      <c r="W96" s="491"/>
      <c r="X96" s="491"/>
      <c r="Y96" s="491"/>
      <c r="Z96" s="491"/>
      <c r="AA96" s="491"/>
      <c r="AB96" s="605"/>
      <c r="AC96" s="605"/>
    </row>
    <row r="97" ht="14.25" customHeight="1">
      <c r="A97" s="803">
        <v>95.0</v>
      </c>
      <c r="B97" s="819" t="s">
        <v>1416</v>
      </c>
      <c r="C97" s="290"/>
      <c r="D97" s="290"/>
      <c r="E97" s="290"/>
      <c r="F97" s="293"/>
      <c r="G97" s="298"/>
      <c r="H97" s="843"/>
      <c r="I97" s="297">
        <f>AVERAGE(I98)</f>
        <v>0.2763439065</v>
      </c>
      <c r="J97" s="298"/>
      <c r="K97" s="297"/>
      <c r="L97" s="299"/>
      <c r="M97" s="297"/>
      <c r="N97" s="297"/>
      <c r="O97" s="844"/>
      <c r="P97" s="840"/>
      <c r="Q97" s="840"/>
      <c r="R97" s="840"/>
      <c r="S97" s="840"/>
      <c r="T97" s="840"/>
      <c r="U97" s="840"/>
      <c r="V97" s="840"/>
      <c r="W97" s="840"/>
      <c r="X97" s="840"/>
      <c r="Y97" s="840"/>
      <c r="Z97" s="840"/>
      <c r="AA97" s="840"/>
      <c r="AB97" s="840"/>
      <c r="AC97" s="840"/>
    </row>
    <row r="98" ht="14.25" customHeight="1" outlineLevel="1">
      <c r="A98" s="285">
        <v>96.0</v>
      </c>
      <c r="B98" s="820" t="s">
        <v>1417</v>
      </c>
      <c r="C98" s="595"/>
      <c r="D98" s="595"/>
      <c r="E98" s="595"/>
      <c r="F98" s="596">
        <v>50.0</v>
      </c>
      <c r="G98" s="311">
        <v>599.0</v>
      </c>
      <c r="H98" s="345">
        <v>165.53</v>
      </c>
      <c r="I98" s="332">
        <f>H98/G98</f>
        <v>0.2763439065</v>
      </c>
      <c r="J98" s="319">
        <f>O98-H98</f>
        <v>383.47</v>
      </c>
      <c r="K98" s="332">
        <f>O98/H98-1</f>
        <v>2.316619344</v>
      </c>
      <c r="L98" s="331"/>
      <c r="M98" s="285" t="s">
        <v>112</v>
      </c>
      <c r="N98" s="285" t="s">
        <v>112</v>
      </c>
      <c r="O98" s="319">
        <v>549.0</v>
      </c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85"/>
      <c r="AB98" s="285"/>
      <c r="AC98" s="285"/>
    </row>
    <row r="99" ht="14.25" customHeight="1">
      <c r="A99" s="803">
        <v>97.0</v>
      </c>
      <c r="B99" s="594" t="s">
        <v>1418</v>
      </c>
      <c r="C99" s="290" t="s">
        <v>1419</v>
      </c>
      <c r="D99" s="290"/>
      <c r="E99" s="290"/>
      <c r="F99" s="293"/>
      <c r="G99" s="298"/>
      <c r="H99" s="843"/>
      <c r="I99" s="297">
        <f>AVERAGE(I100:I104)</f>
        <v>0.237954341</v>
      </c>
      <c r="J99" s="298"/>
      <c r="K99" s="297"/>
      <c r="L99" s="299"/>
      <c r="M99" s="290"/>
      <c r="N99" s="290"/>
      <c r="O99" s="844"/>
      <c r="P99" s="840"/>
      <c r="Q99" s="840"/>
      <c r="R99" s="840"/>
      <c r="S99" s="840"/>
      <c r="T99" s="840"/>
      <c r="U99" s="840"/>
      <c r="V99" s="840"/>
      <c r="W99" s="840"/>
      <c r="X99" s="840"/>
      <c r="Y99" s="840"/>
      <c r="Z99" s="840"/>
      <c r="AA99" s="840"/>
      <c r="AB99" s="840"/>
      <c r="AC99" s="840"/>
    </row>
    <row r="100" ht="14.25" customHeight="1" outlineLevel="1">
      <c r="A100" s="285">
        <v>98.0</v>
      </c>
      <c r="B100" s="595" t="s">
        <v>1420</v>
      </c>
      <c r="C100" s="416"/>
      <c r="D100" s="416"/>
      <c r="E100" s="416"/>
      <c r="F100" s="602">
        <v>50.0</v>
      </c>
      <c r="G100" s="301">
        <v>649.0</v>
      </c>
      <c r="H100" s="603">
        <v>182.85</v>
      </c>
      <c r="I100" s="332">
        <f t="shared" ref="I100:I101" si="43">H100/G100</f>
        <v>0.2817411402</v>
      </c>
      <c r="J100" s="319">
        <f t="shared" ref="J100:J101" si="44">O100-H100</f>
        <v>-182.85</v>
      </c>
      <c r="K100" s="332">
        <f t="shared" ref="K100:K101" si="45">O100/H100-1</f>
        <v>-1</v>
      </c>
      <c r="L100" s="442"/>
      <c r="M100" s="454"/>
      <c r="N100" s="454"/>
      <c r="O100" s="577"/>
      <c r="P100" s="457"/>
      <c r="Q100" s="457"/>
      <c r="R100" s="457"/>
      <c r="S100" s="457"/>
      <c r="T100" s="457"/>
      <c r="U100" s="457"/>
      <c r="V100" s="457"/>
      <c r="W100" s="457"/>
      <c r="X100" s="457"/>
      <c r="Y100" s="457"/>
      <c r="Z100" s="457"/>
      <c r="AA100" s="457"/>
      <c r="AB100" s="840"/>
      <c r="AC100" s="840"/>
    </row>
    <row r="101" ht="14.25" customHeight="1" outlineLevel="1">
      <c r="A101" s="285">
        <v>99.0</v>
      </c>
      <c r="B101" s="595" t="s">
        <v>851</v>
      </c>
      <c r="C101" s="416"/>
      <c r="D101" s="416"/>
      <c r="E101" s="416"/>
      <c r="F101" s="602">
        <v>50.0</v>
      </c>
      <c r="G101" s="301">
        <v>649.0</v>
      </c>
      <c r="H101" s="603">
        <v>188.37</v>
      </c>
      <c r="I101" s="332">
        <f t="shared" si="43"/>
        <v>0.2902465331</v>
      </c>
      <c r="J101" s="300">
        <f t="shared" si="44"/>
        <v>330.63</v>
      </c>
      <c r="K101" s="413">
        <f t="shared" si="45"/>
        <v>1.755215799</v>
      </c>
      <c r="L101" s="442"/>
      <c r="M101" s="318" t="s">
        <v>112</v>
      </c>
      <c r="N101" s="318" t="s">
        <v>112</v>
      </c>
      <c r="O101" s="300">
        <v>519.0</v>
      </c>
      <c r="P101" s="457"/>
      <c r="Q101" s="457"/>
      <c r="R101" s="457"/>
      <c r="S101" s="457"/>
      <c r="T101" s="457"/>
      <c r="U101" s="457"/>
      <c r="V101" s="457"/>
      <c r="W101" s="457"/>
      <c r="X101" s="457"/>
      <c r="Y101" s="457"/>
      <c r="Z101" s="457"/>
      <c r="AA101" s="457"/>
      <c r="AB101" s="840"/>
      <c r="AC101" s="840"/>
    </row>
    <row r="102" ht="14.25" customHeight="1">
      <c r="A102" s="803">
        <v>100.0</v>
      </c>
      <c r="B102" s="594" t="s">
        <v>1421</v>
      </c>
      <c r="C102" s="290" t="s">
        <v>1422</v>
      </c>
      <c r="D102" s="290"/>
      <c r="E102" s="290"/>
      <c r="F102" s="293"/>
      <c r="G102" s="298"/>
      <c r="H102" s="843"/>
      <c r="I102" s="297">
        <f>AVERAGE(I103:I106)</f>
        <v>0.2084389045</v>
      </c>
      <c r="J102" s="298"/>
      <c r="K102" s="297"/>
      <c r="L102" s="299"/>
      <c r="M102" s="290"/>
      <c r="N102" s="290"/>
      <c r="O102" s="844"/>
      <c r="P102" s="840"/>
      <c r="Q102" s="840"/>
      <c r="R102" s="840"/>
      <c r="S102" s="840"/>
      <c r="T102" s="840"/>
      <c r="U102" s="840"/>
      <c r="V102" s="840"/>
      <c r="W102" s="840"/>
      <c r="X102" s="840"/>
      <c r="Y102" s="840"/>
      <c r="Z102" s="840"/>
      <c r="AA102" s="840"/>
      <c r="AB102" s="840"/>
      <c r="AC102" s="840"/>
    </row>
    <row r="103" ht="14.25" customHeight="1" outlineLevel="1">
      <c r="A103" s="285">
        <v>101.0</v>
      </c>
      <c r="B103" s="595" t="s">
        <v>855</v>
      </c>
      <c r="C103" s="416"/>
      <c r="D103" s="416"/>
      <c r="E103" s="416"/>
      <c r="F103" s="596">
        <v>50.0</v>
      </c>
      <c r="G103" s="311">
        <v>369.0</v>
      </c>
      <c r="H103" s="345">
        <v>71.06</v>
      </c>
      <c r="I103" s="862">
        <f t="shared" ref="I103:I106" si="46">H103/G103</f>
        <v>0.1925745257</v>
      </c>
      <c r="J103" s="319">
        <f t="shared" ref="J103:J106" si="47">O103-H103</f>
        <v>257.94</v>
      </c>
      <c r="K103" s="332">
        <f t="shared" ref="K103:K106" si="48">O103/H103-1</f>
        <v>3.629890234</v>
      </c>
      <c r="L103" s="442"/>
      <c r="M103" s="318" t="s">
        <v>112</v>
      </c>
      <c r="N103" s="318" t="s">
        <v>112</v>
      </c>
      <c r="O103" s="319">
        <v>329.0</v>
      </c>
      <c r="P103" s="491"/>
      <c r="Q103" s="491"/>
      <c r="R103" s="491"/>
      <c r="S103" s="491"/>
      <c r="T103" s="491"/>
      <c r="U103" s="491"/>
      <c r="V103" s="491"/>
      <c r="W103" s="491"/>
      <c r="X103" s="491"/>
      <c r="Y103" s="491"/>
      <c r="Z103" s="491"/>
      <c r="AA103" s="491"/>
      <c r="AB103" s="605"/>
      <c r="AC103" s="605"/>
    </row>
    <row r="104" ht="14.25" customHeight="1" outlineLevel="1">
      <c r="A104" s="285">
        <v>102.0</v>
      </c>
      <c r="B104" s="595" t="s">
        <v>856</v>
      </c>
      <c r="C104" s="416"/>
      <c r="D104" s="416"/>
      <c r="E104" s="416"/>
      <c r="F104" s="596">
        <v>50.0</v>
      </c>
      <c r="G104" s="311">
        <v>449.0</v>
      </c>
      <c r="H104" s="345">
        <v>97.33</v>
      </c>
      <c r="I104" s="496">
        <f t="shared" si="46"/>
        <v>0.2167706013</v>
      </c>
      <c r="J104" s="319">
        <f t="shared" si="47"/>
        <v>331.67</v>
      </c>
      <c r="K104" s="332">
        <f t="shared" si="48"/>
        <v>3.407685195</v>
      </c>
      <c r="L104" s="442"/>
      <c r="M104" s="318" t="s">
        <v>112</v>
      </c>
      <c r="N104" s="318" t="s">
        <v>112</v>
      </c>
      <c r="O104" s="319">
        <v>429.0</v>
      </c>
      <c r="P104" s="491"/>
      <c r="Q104" s="491"/>
      <c r="R104" s="491"/>
      <c r="S104" s="491"/>
      <c r="T104" s="491"/>
      <c r="U104" s="491"/>
      <c r="V104" s="491"/>
      <c r="W104" s="491"/>
      <c r="X104" s="491"/>
      <c r="Y104" s="491"/>
      <c r="Z104" s="491"/>
      <c r="AA104" s="491"/>
      <c r="AB104" s="605"/>
      <c r="AC104" s="605"/>
    </row>
    <row r="105" ht="14.25" customHeight="1" outlineLevel="1">
      <c r="A105" s="285">
        <v>103.0</v>
      </c>
      <c r="B105" s="595" t="s">
        <v>857</v>
      </c>
      <c r="C105" s="416"/>
      <c r="D105" s="416"/>
      <c r="E105" s="416"/>
      <c r="F105" s="596">
        <v>50.0</v>
      </c>
      <c r="G105" s="311">
        <v>539.0</v>
      </c>
      <c r="H105" s="345">
        <v>120.59</v>
      </c>
      <c r="I105" s="872">
        <f t="shared" si="46"/>
        <v>0.223729128</v>
      </c>
      <c r="J105" s="319">
        <f t="shared" si="47"/>
        <v>328.41</v>
      </c>
      <c r="K105" s="332">
        <f t="shared" si="48"/>
        <v>2.723360146</v>
      </c>
      <c r="L105" s="442"/>
      <c r="M105" s="373" t="s">
        <v>112</v>
      </c>
      <c r="N105" s="373" t="s">
        <v>112</v>
      </c>
      <c r="O105" s="319">
        <v>449.0</v>
      </c>
      <c r="P105" s="491"/>
      <c r="Q105" s="491"/>
      <c r="R105" s="491"/>
      <c r="S105" s="491"/>
      <c r="T105" s="491"/>
      <c r="U105" s="491"/>
      <c r="V105" s="491"/>
      <c r="W105" s="491"/>
      <c r="X105" s="491"/>
      <c r="Y105" s="491"/>
      <c r="Z105" s="491"/>
      <c r="AA105" s="491"/>
      <c r="AB105" s="605"/>
      <c r="AC105" s="605"/>
    </row>
    <row r="106" ht="14.25" customHeight="1" outlineLevel="1">
      <c r="A106" s="845">
        <v>104.0</v>
      </c>
      <c r="B106" s="595" t="s">
        <v>858</v>
      </c>
      <c r="C106" s="416"/>
      <c r="D106" s="416"/>
      <c r="E106" s="416"/>
      <c r="F106" s="596">
        <v>50.0</v>
      </c>
      <c r="G106" s="301">
        <v>499.0</v>
      </c>
      <c r="H106" s="345">
        <v>100.14</v>
      </c>
      <c r="I106" s="524">
        <f t="shared" si="46"/>
        <v>0.2006813627</v>
      </c>
      <c r="J106" s="315">
        <f t="shared" si="47"/>
        <v>328.86</v>
      </c>
      <c r="K106" s="316">
        <f t="shared" si="48"/>
        <v>3.284002397</v>
      </c>
      <c r="L106" s="452"/>
      <c r="M106" s="373" t="s">
        <v>112</v>
      </c>
      <c r="N106" s="373" t="s">
        <v>112</v>
      </c>
      <c r="O106" s="300">
        <v>429.0</v>
      </c>
      <c r="P106" s="457"/>
      <c r="Q106" s="457"/>
      <c r="R106" s="457"/>
      <c r="S106" s="457"/>
      <c r="T106" s="457"/>
      <c r="U106" s="457"/>
      <c r="V106" s="457"/>
      <c r="W106" s="457"/>
      <c r="X106" s="457"/>
      <c r="Y106" s="457"/>
      <c r="Z106" s="457"/>
      <c r="AA106" s="457"/>
      <c r="AB106" s="605"/>
      <c r="AC106" s="605"/>
    </row>
    <row r="107" ht="14.25" customHeight="1">
      <c r="A107" s="803">
        <v>105.0</v>
      </c>
      <c r="B107" s="594" t="s">
        <v>1423</v>
      </c>
      <c r="C107" s="290" t="s">
        <v>1424</v>
      </c>
      <c r="D107" s="290"/>
      <c r="E107" s="290"/>
      <c r="F107" s="293"/>
      <c r="G107" s="301"/>
      <c r="H107" s="843"/>
      <c r="I107" s="297">
        <f>AVERAGE(I108:I109)</f>
        <v>0.2197355102</v>
      </c>
      <c r="J107" s="298"/>
      <c r="K107" s="297"/>
      <c r="L107" s="299"/>
      <c r="M107" s="297"/>
      <c r="N107" s="297"/>
      <c r="O107" s="298"/>
      <c r="P107" s="840"/>
      <c r="Q107" s="840"/>
      <c r="R107" s="840"/>
      <c r="S107" s="840"/>
      <c r="T107" s="840"/>
      <c r="U107" s="840"/>
      <c r="V107" s="840"/>
      <c r="W107" s="840"/>
      <c r="X107" s="840"/>
      <c r="Y107" s="840"/>
      <c r="Z107" s="840"/>
      <c r="AA107" s="840"/>
      <c r="AB107" s="605"/>
      <c r="AC107" s="605"/>
    </row>
    <row r="108" ht="14.25" customHeight="1" outlineLevel="1">
      <c r="A108" s="285">
        <v>106.0</v>
      </c>
      <c r="B108" s="595" t="s">
        <v>1425</v>
      </c>
      <c r="C108" s="595"/>
      <c r="D108" s="595"/>
      <c r="E108" s="595"/>
      <c r="F108" s="602">
        <v>50.0</v>
      </c>
      <c r="G108" s="301">
        <v>1249.0</v>
      </c>
      <c r="H108" s="603">
        <v>301.85</v>
      </c>
      <c r="I108" s="332">
        <f t="shared" ref="I108:I109" si="49">H108/G108</f>
        <v>0.2416733387</v>
      </c>
      <c r="J108" s="300">
        <f t="shared" ref="J108:J109" si="50">O108-H108</f>
        <v>-301.85</v>
      </c>
      <c r="K108" s="413">
        <f t="shared" ref="K108:K109" si="51">O108/H108-1</f>
        <v>-1</v>
      </c>
      <c r="L108" s="331"/>
      <c r="M108" s="373"/>
      <c r="N108" s="373"/>
      <c r="O108" s="821"/>
      <c r="P108" s="840"/>
      <c r="Q108" s="840"/>
      <c r="R108" s="840"/>
      <c r="S108" s="840"/>
      <c r="T108" s="840"/>
      <c r="U108" s="840"/>
      <c r="V108" s="840"/>
      <c r="W108" s="840"/>
      <c r="X108" s="840"/>
      <c r="Y108" s="840"/>
      <c r="Z108" s="840"/>
      <c r="AA108" s="840"/>
      <c r="AB108" s="605"/>
      <c r="AC108" s="605"/>
    </row>
    <row r="109" ht="14.25" customHeight="1" outlineLevel="1">
      <c r="A109" s="285">
        <v>107.0</v>
      </c>
      <c r="B109" s="595" t="s">
        <v>1426</v>
      </c>
      <c r="C109" s="595"/>
      <c r="D109" s="595"/>
      <c r="E109" s="595"/>
      <c r="F109" s="602">
        <v>50.0</v>
      </c>
      <c r="G109" s="301">
        <v>949.0</v>
      </c>
      <c r="H109" s="603">
        <v>187.71</v>
      </c>
      <c r="I109" s="332">
        <f t="shared" si="49"/>
        <v>0.1977976818</v>
      </c>
      <c r="J109" s="300">
        <f t="shared" si="50"/>
        <v>-187.71</v>
      </c>
      <c r="K109" s="413">
        <f t="shared" si="51"/>
        <v>-1</v>
      </c>
      <c r="L109" s="331"/>
      <c r="M109" s="373"/>
      <c r="N109" s="373"/>
      <c r="O109" s="821"/>
      <c r="P109" s="840"/>
      <c r="Q109" s="840"/>
      <c r="R109" s="840"/>
      <c r="S109" s="840"/>
      <c r="T109" s="840"/>
      <c r="U109" s="840"/>
      <c r="V109" s="840"/>
      <c r="W109" s="840"/>
      <c r="X109" s="840"/>
      <c r="Y109" s="840"/>
      <c r="Z109" s="840"/>
      <c r="AA109" s="840"/>
      <c r="AB109" s="605"/>
      <c r="AC109" s="605"/>
    </row>
    <row r="110" ht="14.25" customHeight="1">
      <c r="A110" s="803">
        <v>108.0</v>
      </c>
      <c r="B110" s="418" t="s">
        <v>1652</v>
      </c>
      <c r="C110" s="290" t="s">
        <v>1653</v>
      </c>
      <c r="D110" s="290"/>
      <c r="E110" s="290"/>
      <c r="F110" s="293"/>
      <c r="G110" s="298"/>
      <c r="H110" s="843"/>
      <c r="I110" s="873"/>
      <c r="J110" s="298"/>
      <c r="K110" s="297"/>
      <c r="L110" s="299"/>
      <c r="M110" s="388"/>
      <c r="N110" s="332"/>
      <c r="O110" s="874"/>
      <c r="P110" s="605"/>
      <c r="Q110" s="605"/>
      <c r="R110" s="605"/>
      <c r="S110" s="605"/>
      <c r="T110" s="605"/>
      <c r="U110" s="605"/>
      <c r="V110" s="605"/>
      <c r="W110" s="605"/>
      <c r="X110" s="605"/>
      <c r="Y110" s="605"/>
      <c r="Z110" s="605"/>
      <c r="AA110" s="605"/>
      <c r="AB110" s="605"/>
      <c r="AC110" s="605"/>
    </row>
    <row r="111" ht="14.25" customHeight="1" outlineLevel="1">
      <c r="A111" s="285">
        <v>109.0</v>
      </c>
      <c r="B111" s="595" t="s">
        <v>865</v>
      </c>
      <c r="C111" s="595"/>
      <c r="D111" s="595"/>
      <c r="E111" s="595"/>
      <c r="F111" s="596">
        <v>50.0</v>
      </c>
      <c r="G111" s="311">
        <v>799.0</v>
      </c>
      <c r="H111" s="345">
        <v>181.07</v>
      </c>
      <c r="I111" s="332">
        <f t="shared" ref="I111:I112" si="52">H111/G111</f>
        <v>0.226620776</v>
      </c>
      <c r="J111" s="319">
        <f t="shared" ref="J111:J112" si="53">O111-H111</f>
        <v>517.93</v>
      </c>
      <c r="K111" s="332">
        <f t="shared" ref="K111:K112" si="54">O111/H111-1</f>
        <v>2.860385486</v>
      </c>
      <c r="L111" s="331"/>
      <c r="M111" s="332" t="s">
        <v>112</v>
      </c>
      <c r="N111" s="332" t="s">
        <v>112</v>
      </c>
      <c r="O111" s="319">
        <v>699.0</v>
      </c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605"/>
      <c r="AB111" s="605"/>
      <c r="AC111" s="605"/>
    </row>
    <row r="112" ht="14.25" customHeight="1" outlineLevel="1">
      <c r="A112" s="285">
        <v>110.0</v>
      </c>
      <c r="B112" s="595" t="s">
        <v>866</v>
      </c>
      <c r="C112" s="595"/>
      <c r="D112" s="595"/>
      <c r="E112" s="595"/>
      <c r="F112" s="596">
        <v>50.0</v>
      </c>
      <c r="G112" s="311">
        <v>899.0</v>
      </c>
      <c r="H112" s="345">
        <v>248.93</v>
      </c>
      <c r="I112" s="332">
        <f t="shared" si="52"/>
        <v>0.2768965517</v>
      </c>
      <c r="J112" s="319">
        <f t="shared" si="53"/>
        <v>550.07</v>
      </c>
      <c r="K112" s="332">
        <f t="shared" si="54"/>
        <v>2.209737677</v>
      </c>
      <c r="L112" s="331"/>
      <c r="M112" s="332" t="s">
        <v>112</v>
      </c>
      <c r="N112" s="332" t="s">
        <v>112</v>
      </c>
      <c r="O112" s="319">
        <v>799.0</v>
      </c>
      <c r="P112" s="605"/>
      <c r="Q112" s="605"/>
      <c r="R112" s="605"/>
      <c r="S112" s="605"/>
      <c r="T112" s="605"/>
      <c r="U112" s="605"/>
      <c r="V112" s="605"/>
      <c r="W112" s="605"/>
      <c r="X112" s="605"/>
      <c r="Y112" s="605"/>
      <c r="Z112" s="605"/>
      <c r="AA112" s="605"/>
      <c r="AB112" s="605"/>
      <c r="AC112" s="605"/>
    </row>
    <row r="113" ht="14.25" customHeight="1">
      <c r="A113" s="803">
        <v>111.0</v>
      </c>
      <c r="B113" s="418" t="s">
        <v>1427</v>
      </c>
      <c r="C113" s="290" t="s">
        <v>1428</v>
      </c>
      <c r="D113" s="290"/>
      <c r="E113" s="290"/>
      <c r="F113" s="293"/>
      <c r="G113" s="298"/>
      <c r="H113" s="843"/>
      <c r="I113" s="297">
        <f>AVERAGE(I114:I115)</f>
        <v>0.2436390521</v>
      </c>
      <c r="J113" s="298"/>
      <c r="K113" s="297"/>
      <c r="L113" s="299"/>
      <c r="M113" s="377"/>
      <c r="N113" s="377"/>
      <c r="O113" s="844"/>
      <c r="P113" s="840"/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  <c r="AA113" s="840"/>
      <c r="AB113" s="840"/>
      <c r="AC113" s="840"/>
    </row>
    <row r="114" ht="14.25" customHeight="1" outlineLevel="1">
      <c r="A114" s="285">
        <v>112.0</v>
      </c>
      <c r="B114" s="595" t="s">
        <v>1429</v>
      </c>
      <c r="C114" s="595"/>
      <c r="D114" s="595"/>
      <c r="E114" s="595"/>
      <c r="F114" s="596">
        <v>50.0</v>
      </c>
      <c r="G114" s="311">
        <v>399.0</v>
      </c>
      <c r="H114" s="345">
        <v>88.13</v>
      </c>
      <c r="I114" s="332">
        <f t="shared" ref="I114:I115" si="55">H114/G114</f>
        <v>0.220877193</v>
      </c>
      <c r="J114" s="300">
        <f t="shared" ref="J114:J115" si="56">O114-H114</f>
        <v>290.87</v>
      </c>
      <c r="K114" s="332">
        <f t="shared" ref="K114:K115" si="57">O114/H114-1</f>
        <v>3.300465222</v>
      </c>
      <c r="L114" s="331"/>
      <c r="M114" s="332" t="s">
        <v>112</v>
      </c>
      <c r="N114" s="332" t="s">
        <v>112</v>
      </c>
      <c r="O114" s="319">
        <v>379.0</v>
      </c>
      <c r="P114" s="605"/>
      <c r="Q114" s="605"/>
      <c r="R114" s="605"/>
      <c r="S114" s="605"/>
      <c r="T114" s="605"/>
      <c r="U114" s="605"/>
      <c r="V114" s="605"/>
      <c r="W114" s="605"/>
      <c r="X114" s="605"/>
      <c r="Y114" s="605"/>
      <c r="Z114" s="605"/>
      <c r="AA114" s="605"/>
      <c r="AB114" s="605"/>
      <c r="AC114" s="605"/>
    </row>
    <row r="115" ht="14.25" customHeight="1" outlineLevel="1">
      <c r="A115" s="285">
        <v>113.0</v>
      </c>
      <c r="B115" s="595" t="s">
        <v>1430</v>
      </c>
      <c r="C115" s="595"/>
      <c r="D115" s="595"/>
      <c r="E115" s="595"/>
      <c r="F115" s="596">
        <v>50.0</v>
      </c>
      <c r="G115" s="311">
        <v>439.0</v>
      </c>
      <c r="H115" s="345">
        <v>116.95</v>
      </c>
      <c r="I115" s="332">
        <f t="shared" si="55"/>
        <v>0.2664009112</v>
      </c>
      <c r="J115" s="300">
        <f t="shared" si="56"/>
        <v>282.05</v>
      </c>
      <c r="K115" s="332">
        <f t="shared" si="57"/>
        <v>2.411714408</v>
      </c>
      <c r="L115" s="331"/>
      <c r="M115" s="332" t="s">
        <v>112</v>
      </c>
      <c r="N115" s="332" t="s">
        <v>112</v>
      </c>
      <c r="O115" s="319">
        <v>399.0</v>
      </c>
      <c r="P115" s="605"/>
      <c r="Q115" s="605"/>
      <c r="R115" s="605"/>
      <c r="S115" s="605"/>
      <c r="T115" s="605"/>
      <c r="U115" s="605"/>
      <c r="V115" s="605"/>
      <c r="W115" s="605"/>
      <c r="X115" s="605"/>
      <c r="Y115" s="605"/>
      <c r="Z115" s="605"/>
      <c r="AA115" s="605"/>
      <c r="AB115" s="605"/>
      <c r="AC115" s="605"/>
    </row>
    <row r="116" ht="14.25" customHeight="1">
      <c r="A116" s="803">
        <v>114.0</v>
      </c>
      <c r="B116" s="594" t="s">
        <v>1431</v>
      </c>
      <c r="C116" s="290"/>
      <c r="D116" s="290"/>
      <c r="E116" s="290"/>
      <c r="F116" s="293"/>
      <c r="G116" s="298"/>
      <c r="H116" s="843"/>
      <c r="I116" s="297">
        <f>AVERAGE(I117:I118)</f>
        <v>0.2154793028</v>
      </c>
      <c r="J116" s="298"/>
      <c r="K116" s="297"/>
      <c r="L116" s="299"/>
      <c r="M116" s="377"/>
      <c r="N116" s="377"/>
      <c r="O116" s="844"/>
      <c r="P116" s="840"/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  <c r="AA116" s="840"/>
      <c r="AB116" s="840"/>
      <c r="AC116" s="840"/>
    </row>
    <row r="117" ht="14.25" customHeight="1" outlineLevel="1">
      <c r="A117" s="285">
        <v>115.0</v>
      </c>
      <c r="B117" s="595" t="s">
        <v>878</v>
      </c>
      <c r="C117" s="595"/>
      <c r="D117" s="595"/>
      <c r="E117" s="595"/>
      <c r="F117" s="596">
        <v>50.0</v>
      </c>
      <c r="G117" s="311">
        <v>459.0</v>
      </c>
      <c r="H117" s="345">
        <v>105.81</v>
      </c>
      <c r="I117" s="332">
        <f t="shared" ref="I117:I119" si="58">H117/G117</f>
        <v>0.2305228758</v>
      </c>
      <c r="J117" s="319">
        <f t="shared" ref="J117:J119" si="59">O117-H117</f>
        <v>273.19</v>
      </c>
      <c r="K117" s="332">
        <f t="shared" ref="K117:K119" si="60">O117/H117-1</f>
        <v>2.581892071</v>
      </c>
      <c r="L117" s="331"/>
      <c r="M117" s="332" t="s">
        <v>112</v>
      </c>
      <c r="N117" s="332" t="s">
        <v>112</v>
      </c>
      <c r="O117" s="319">
        <v>379.0</v>
      </c>
      <c r="P117" s="605"/>
      <c r="Q117" s="605"/>
      <c r="R117" s="605"/>
      <c r="S117" s="605"/>
      <c r="T117" s="605"/>
      <c r="U117" s="605"/>
      <c r="V117" s="605"/>
      <c r="W117" s="605"/>
      <c r="X117" s="605"/>
      <c r="Y117" s="605"/>
      <c r="Z117" s="605"/>
      <c r="AA117" s="605"/>
      <c r="AB117" s="605"/>
      <c r="AC117" s="605"/>
    </row>
    <row r="118" ht="14.25" customHeight="1" outlineLevel="1">
      <c r="A118" s="285">
        <v>116.0</v>
      </c>
      <c r="B118" s="595" t="s">
        <v>1432</v>
      </c>
      <c r="C118" s="595"/>
      <c r="D118" s="595"/>
      <c r="E118" s="595"/>
      <c r="F118" s="596">
        <v>50.0</v>
      </c>
      <c r="G118" s="311">
        <v>459.0</v>
      </c>
      <c r="H118" s="345">
        <v>92.0</v>
      </c>
      <c r="I118" s="332">
        <f t="shared" si="58"/>
        <v>0.2004357298</v>
      </c>
      <c r="J118" s="319">
        <f t="shared" si="59"/>
        <v>287</v>
      </c>
      <c r="K118" s="332">
        <f t="shared" si="60"/>
        <v>3.119565217</v>
      </c>
      <c r="L118" s="331"/>
      <c r="M118" s="332"/>
      <c r="N118" s="332"/>
      <c r="O118" s="580">
        <v>379.0</v>
      </c>
      <c r="P118" s="605"/>
      <c r="Q118" s="605"/>
      <c r="R118" s="605"/>
      <c r="S118" s="605"/>
      <c r="T118" s="605"/>
      <c r="U118" s="605"/>
      <c r="V118" s="605"/>
      <c r="W118" s="605"/>
      <c r="X118" s="605"/>
      <c r="Y118" s="605"/>
      <c r="Z118" s="605"/>
      <c r="AA118" s="605"/>
      <c r="AB118" s="605"/>
      <c r="AC118" s="605"/>
    </row>
    <row r="119" ht="14.25" customHeight="1" outlineLevel="1">
      <c r="A119" s="285">
        <v>117.0</v>
      </c>
      <c r="B119" s="595" t="s">
        <v>879</v>
      </c>
      <c r="C119" s="595"/>
      <c r="D119" s="595"/>
      <c r="E119" s="595"/>
      <c r="F119" s="596">
        <v>50.0</v>
      </c>
      <c r="G119" s="311">
        <v>449.0</v>
      </c>
      <c r="H119" s="345">
        <v>86.49</v>
      </c>
      <c r="I119" s="332">
        <f t="shared" si="58"/>
        <v>0.1926280624</v>
      </c>
      <c r="J119" s="319">
        <f t="shared" si="59"/>
        <v>292.51</v>
      </c>
      <c r="K119" s="332">
        <f t="shared" si="60"/>
        <v>3.382009481</v>
      </c>
      <c r="L119" s="331"/>
      <c r="M119" s="332" t="s">
        <v>112</v>
      </c>
      <c r="N119" s="332" t="s">
        <v>112</v>
      </c>
      <c r="O119" s="319">
        <v>379.0</v>
      </c>
      <c r="P119" s="605"/>
      <c r="Q119" s="605"/>
      <c r="R119" s="605"/>
      <c r="S119" s="605"/>
      <c r="T119" s="605"/>
      <c r="U119" s="605"/>
      <c r="V119" s="605"/>
      <c r="W119" s="605"/>
      <c r="X119" s="605"/>
      <c r="Y119" s="605"/>
      <c r="Z119" s="605"/>
      <c r="AA119" s="605"/>
      <c r="AB119" s="840"/>
      <c r="AC119" s="840"/>
    </row>
    <row r="120" ht="14.25" customHeight="1">
      <c r="A120" s="803">
        <v>118.0</v>
      </c>
      <c r="B120" s="594" t="s">
        <v>964</v>
      </c>
      <c r="C120" s="822" t="s">
        <v>1433</v>
      </c>
      <c r="D120" s="290"/>
      <c r="E120" s="290"/>
      <c r="F120" s="293"/>
      <c r="G120" s="301"/>
      <c r="H120" s="843"/>
      <c r="I120" s="297"/>
      <c r="J120" s="298"/>
      <c r="K120" s="297"/>
      <c r="L120" s="299"/>
      <c r="M120" s="377"/>
      <c r="N120" s="377"/>
      <c r="O120" s="298"/>
      <c r="P120" s="840"/>
      <c r="Q120" s="840"/>
      <c r="R120" s="840"/>
      <c r="S120" s="840"/>
      <c r="T120" s="840"/>
      <c r="U120" s="840"/>
      <c r="V120" s="840"/>
      <c r="W120" s="840"/>
      <c r="X120" s="840"/>
      <c r="Y120" s="840"/>
      <c r="Z120" s="840"/>
      <c r="AA120" s="840"/>
      <c r="AB120" s="840"/>
      <c r="AC120" s="840"/>
    </row>
    <row r="121" ht="14.25" customHeight="1" outlineLevel="1">
      <c r="A121" s="285">
        <v>119.0</v>
      </c>
      <c r="B121" s="595" t="s">
        <v>1434</v>
      </c>
      <c r="C121" s="595"/>
      <c r="D121" s="595" t="s">
        <v>1435</v>
      </c>
      <c r="E121" s="595"/>
      <c r="F121" s="602">
        <v>50.0</v>
      </c>
      <c r="G121" s="301">
        <v>569.0</v>
      </c>
      <c r="H121" s="603">
        <v>127.0</v>
      </c>
      <c r="I121" s="332">
        <f t="shared" ref="I121:I122" si="61">H121/G121</f>
        <v>0.223198594</v>
      </c>
      <c r="J121" s="300">
        <f t="shared" ref="J121:J122" si="62">O121-H121</f>
        <v>442</v>
      </c>
      <c r="K121" s="413">
        <f t="shared" ref="K121:K122" si="63">O121/H121-1</f>
        <v>3.480314961</v>
      </c>
      <c r="L121" s="331"/>
      <c r="M121" s="373"/>
      <c r="N121" s="373"/>
      <c r="O121" s="821">
        <v>569.0</v>
      </c>
      <c r="P121" s="840"/>
      <c r="Q121" s="840"/>
      <c r="R121" s="840"/>
      <c r="S121" s="840"/>
      <c r="T121" s="840"/>
      <c r="U121" s="840"/>
      <c r="V121" s="840"/>
      <c r="W121" s="840"/>
      <c r="X121" s="840"/>
      <c r="Y121" s="840"/>
      <c r="Z121" s="840"/>
      <c r="AA121" s="840"/>
      <c r="AB121" s="840"/>
      <c r="AC121" s="840"/>
    </row>
    <row r="122" ht="14.25" customHeight="1" outlineLevel="1">
      <c r="A122" s="285">
        <v>120.0</v>
      </c>
      <c r="B122" s="875" t="s">
        <v>887</v>
      </c>
      <c r="C122" s="595"/>
      <c r="D122" s="595"/>
      <c r="E122" s="595"/>
      <c r="F122" s="602">
        <v>50.0</v>
      </c>
      <c r="G122" s="301">
        <v>599.0</v>
      </c>
      <c r="H122" s="603">
        <v>132.85</v>
      </c>
      <c r="I122" s="332">
        <f t="shared" si="61"/>
        <v>0.2217863105</v>
      </c>
      <c r="J122" s="300">
        <f t="shared" si="62"/>
        <v>466.15</v>
      </c>
      <c r="K122" s="413">
        <f t="shared" si="63"/>
        <v>3.508844562</v>
      </c>
      <c r="L122" s="331"/>
      <c r="M122" s="373"/>
      <c r="N122" s="373"/>
      <c r="O122" s="821">
        <v>599.0</v>
      </c>
      <c r="P122" s="840"/>
      <c r="Q122" s="840"/>
      <c r="R122" s="840"/>
      <c r="S122" s="840"/>
      <c r="T122" s="840"/>
      <c r="U122" s="840"/>
      <c r="V122" s="840"/>
      <c r="W122" s="840"/>
      <c r="X122" s="840"/>
      <c r="Y122" s="840"/>
      <c r="Z122" s="840"/>
      <c r="AA122" s="840"/>
      <c r="AB122" s="840"/>
      <c r="AC122" s="840"/>
    </row>
    <row r="123" ht="15.75" customHeight="1">
      <c r="A123" s="876">
        <v>121.0</v>
      </c>
      <c r="B123" s="321"/>
      <c r="C123" s="321"/>
      <c r="D123" s="321"/>
      <c r="E123" s="321"/>
      <c r="F123" s="848"/>
      <c r="G123" s="429"/>
      <c r="H123" s="849"/>
      <c r="I123" s="428"/>
      <c r="J123" s="429"/>
      <c r="K123" s="428"/>
      <c r="L123" s="430"/>
      <c r="M123" s="431"/>
      <c r="N123" s="431"/>
      <c r="O123" s="844"/>
      <c r="P123" s="840"/>
      <c r="Q123" s="840"/>
      <c r="R123" s="840"/>
      <c r="S123" s="840"/>
      <c r="T123" s="840"/>
      <c r="U123" s="840"/>
      <c r="V123" s="840"/>
      <c r="W123" s="840"/>
      <c r="X123" s="840"/>
      <c r="Y123" s="840"/>
      <c r="Z123" s="840"/>
      <c r="AA123" s="840"/>
      <c r="AB123" s="840"/>
      <c r="AC123" s="840"/>
    </row>
    <row r="124" ht="15.75" customHeight="1">
      <c r="A124" s="876">
        <v>122.0</v>
      </c>
      <c r="B124" s="321"/>
      <c r="C124" s="321"/>
      <c r="D124" s="321"/>
      <c r="E124" s="321"/>
      <c r="F124" s="848"/>
      <c r="G124" s="429"/>
      <c r="H124" s="849"/>
      <c r="I124" s="428"/>
      <c r="J124" s="429"/>
      <c r="K124" s="428"/>
      <c r="L124" s="430"/>
      <c r="M124" s="431"/>
      <c r="N124" s="431"/>
      <c r="O124" s="844"/>
      <c r="P124" s="840"/>
      <c r="Q124" s="840"/>
      <c r="R124" s="840"/>
      <c r="S124" s="840"/>
      <c r="T124" s="840"/>
      <c r="U124" s="840"/>
      <c r="V124" s="840"/>
      <c r="W124" s="840"/>
      <c r="X124" s="840"/>
      <c r="Y124" s="840"/>
      <c r="Z124" s="840"/>
      <c r="AA124" s="840"/>
      <c r="AB124" s="840"/>
      <c r="AC124" s="840"/>
    </row>
    <row r="125" ht="15.75" customHeight="1">
      <c r="A125" s="876">
        <v>123.0</v>
      </c>
      <c r="B125" s="321"/>
      <c r="C125" s="321"/>
      <c r="D125" s="321"/>
      <c r="E125" s="321"/>
      <c r="F125" s="848"/>
      <c r="G125" s="429"/>
      <c r="H125" s="849"/>
      <c r="I125" s="428"/>
      <c r="J125" s="429"/>
      <c r="K125" s="428"/>
      <c r="L125" s="430"/>
      <c r="M125" s="431"/>
      <c r="N125" s="431"/>
      <c r="O125" s="844"/>
      <c r="P125" s="840"/>
      <c r="Q125" s="840"/>
      <c r="R125" s="840"/>
      <c r="S125" s="840"/>
      <c r="T125" s="840"/>
      <c r="U125" s="840"/>
      <c r="V125" s="840"/>
      <c r="W125" s="840"/>
      <c r="X125" s="840"/>
      <c r="Y125" s="840"/>
      <c r="Z125" s="840"/>
      <c r="AA125" s="840"/>
      <c r="AB125" s="840"/>
      <c r="AC125" s="840"/>
    </row>
    <row r="126" ht="15.75" customHeight="1">
      <c r="A126" s="876">
        <v>124.0</v>
      </c>
      <c r="B126" s="321"/>
      <c r="C126" s="321"/>
      <c r="D126" s="321"/>
      <c r="E126" s="321"/>
      <c r="F126" s="848"/>
      <c r="G126" s="429"/>
      <c r="H126" s="849"/>
      <c r="I126" s="428"/>
      <c r="J126" s="429"/>
      <c r="K126" s="428"/>
      <c r="L126" s="430"/>
      <c r="M126" s="431"/>
      <c r="N126" s="431"/>
      <c r="O126" s="844"/>
      <c r="P126" s="840"/>
      <c r="Q126" s="840"/>
      <c r="R126" s="840"/>
      <c r="S126" s="840"/>
      <c r="T126" s="840"/>
      <c r="U126" s="840"/>
      <c r="V126" s="840"/>
      <c r="W126" s="840"/>
      <c r="X126" s="840"/>
      <c r="Y126" s="840"/>
      <c r="Z126" s="840"/>
      <c r="AA126" s="840"/>
      <c r="AB126" s="840"/>
      <c r="AC126" s="840"/>
    </row>
    <row r="127" ht="15.75" customHeight="1">
      <c r="A127" s="876">
        <v>125.0</v>
      </c>
      <c r="B127" s="321"/>
      <c r="C127" s="321"/>
      <c r="D127" s="321"/>
      <c r="E127" s="321"/>
      <c r="F127" s="848"/>
      <c r="G127" s="429"/>
      <c r="H127" s="849"/>
      <c r="I127" s="428"/>
      <c r="J127" s="429"/>
      <c r="K127" s="428"/>
      <c r="L127" s="430"/>
      <c r="M127" s="431"/>
      <c r="N127" s="431"/>
      <c r="O127" s="844"/>
      <c r="P127" s="840"/>
      <c r="Q127" s="840"/>
      <c r="R127" s="840"/>
      <c r="S127" s="840"/>
      <c r="T127" s="840"/>
      <c r="U127" s="840"/>
      <c r="V127" s="840"/>
      <c r="W127" s="840"/>
      <c r="X127" s="840"/>
      <c r="Y127" s="840"/>
      <c r="Z127" s="840"/>
      <c r="AA127" s="840"/>
      <c r="AB127" s="840"/>
      <c r="AC127" s="840"/>
    </row>
    <row r="128" ht="15.75" customHeight="1">
      <c r="A128" s="876">
        <v>126.0</v>
      </c>
      <c r="B128" s="321"/>
      <c r="C128" s="321"/>
      <c r="D128" s="321"/>
      <c r="E128" s="321"/>
      <c r="F128" s="848"/>
      <c r="G128" s="429"/>
      <c r="H128" s="849"/>
      <c r="I128" s="428"/>
      <c r="J128" s="429"/>
      <c r="K128" s="428"/>
      <c r="L128" s="430"/>
      <c r="M128" s="431"/>
      <c r="N128" s="431"/>
      <c r="O128" s="844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  <c r="AA128" s="840"/>
      <c r="AB128" s="840"/>
      <c r="AC128" s="840"/>
    </row>
    <row r="129" ht="15.75" customHeight="1">
      <c r="A129" s="876">
        <v>127.0</v>
      </c>
      <c r="B129" s="321"/>
      <c r="C129" s="321"/>
      <c r="D129" s="321"/>
      <c r="E129" s="321"/>
      <c r="F129" s="848"/>
      <c r="G129" s="429"/>
      <c r="H129" s="849"/>
      <c r="I129" s="428"/>
      <c r="J129" s="429"/>
      <c r="K129" s="428"/>
      <c r="L129" s="430"/>
      <c r="M129" s="431"/>
      <c r="N129" s="431"/>
      <c r="O129" s="844"/>
      <c r="P129" s="840"/>
      <c r="Q129" s="840"/>
      <c r="R129" s="840"/>
      <c r="S129" s="840"/>
      <c r="T129" s="840"/>
      <c r="U129" s="840"/>
      <c r="V129" s="840"/>
      <c r="W129" s="840"/>
      <c r="X129" s="840"/>
      <c r="Y129" s="840"/>
      <c r="Z129" s="840"/>
      <c r="AA129" s="840"/>
      <c r="AB129" s="840"/>
      <c r="AC129" s="840"/>
    </row>
    <row r="130" ht="15.75" customHeight="1">
      <c r="A130" s="876">
        <v>128.0</v>
      </c>
      <c r="B130" s="321"/>
      <c r="D130" s="321"/>
      <c r="E130" s="321"/>
      <c r="F130" s="848"/>
      <c r="G130" s="429"/>
      <c r="H130" s="849"/>
      <c r="I130" s="428"/>
      <c r="J130" s="429"/>
      <c r="K130" s="428"/>
      <c r="L130" s="430"/>
      <c r="M130" s="431"/>
      <c r="N130" s="431"/>
      <c r="O130" s="844"/>
      <c r="P130" s="840"/>
      <c r="Q130" s="840"/>
      <c r="R130" s="840"/>
      <c r="S130" s="840"/>
      <c r="T130" s="840"/>
      <c r="U130" s="840"/>
      <c r="V130" s="840"/>
      <c r="W130" s="840"/>
      <c r="X130" s="840"/>
      <c r="Y130" s="840"/>
      <c r="Z130" s="840"/>
      <c r="AA130" s="840"/>
      <c r="AB130" s="840"/>
      <c r="AC130" s="840"/>
    </row>
    <row r="131" ht="15.75" customHeight="1">
      <c r="A131" s="876">
        <v>129.0</v>
      </c>
      <c r="B131" s="321"/>
      <c r="C131" s="321"/>
      <c r="D131" s="321"/>
      <c r="E131" s="321"/>
      <c r="F131" s="848"/>
      <c r="G131" s="429"/>
      <c r="H131" s="849"/>
      <c r="I131" s="428"/>
      <c r="J131" s="429"/>
      <c r="K131" s="428"/>
      <c r="L131" s="430"/>
      <c r="M131" s="431"/>
      <c r="N131" s="431"/>
      <c r="O131" s="844"/>
      <c r="P131" s="840"/>
      <c r="Q131" s="840"/>
      <c r="R131" s="840"/>
      <c r="S131" s="840"/>
      <c r="T131" s="840"/>
      <c r="U131" s="840"/>
      <c r="V131" s="840"/>
      <c r="W131" s="840"/>
      <c r="X131" s="840"/>
      <c r="Y131" s="840"/>
      <c r="Z131" s="840"/>
      <c r="AA131" s="840"/>
      <c r="AB131" s="840"/>
      <c r="AC131" s="840"/>
    </row>
    <row r="132" ht="15.75" customHeight="1">
      <c r="A132" s="876">
        <v>130.0</v>
      </c>
      <c r="B132" s="321"/>
      <c r="C132" s="321"/>
      <c r="D132" s="321"/>
      <c r="E132" s="321"/>
      <c r="F132" s="848"/>
      <c r="G132" s="429"/>
      <c r="H132" s="849"/>
      <c r="I132" s="428"/>
      <c r="J132" s="429"/>
      <c r="K132" s="428"/>
      <c r="L132" s="430"/>
      <c r="M132" s="431"/>
      <c r="N132" s="431"/>
      <c r="O132" s="844"/>
      <c r="P132" s="840"/>
      <c r="Q132" s="840"/>
      <c r="R132" s="840"/>
      <c r="S132" s="840"/>
      <c r="T132" s="840"/>
      <c r="U132" s="840"/>
      <c r="V132" s="840"/>
      <c r="W132" s="840"/>
      <c r="X132" s="840"/>
      <c r="Y132" s="840"/>
      <c r="Z132" s="840"/>
      <c r="AA132" s="840"/>
      <c r="AB132" s="840"/>
      <c r="AC132" s="840"/>
    </row>
    <row r="133" ht="15.75" customHeight="1">
      <c r="A133" s="876">
        <v>131.0</v>
      </c>
      <c r="B133" s="321"/>
      <c r="C133" s="321"/>
      <c r="D133" s="321"/>
      <c r="E133" s="321"/>
      <c r="F133" s="848"/>
      <c r="G133" s="429"/>
      <c r="H133" s="849"/>
      <c r="I133" s="428"/>
      <c r="J133" s="429"/>
      <c r="K133" s="428"/>
      <c r="L133" s="430"/>
      <c r="M133" s="431"/>
      <c r="N133" s="431"/>
      <c r="O133" s="844"/>
      <c r="P133" s="840"/>
      <c r="Q133" s="840"/>
      <c r="R133" s="840"/>
      <c r="S133" s="840"/>
      <c r="T133" s="840"/>
      <c r="U133" s="840"/>
      <c r="V133" s="840"/>
      <c r="W133" s="840"/>
      <c r="X133" s="840"/>
      <c r="Y133" s="840"/>
      <c r="Z133" s="840"/>
      <c r="AA133" s="840"/>
      <c r="AB133" s="840"/>
      <c r="AC133" s="840"/>
    </row>
    <row r="134" ht="15.75" customHeight="1">
      <c r="A134" s="876">
        <v>132.0</v>
      </c>
      <c r="B134" s="321"/>
      <c r="C134" s="321"/>
      <c r="D134" s="321"/>
      <c r="E134" s="321"/>
      <c r="F134" s="848"/>
      <c r="G134" s="429"/>
      <c r="H134" s="849"/>
      <c r="I134" s="428"/>
      <c r="J134" s="429"/>
      <c r="K134" s="428"/>
      <c r="L134" s="430"/>
      <c r="M134" s="431"/>
      <c r="N134" s="431"/>
      <c r="O134" s="844"/>
      <c r="P134" s="840"/>
      <c r="Q134" s="840"/>
      <c r="R134" s="840"/>
      <c r="S134" s="840"/>
      <c r="T134" s="840"/>
      <c r="U134" s="840"/>
      <c r="V134" s="840"/>
      <c r="W134" s="840"/>
      <c r="X134" s="840"/>
      <c r="Y134" s="840"/>
      <c r="Z134" s="840"/>
      <c r="AA134" s="840"/>
      <c r="AB134" s="840"/>
      <c r="AC134" s="840"/>
    </row>
    <row r="135" ht="15.75" customHeight="1">
      <c r="A135" s="876">
        <v>133.0</v>
      </c>
      <c r="B135" s="321"/>
      <c r="C135" s="321"/>
      <c r="D135" s="321"/>
      <c r="E135" s="321"/>
      <c r="F135" s="848"/>
      <c r="G135" s="429"/>
      <c r="H135" s="849"/>
      <c r="I135" s="428"/>
      <c r="J135" s="429"/>
      <c r="K135" s="428"/>
      <c r="L135" s="430"/>
      <c r="M135" s="431"/>
      <c r="N135" s="431"/>
      <c r="O135" s="844"/>
      <c r="P135" s="840"/>
      <c r="Q135" s="840"/>
      <c r="R135" s="840"/>
      <c r="S135" s="840"/>
      <c r="T135" s="840"/>
      <c r="U135" s="840"/>
      <c r="V135" s="840"/>
      <c r="W135" s="840"/>
      <c r="X135" s="840"/>
      <c r="Y135" s="840"/>
      <c r="Z135" s="840"/>
      <c r="AA135" s="840"/>
      <c r="AB135" s="840"/>
      <c r="AC135" s="840"/>
    </row>
    <row r="136" ht="15.75" customHeight="1">
      <c r="A136" s="876">
        <v>134.0</v>
      </c>
      <c r="B136" s="321"/>
      <c r="C136" s="321"/>
      <c r="D136" s="321"/>
      <c r="E136" s="321"/>
      <c r="F136" s="848"/>
      <c r="G136" s="429"/>
      <c r="H136" s="849"/>
      <c r="I136" s="428"/>
      <c r="J136" s="429"/>
      <c r="K136" s="428"/>
      <c r="L136" s="430"/>
      <c r="M136" s="431"/>
      <c r="N136" s="431"/>
      <c r="O136" s="844"/>
      <c r="P136" s="840"/>
      <c r="Q136" s="840"/>
      <c r="R136" s="840"/>
      <c r="S136" s="840"/>
      <c r="T136" s="840"/>
      <c r="U136" s="840"/>
      <c r="V136" s="840"/>
      <c r="W136" s="840"/>
      <c r="X136" s="840"/>
      <c r="Y136" s="840"/>
      <c r="Z136" s="840"/>
      <c r="AA136" s="840"/>
      <c r="AB136" s="840"/>
      <c r="AC136" s="840"/>
    </row>
    <row r="137" ht="15.75" customHeight="1">
      <c r="A137" s="876">
        <v>135.0</v>
      </c>
      <c r="B137" s="321"/>
      <c r="C137" s="321"/>
      <c r="D137" s="321"/>
      <c r="E137" s="321"/>
      <c r="F137" s="848"/>
      <c r="G137" s="429"/>
      <c r="H137" s="849"/>
      <c r="I137" s="428"/>
      <c r="J137" s="429"/>
      <c r="K137" s="428"/>
      <c r="L137" s="430"/>
      <c r="M137" s="431"/>
      <c r="N137" s="431"/>
      <c r="O137" s="844"/>
      <c r="P137" s="840"/>
      <c r="Q137" s="840"/>
      <c r="R137" s="840"/>
      <c r="S137" s="840"/>
      <c r="T137" s="840"/>
      <c r="U137" s="840"/>
      <c r="V137" s="840"/>
      <c r="W137" s="840"/>
      <c r="X137" s="840"/>
      <c r="Y137" s="840"/>
      <c r="Z137" s="840"/>
      <c r="AA137" s="840"/>
      <c r="AB137" s="840"/>
      <c r="AC137" s="840"/>
    </row>
    <row r="138" ht="15.75" customHeight="1">
      <c r="A138" s="876">
        <v>136.0</v>
      </c>
      <c r="B138" s="321"/>
      <c r="C138" s="321"/>
      <c r="D138" s="321"/>
      <c r="E138" s="321"/>
      <c r="F138" s="848"/>
      <c r="G138" s="429"/>
      <c r="H138" s="849"/>
      <c r="I138" s="428"/>
      <c r="J138" s="429"/>
      <c r="K138" s="428"/>
      <c r="L138" s="430"/>
      <c r="M138" s="431"/>
      <c r="N138" s="431"/>
      <c r="O138" s="844"/>
      <c r="P138" s="840"/>
      <c r="Q138" s="840"/>
      <c r="R138" s="840"/>
      <c r="S138" s="840"/>
      <c r="T138" s="840"/>
      <c r="U138" s="840"/>
      <c r="V138" s="840"/>
      <c r="W138" s="840"/>
      <c r="X138" s="840"/>
      <c r="Y138" s="840"/>
      <c r="Z138" s="840"/>
      <c r="AA138" s="840"/>
      <c r="AB138" s="840"/>
      <c r="AC138" s="840"/>
    </row>
    <row r="139" ht="15.75" customHeight="1">
      <c r="A139" s="876">
        <v>137.0</v>
      </c>
      <c r="B139" s="321"/>
      <c r="C139" s="321"/>
      <c r="D139" s="321"/>
      <c r="E139" s="321"/>
      <c r="F139" s="848"/>
      <c r="G139" s="429"/>
      <c r="H139" s="849"/>
      <c r="I139" s="428"/>
      <c r="J139" s="429"/>
      <c r="K139" s="428"/>
      <c r="L139" s="430"/>
      <c r="M139" s="431"/>
      <c r="N139" s="431"/>
      <c r="O139" s="844"/>
      <c r="P139" s="840"/>
      <c r="Q139" s="840"/>
      <c r="R139" s="840"/>
      <c r="S139" s="840"/>
      <c r="T139" s="840"/>
      <c r="U139" s="840"/>
      <c r="V139" s="840"/>
      <c r="W139" s="840"/>
      <c r="X139" s="840"/>
      <c r="Y139" s="840"/>
      <c r="Z139" s="840"/>
      <c r="AA139" s="840"/>
      <c r="AB139" s="840"/>
      <c r="AC139" s="840"/>
    </row>
    <row r="140" ht="15.75" customHeight="1">
      <c r="A140" s="876">
        <v>138.0</v>
      </c>
      <c r="B140" s="321"/>
      <c r="C140" s="321"/>
      <c r="D140" s="321"/>
      <c r="E140" s="321"/>
      <c r="F140" s="848"/>
      <c r="G140" s="429"/>
      <c r="H140" s="849"/>
      <c r="I140" s="428"/>
      <c r="J140" s="429"/>
      <c r="K140" s="428"/>
      <c r="L140" s="430"/>
      <c r="M140" s="431"/>
      <c r="N140" s="431"/>
      <c r="O140" s="844"/>
      <c r="P140" s="840"/>
      <c r="Q140" s="840"/>
      <c r="R140" s="840"/>
      <c r="S140" s="840"/>
      <c r="T140" s="840"/>
      <c r="U140" s="840"/>
      <c r="V140" s="840"/>
      <c r="W140" s="840"/>
      <c r="X140" s="840"/>
      <c r="Y140" s="840"/>
      <c r="Z140" s="840"/>
      <c r="AA140" s="840"/>
      <c r="AB140" s="840"/>
      <c r="AC140" s="840"/>
    </row>
    <row r="141" ht="15.75" customHeight="1">
      <c r="A141" s="876">
        <v>139.0</v>
      </c>
      <c r="B141" s="321"/>
      <c r="C141" s="321"/>
      <c r="D141" s="321"/>
      <c r="E141" s="321"/>
      <c r="F141" s="848"/>
      <c r="G141" s="429"/>
      <c r="H141" s="849"/>
      <c r="I141" s="428"/>
      <c r="J141" s="429"/>
      <c r="K141" s="428"/>
      <c r="L141" s="430"/>
      <c r="M141" s="431"/>
      <c r="N141" s="431"/>
      <c r="O141" s="844"/>
      <c r="P141" s="840"/>
      <c r="Q141" s="840"/>
      <c r="R141" s="840"/>
      <c r="S141" s="840"/>
      <c r="T141" s="840"/>
      <c r="U141" s="840"/>
      <c r="V141" s="840"/>
      <c r="W141" s="840"/>
      <c r="X141" s="840"/>
      <c r="Y141" s="840"/>
      <c r="Z141" s="840"/>
      <c r="AA141" s="840"/>
      <c r="AB141" s="840"/>
      <c r="AC141" s="840"/>
    </row>
    <row r="142" ht="15.75" customHeight="1">
      <c r="A142" s="876">
        <v>140.0</v>
      </c>
      <c r="B142" s="321"/>
      <c r="C142" s="321"/>
      <c r="D142" s="321"/>
      <c r="E142" s="321"/>
      <c r="F142" s="848"/>
      <c r="G142" s="429"/>
      <c r="H142" s="849"/>
      <c r="I142" s="428"/>
      <c r="J142" s="429"/>
      <c r="K142" s="428"/>
      <c r="L142" s="430"/>
      <c r="M142" s="431"/>
      <c r="N142" s="431"/>
      <c r="O142" s="844"/>
      <c r="P142" s="840"/>
      <c r="Q142" s="840"/>
      <c r="R142" s="840"/>
      <c r="S142" s="840"/>
      <c r="T142" s="840"/>
      <c r="U142" s="840"/>
      <c r="V142" s="840"/>
      <c r="W142" s="840"/>
      <c r="X142" s="840"/>
      <c r="Y142" s="840"/>
      <c r="Z142" s="840"/>
      <c r="AA142" s="840"/>
      <c r="AB142" s="840"/>
      <c r="AC142" s="840"/>
    </row>
    <row r="143" ht="15.75" customHeight="1">
      <c r="A143" s="876">
        <v>141.0</v>
      </c>
      <c r="B143" s="321"/>
      <c r="C143" s="321"/>
      <c r="D143" s="321"/>
      <c r="E143" s="321"/>
      <c r="F143" s="848"/>
      <c r="G143" s="429"/>
      <c r="H143" s="849"/>
      <c r="I143" s="428"/>
      <c r="J143" s="429"/>
      <c r="K143" s="428"/>
      <c r="L143" s="430"/>
      <c r="M143" s="431"/>
      <c r="N143" s="431"/>
      <c r="O143" s="844"/>
      <c r="P143" s="840"/>
      <c r="Q143" s="840"/>
      <c r="R143" s="840"/>
      <c r="S143" s="840"/>
      <c r="T143" s="840"/>
      <c r="U143" s="840"/>
      <c r="V143" s="840"/>
      <c r="W143" s="840"/>
      <c r="X143" s="840"/>
      <c r="Y143" s="840"/>
      <c r="Z143" s="840"/>
      <c r="AA143" s="840"/>
      <c r="AB143" s="840"/>
      <c r="AC143" s="840"/>
    </row>
    <row r="144" ht="15.75" customHeight="1">
      <c r="A144" s="876">
        <v>142.0</v>
      </c>
      <c r="B144" s="321"/>
      <c r="C144" s="321"/>
      <c r="D144" s="321"/>
      <c r="E144" s="321"/>
      <c r="F144" s="848"/>
      <c r="G144" s="429"/>
      <c r="H144" s="849"/>
      <c r="I144" s="428"/>
      <c r="J144" s="429"/>
      <c r="K144" s="428"/>
      <c r="L144" s="430"/>
      <c r="M144" s="431"/>
      <c r="N144" s="431"/>
      <c r="O144" s="844"/>
      <c r="P144" s="840"/>
      <c r="Q144" s="840"/>
      <c r="R144" s="840"/>
      <c r="S144" s="840"/>
      <c r="T144" s="840"/>
      <c r="U144" s="840"/>
      <c r="V144" s="840"/>
      <c r="W144" s="840"/>
      <c r="X144" s="840"/>
      <c r="Y144" s="840"/>
      <c r="Z144" s="840"/>
      <c r="AA144" s="840"/>
      <c r="AB144" s="840"/>
      <c r="AC144" s="840"/>
    </row>
    <row r="145" ht="15.75" customHeight="1">
      <c r="A145" s="876">
        <v>143.0</v>
      </c>
      <c r="B145" s="321"/>
      <c r="C145" s="321"/>
      <c r="D145" s="321"/>
      <c r="E145" s="321"/>
      <c r="F145" s="848"/>
      <c r="G145" s="429"/>
      <c r="H145" s="849"/>
      <c r="I145" s="428"/>
      <c r="J145" s="429"/>
      <c r="K145" s="428"/>
      <c r="L145" s="430"/>
      <c r="M145" s="431"/>
      <c r="N145" s="431"/>
      <c r="O145" s="844"/>
      <c r="P145" s="840"/>
      <c r="Q145" s="840"/>
      <c r="R145" s="840"/>
      <c r="S145" s="840"/>
      <c r="T145" s="840"/>
      <c r="U145" s="840"/>
      <c r="V145" s="840"/>
      <c r="W145" s="840"/>
      <c r="X145" s="840"/>
      <c r="Y145" s="840"/>
      <c r="Z145" s="840"/>
      <c r="AA145" s="840"/>
      <c r="AB145" s="840"/>
      <c r="AC145" s="840"/>
    </row>
    <row r="146" ht="15.75" customHeight="1">
      <c r="A146" s="876">
        <v>144.0</v>
      </c>
      <c r="B146" s="321"/>
      <c r="C146" s="321"/>
      <c r="D146" s="321"/>
      <c r="E146" s="321"/>
      <c r="F146" s="848"/>
      <c r="G146" s="429"/>
      <c r="H146" s="849"/>
      <c r="I146" s="428"/>
      <c r="J146" s="429"/>
      <c r="K146" s="428"/>
      <c r="L146" s="430"/>
      <c r="M146" s="431"/>
      <c r="N146" s="431"/>
      <c r="O146" s="844"/>
      <c r="P146" s="840"/>
      <c r="Q146" s="840"/>
      <c r="R146" s="840"/>
      <c r="S146" s="840"/>
      <c r="T146" s="840"/>
      <c r="U146" s="840"/>
      <c r="V146" s="840"/>
      <c r="W146" s="840"/>
      <c r="X146" s="840"/>
      <c r="Y146" s="840"/>
      <c r="Z146" s="840"/>
      <c r="AA146" s="840"/>
      <c r="AB146" s="840"/>
      <c r="AC146" s="840"/>
    </row>
    <row r="147" ht="15.75" customHeight="1">
      <c r="A147" s="876">
        <v>145.0</v>
      </c>
      <c r="B147" s="321"/>
      <c r="C147" s="321"/>
      <c r="D147" s="321"/>
      <c r="E147" s="321"/>
      <c r="F147" s="848"/>
      <c r="G147" s="429"/>
      <c r="H147" s="849"/>
      <c r="I147" s="428"/>
      <c r="J147" s="429"/>
      <c r="K147" s="428"/>
      <c r="L147" s="430"/>
      <c r="M147" s="431"/>
      <c r="N147" s="431"/>
      <c r="O147" s="844"/>
      <c r="P147" s="840"/>
      <c r="Q147" s="840"/>
      <c r="R147" s="840"/>
      <c r="S147" s="840"/>
      <c r="T147" s="840"/>
      <c r="U147" s="840"/>
      <c r="V147" s="840"/>
      <c r="W147" s="840"/>
      <c r="X147" s="840"/>
      <c r="Y147" s="840"/>
      <c r="Z147" s="840"/>
      <c r="AA147" s="840"/>
      <c r="AB147" s="840"/>
      <c r="AC147" s="840"/>
    </row>
    <row r="148" ht="15.75" customHeight="1">
      <c r="A148" s="876">
        <v>146.0</v>
      </c>
      <c r="B148" s="321"/>
      <c r="C148" s="321"/>
      <c r="D148" s="321"/>
      <c r="E148" s="321"/>
      <c r="F148" s="848"/>
      <c r="G148" s="429"/>
      <c r="H148" s="849"/>
      <c r="I148" s="428"/>
      <c r="J148" s="429"/>
      <c r="K148" s="428"/>
      <c r="L148" s="430"/>
      <c r="M148" s="431"/>
      <c r="N148" s="431"/>
      <c r="O148" s="844"/>
      <c r="P148" s="840"/>
      <c r="Q148" s="840"/>
      <c r="R148" s="840"/>
      <c r="S148" s="840"/>
      <c r="T148" s="840"/>
      <c r="U148" s="840"/>
      <c r="V148" s="840"/>
      <c r="W148" s="840"/>
      <c r="X148" s="840"/>
      <c r="Y148" s="840"/>
      <c r="Z148" s="840"/>
      <c r="AA148" s="840"/>
      <c r="AB148" s="840"/>
      <c r="AC148" s="840"/>
    </row>
    <row r="149" ht="15.75" customHeight="1">
      <c r="A149" s="876">
        <v>147.0</v>
      </c>
      <c r="B149" s="321"/>
      <c r="C149" s="321"/>
      <c r="D149" s="321"/>
      <c r="E149" s="321"/>
      <c r="F149" s="848"/>
      <c r="G149" s="429"/>
      <c r="H149" s="849"/>
      <c r="I149" s="428"/>
      <c r="J149" s="429"/>
      <c r="K149" s="428"/>
      <c r="L149" s="430"/>
      <c r="M149" s="431"/>
      <c r="N149" s="431"/>
      <c r="O149" s="844"/>
      <c r="P149" s="840"/>
      <c r="Q149" s="840"/>
      <c r="R149" s="840"/>
      <c r="S149" s="840"/>
      <c r="T149" s="840"/>
      <c r="U149" s="840"/>
      <c r="V149" s="840"/>
      <c r="W149" s="840"/>
      <c r="X149" s="840"/>
      <c r="Y149" s="840"/>
      <c r="Z149" s="840"/>
      <c r="AA149" s="840"/>
      <c r="AB149" s="840"/>
      <c r="AC149" s="840"/>
    </row>
    <row r="150" ht="15.75" customHeight="1">
      <c r="A150" s="876">
        <v>148.0</v>
      </c>
      <c r="B150" s="321"/>
      <c r="C150" s="321"/>
      <c r="D150" s="321"/>
      <c r="E150" s="321"/>
      <c r="F150" s="848"/>
      <c r="G150" s="429"/>
      <c r="H150" s="849"/>
      <c r="I150" s="428"/>
      <c r="J150" s="429"/>
      <c r="K150" s="428"/>
      <c r="L150" s="430"/>
      <c r="M150" s="431"/>
      <c r="N150" s="431"/>
      <c r="O150" s="844"/>
      <c r="P150" s="840"/>
      <c r="Q150" s="840"/>
      <c r="R150" s="840"/>
      <c r="S150" s="840"/>
      <c r="T150" s="840"/>
      <c r="U150" s="840"/>
      <c r="V150" s="840"/>
      <c r="W150" s="840"/>
      <c r="X150" s="840"/>
      <c r="Y150" s="840"/>
      <c r="Z150" s="840"/>
      <c r="AA150" s="840"/>
      <c r="AB150" s="840"/>
      <c r="AC150" s="840"/>
    </row>
    <row r="151" ht="15.75" customHeight="1">
      <c r="A151" s="876">
        <v>149.0</v>
      </c>
      <c r="B151" s="321"/>
      <c r="C151" s="321"/>
      <c r="D151" s="321"/>
      <c r="E151" s="321"/>
      <c r="F151" s="848"/>
      <c r="G151" s="429"/>
      <c r="H151" s="849"/>
      <c r="I151" s="428"/>
      <c r="J151" s="429"/>
      <c r="K151" s="428"/>
      <c r="L151" s="430"/>
      <c r="M151" s="431"/>
      <c r="N151" s="431"/>
      <c r="O151" s="844"/>
      <c r="P151" s="840"/>
      <c r="Q151" s="840"/>
      <c r="R151" s="840"/>
      <c r="S151" s="840"/>
      <c r="T151" s="840"/>
      <c r="U151" s="840"/>
      <c r="V151" s="840"/>
      <c r="W151" s="840"/>
      <c r="X151" s="840"/>
      <c r="Y151" s="840"/>
      <c r="Z151" s="840"/>
      <c r="AA151" s="840"/>
      <c r="AB151" s="840"/>
      <c r="AC151" s="840"/>
    </row>
    <row r="152" ht="15.75" customHeight="1">
      <c r="A152" s="876">
        <v>150.0</v>
      </c>
      <c r="B152" s="321"/>
      <c r="C152" s="321"/>
      <c r="D152" s="321"/>
      <c r="E152" s="321"/>
      <c r="F152" s="848"/>
      <c r="G152" s="429"/>
      <c r="H152" s="849"/>
      <c r="I152" s="428"/>
      <c r="J152" s="429"/>
      <c r="K152" s="428"/>
      <c r="L152" s="430"/>
      <c r="M152" s="431"/>
      <c r="N152" s="431"/>
      <c r="O152" s="844"/>
      <c r="P152" s="840"/>
      <c r="Q152" s="840"/>
      <c r="R152" s="840"/>
      <c r="S152" s="840"/>
      <c r="T152" s="840"/>
      <c r="U152" s="840"/>
      <c r="V152" s="840"/>
      <c r="W152" s="840"/>
      <c r="X152" s="840"/>
      <c r="Y152" s="840"/>
      <c r="Z152" s="840"/>
      <c r="AA152" s="840"/>
      <c r="AB152" s="840"/>
      <c r="AC152" s="840"/>
    </row>
    <row r="153" ht="15.75" customHeight="1">
      <c r="A153" s="876">
        <v>151.0</v>
      </c>
      <c r="B153" s="321"/>
      <c r="C153" s="321"/>
      <c r="D153" s="321"/>
      <c r="E153" s="321"/>
      <c r="F153" s="848"/>
      <c r="G153" s="429"/>
      <c r="H153" s="849"/>
      <c r="I153" s="428"/>
      <c r="J153" s="429"/>
      <c r="K153" s="428"/>
      <c r="L153" s="430"/>
      <c r="M153" s="431"/>
      <c r="N153" s="431"/>
      <c r="O153" s="844"/>
      <c r="P153" s="840"/>
      <c r="Q153" s="840"/>
      <c r="R153" s="840"/>
      <c r="S153" s="840"/>
      <c r="T153" s="840"/>
      <c r="U153" s="840"/>
      <c r="V153" s="840"/>
      <c r="W153" s="840"/>
      <c r="X153" s="840"/>
      <c r="Y153" s="840"/>
      <c r="Z153" s="840"/>
      <c r="AA153" s="840"/>
      <c r="AB153" s="840"/>
      <c r="AC153" s="840"/>
    </row>
    <row r="154" ht="15.75" customHeight="1">
      <c r="A154" s="876">
        <v>152.0</v>
      </c>
      <c r="B154" s="321"/>
      <c r="C154" s="321"/>
      <c r="D154" s="321"/>
      <c r="E154" s="321"/>
      <c r="F154" s="848"/>
      <c r="G154" s="429"/>
      <c r="H154" s="849"/>
      <c r="I154" s="428"/>
      <c r="J154" s="429"/>
      <c r="K154" s="428"/>
      <c r="L154" s="430"/>
      <c r="M154" s="431"/>
      <c r="N154" s="431"/>
      <c r="O154" s="844"/>
      <c r="P154" s="840"/>
      <c r="Q154" s="840"/>
      <c r="R154" s="840"/>
      <c r="S154" s="840"/>
      <c r="T154" s="840"/>
      <c r="U154" s="840"/>
      <c r="V154" s="840"/>
      <c r="W154" s="840"/>
      <c r="X154" s="840"/>
      <c r="Y154" s="840"/>
      <c r="Z154" s="840"/>
      <c r="AA154" s="840"/>
      <c r="AB154" s="840"/>
      <c r="AC154" s="840"/>
    </row>
    <row r="155" ht="15.75" customHeight="1">
      <c r="A155" s="876">
        <v>153.0</v>
      </c>
      <c r="B155" s="321"/>
      <c r="C155" s="321"/>
      <c r="D155" s="321"/>
      <c r="E155" s="321"/>
      <c r="F155" s="848"/>
      <c r="G155" s="429"/>
      <c r="H155" s="849"/>
      <c r="I155" s="428"/>
      <c r="J155" s="429"/>
      <c r="K155" s="428"/>
      <c r="L155" s="430"/>
      <c r="M155" s="431"/>
      <c r="N155" s="431"/>
      <c r="O155" s="844"/>
      <c r="P155" s="840"/>
      <c r="Q155" s="840"/>
      <c r="R155" s="840"/>
      <c r="S155" s="840"/>
      <c r="T155" s="840"/>
      <c r="U155" s="840"/>
      <c r="V155" s="840"/>
      <c r="W155" s="840"/>
      <c r="X155" s="840"/>
      <c r="Y155" s="840"/>
      <c r="Z155" s="840"/>
      <c r="AA155" s="840"/>
      <c r="AB155" s="840"/>
      <c r="AC155" s="840"/>
    </row>
    <row r="156" ht="15.75" customHeight="1">
      <c r="A156" s="876">
        <v>154.0</v>
      </c>
      <c r="B156" s="321"/>
      <c r="C156" s="321"/>
      <c r="D156" s="321"/>
      <c r="E156" s="321"/>
      <c r="F156" s="848"/>
      <c r="G156" s="429"/>
      <c r="H156" s="849"/>
      <c r="I156" s="428"/>
      <c r="J156" s="429"/>
      <c r="K156" s="428"/>
      <c r="L156" s="430"/>
      <c r="M156" s="431"/>
      <c r="N156" s="431"/>
      <c r="O156" s="844"/>
      <c r="P156" s="840"/>
      <c r="Q156" s="840"/>
      <c r="R156" s="840"/>
      <c r="S156" s="840"/>
      <c r="T156" s="840"/>
      <c r="U156" s="840"/>
      <c r="V156" s="840"/>
      <c r="W156" s="840"/>
      <c r="X156" s="840"/>
      <c r="Y156" s="840"/>
      <c r="Z156" s="840"/>
      <c r="AA156" s="840"/>
      <c r="AB156" s="840"/>
      <c r="AC156" s="840"/>
    </row>
    <row r="157" ht="15.75" customHeight="1">
      <c r="A157" s="876">
        <v>155.0</v>
      </c>
      <c r="B157" s="321"/>
      <c r="C157" s="321"/>
      <c r="D157" s="321"/>
      <c r="E157" s="321"/>
      <c r="F157" s="848"/>
      <c r="G157" s="429"/>
      <c r="H157" s="849"/>
      <c r="I157" s="428"/>
      <c r="J157" s="429"/>
      <c r="K157" s="428"/>
      <c r="L157" s="430"/>
      <c r="M157" s="431"/>
      <c r="N157" s="431"/>
      <c r="O157" s="844"/>
      <c r="P157" s="840"/>
      <c r="Q157" s="840"/>
      <c r="R157" s="840"/>
      <c r="S157" s="840"/>
      <c r="T157" s="840"/>
      <c r="U157" s="840"/>
      <c r="V157" s="840"/>
      <c r="W157" s="840"/>
      <c r="X157" s="840"/>
      <c r="Y157" s="840"/>
      <c r="Z157" s="840"/>
      <c r="AA157" s="840"/>
      <c r="AB157" s="840"/>
      <c r="AC157" s="840"/>
    </row>
    <row r="158" ht="15.75" customHeight="1">
      <c r="A158" s="876">
        <v>156.0</v>
      </c>
      <c r="B158" s="321"/>
      <c r="C158" s="321"/>
      <c r="D158" s="321"/>
      <c r="E158" s="321"/>
      <c r="F158" s="848"/>
      <c r="G158" s="429"/>
      <c r="H158" s="849"/>
      <c r="I158" s="428"/>
      <c r="J158" s="429"/>
      <c r="K158" s="428"/>
      <c r="L158" s="430"/>
      <c r="M158" s="431"/>
      <c r="N158" s="431"/>
      <c r="O158" s="844"/>
      <c r="P158" s="840"/>
      <c r="Q158" s="840"/>
      <c r="R158" s="840"/>
      <c r="S158" s="840"/>
      <c r="T158" s="840"/>
      <c r="U158" s="840"/>
      <c r="V158" s="840"/>
      <c r="W158" s="840"/>
      <c r="X158" s="840"/>
      <c r="Y158" s="840"/>
      <c r="Z158" s="840"/>
      <c r="AA158" s="840"/>
      <c r="AB158" s="840"/>
      <c r="AC158" s="840"/>
    </row>
    <row r="159" ht="15.75" customHeight="1">
      <c r="A159" s="876">
        <v>157.0</v>
      </c>
      <c r="B159" s="321"/>
      <c r="C159" s="321"/>
      <c r="D159" s="321"/>
      <c r="E159" s="321"/>
      <c r="F159" s="848"/>
      <c r="G159" s="429"/>
      <c r="H159" s="849"/>
      <c r="I159" s="428"/>
      <c r="J159" s="429"/>
      <c r="K159" s="428"/>
      <c r="L159" s="430"/>
      <c r="M159" s="431"/>
      <c r="N159" s="431"/>
      <c r="O159" s="844"/>
      <c r="P159" s="840"/>
      <c r="Q159" s="840"/>
      <c r="R159" s="840"/>
      <c r="S159" s="840"/>
      <c r="T159" s="840"/>
      <c r="U159" s="840"/>
      <c r="V159" s="840"/>
      <c r="W159" s="840"/>
      <c r="X159" s="840"/>
      <c r="Y159" s="840"/>
      <c r="Z159" s="840"/>
      <c r="AA159" s="840"/>
      <c r="AB159" s="840"/>
      <c r="AC159" s="840"/>
    </row>
    <row r="160" ht="15.75" customHeight="1">
      <c r="A160" s="876">
        <v>158.0</v>
      </c>
      <c r="B160" s="321"/>
      <c r="C160" s="321"/>
      <c r="D160" s="321"/>
      <c r="E160" s="321"/>
      <c r="F160" s="848"/>
      <c r="G160" s="429"/>
      <c r="H160" s="849"/>
      <c r="I160" s="428"/>
      <c r="J160" s="429"/>
      <c r="K160" s="428"/>
      <c r="L160" s="430"/>
      <c r="M160" s="431"/>
      <c r="N160" s="431"/>
      <c r="O160" s="844"/>
      <c r="P160" s="840"/>
      <c r="Q160" s="840"/>
      <c r="R160" s="840"/>
      <c r="S160" s="840"/>
      <c r="T160" s="840"/>
      <c r="U160" s="840"/>
      <c r="V160" s="840"/>
      <c r="W160" s="840"/>
      <c r="X160" s="840"/>
      <c r="Y160" s="840"/>
      <c r="Z160" s="840"/>
      <c r="AA160" s="840"/>
      <c r="AB160" s="840"/>
      <c r="AC160" s="840"/>
    </row>
    <row r="161" ht="15.75" customHeight="1">
      <c r="A161" s="876">
        <v>159.0</v>
      </c>
      <c r="B161" s="321"/>
      <c r="C161" s="321"/>
      <c r="D161" s="321"/>
      <c r="E161" s="321"/>
      <c r="F161" s="848"/>
      <c r="G161" s="429"/>
      <c r="H161" s="849"/>
      <c r="I161" s="428"/>
      <c r="J161" s="429"/>
      <c r="K161" s="428"/>
      <c r="L161" s="430"/>
      <c r="M161" s="431"/>
      <c r="N161" s="431"/>
      <c r="O161" s="844"/>
      <c r="P161" s="840"/>
      <c r="Q161" s="840"/>
      <c r="R161" s="840"/>
      <c r="S161" s="840"/>
      <c r="T161" s="840"/>
      <c r="U161" s="840"/>
      <c r="V161" s="840"/>
      <c r="W161" s="840"/>
      <c r="X161" s="840"/>
      <c r="Y161" s="840"/>
      <c r="Z161" s="840"/>
      <c r="AA161" s="840"/>
      <c r="AB161" s="840"/>
      <c r="AC161" s="840"/>
    </row>
    <row r="162" ht="15.75" customHeight="1">
      <c r="A162" s="876">
        <v>160.0</v>
      </c>
      <c r="B162" s="321"/>
      <c r="C162" s="321"/>
      <c r="D162" s="321"/>
      <c r="E162" s="321"/>
      <c r="F162" s="848"/>
      <c r="G162" s="429"/>
      <c r="H162" s="849"/>
      <c r="I162" s="428"/>
      <c r="J162" s="429"/>
      <c r="K162" s="428"/>
      <c r="L162" s="430"/>
      <c r="M162" s="431"/>
      <c r="N162" s="431"/>
      <c r="O162" s="844"/>
      <c r="P162" s="840"/>
      <c r="Q162" s="840"/>
      <c r="R162" s="840"/>
      <c r="S162" s="840"/>
      <c r="T162" s="840"/>
      <c r="U162" s="840"/>
      <c r="V162" s="840"/>
      <c r="W162" s="840"/>
      <c r="X162" s="840"/>
      <c r="Y162" s="840"/>
      <c r="Z162" s="840"/>
      <c r="AA162" s="840"/>
      <c r="AB162" s="840"/>
      <c r="AC162" s="840"/>
    </row>
    <row r="163" ht="15.75" customHeight="1">
      <c r="A163" s="876">
        <v>161.0</v>
      </c>
      <c r="B163" s="321"/>
      <c r="C163" s="321"/>
      <c r="D163" s="321"/>
      <c r="E163" s="321"/>
      <c r="F163" s="848"/>
      <c r="G163" s="429"/>
      <c r="H163" s="849"/>
      <c r="I163" s="428"/>
      <c r="J163" s="429"/>
      <c r="K163" s="428"/>
      <c r="L163" s="430"/>
      <c r="M163" s="431"/>
      <c r="N163" s="431"/>
      <c r="O163" s="844"/>
      <c r="P163" s="840"/>
      <c r="Q163" s="840"/>
      <c r="R163" s="840"/>
      <c r="S163" s="840"/>
      <c r="T163" s="840"/>
      <c r="U163" s="840"/>
      <c r="V163" s="840"/>
      <c r="W163" s="840"/>
      <c r="X163" s="840"/>
      <c r="Y163" s="840"/>
      <c r="Z163" s="840"/>
      <c r="AA163" s="840"/>
      <c r="AB163" s="840"/>
      <c r="AC163" s="840"/>
    </row>
    <row r="164" ht="15.75" customHeight="1">
      <c r="A164" s="876">
        <v>162.0</v>
      </c>
      <c r="B164" s="321"/>
      <c r="C164" s="321"/>
      <c r="D164" s="321"/>
      <c r="E164" s="321"/>
      <c r="F164" s="848"/>
      <c r="G164" s="429"/>
      <c r="H164" s="849"/>
      <c r="I164" s="428"/>
      <c r="J164" s="429"/>
      <c r="K164" s="428"/>
      <c r="L164" s="430"/>
      <c r="M164" s="431"/>
      <c r="N164" s="431"/>
      <c r="O164" s="844"/>
      <c r="P164" s="840"/>
      <c r="Q164" s="840"/>
      <c r="R164" s="840"/>
      <c r="S164" s="840"/>
      <c r="T164" s="840"/>
      <c r="U164" s="840"/>
      <c r="V164" s="840"/>
      <c r="W164" s="840"/>
      <c r="X164" s="840"/>
      <c r="Y164" s="840"/>
      <c r="Z164" s="840"/>
      <c r="AA164" s="840"/>
      <c r="AB164" s="840"/>
      <c r="AC164" s="840"/>
    </row>
    <row r="165" ht="15.75" customHeight="1">
      <c r="A165" s="876">
        <v>163.0</v>
      </c>
      <c r="B165" s="321"/>
      <c r="C165" s="321"/>
      <c r="D165" s="321"/>
      <c r="E165" s="321"/>
      <c r="F165" s="848"/>
      <c r="G165" s="429"/>
      <c r="H165" s="849"/>
      <c r="I165" s="428"/>
      <c r="J165" s="429"/>
      <c r="K165" s="428"/>
      <c r="L165" s="430"/>
      <c r="M165" s="431"/>
      <c r="N165" s="431"/>
      <c r="O165" s="844"/>
      <c r="P165" s="840"/>
      <c r="Q165" s="840"/>
      <c r="R165" s="840"/>
      <c r="S165" s="840"/>
      <c r="T165" s="840"/>
      <c r="U165" s="840"/>
      <c r="V165" s="840"/>
      <c r="W165" s="840"/>
      <c r="X165" s="840"/>
      <c r="Y165" s="840"/>
      <c r="Z165" s="840"/>
      <c r="AA165" s="840"/>
      <c r="AB165" s="840"/>
      <c r="AC165" s="840"/>
    </row>
    <row r="166" ht="15.75" customHeight="1">
      <c r="A166" s="876">
        <v>164.0</v>
      </c>
      <c r="B166" s="321"/>
      <c r="C166" s="321"/>
      <c r="D166" s="321"/>
      <c r="E166" s="321"/>
      <c r="F166" s="848"/>
      <c r="G166" s="429"/>
      <c r="H166" s="849"/>
      <c r="I166" s="428"/>
      <c r="J166" s="429"/>
      <c r="K166" s="428"/>
      <c r="L166" s="430"/>
      <c r="M166" s="431"/>
      <c r="N166" s="431"/>
      <c r="O166" s="844"/>
      <c r="P166" s="840"/>
      <c r="Q166" s="840"/>
      <c r="R166" s="840"/>
      <c r="S166" s="840"/>
      <c r="T166" s="840"/>
      <c r="U166" s="840"/>
      <c r="V166" s="840"/>
      <c r="W166" s="840"/>
      <c r="X166" s="840"/>
      <c r="Y166" s="840"/>
      <c r="Z166" s="840"/>
      <c r="AA166" s="840"/>
      <c r="AB166" s="840"/>
      <c r="AC166" s="840"/>
    </row>
    <row r="167" ht="15.75" customHeight="1">
      <c r="A167" s="876">
        <v>165.0</v>
      </c>
      <c r="B167" s="321"/>
      <c r="C167" s="321"/>
      <c r="D167" s="321"/>
      <c r="E167" s="321"/>
      <c r="F167" s="848"/>
      <c r="G167" s="429"/>
      <c r="H167" s="849"/>
      <c r="I167" s="428"/>
      <c r="J167" s="429"/>
      <c r="K167" s="428"/>
      <c r="L167" s="430"/>
      <c r="M167" s="431"/>
      <c r="N167" s="431"/>
      <c r="O167" s="844"/>
      <c r="P167" s="840"/>
      <c r="Q167" s="840"/>
      <c r="R167" s="840"/>
      <c r="S167" s="840"/>
      <c r="T167" s="840"/>
      <c r="U167" s="840"/>
      <c r="V167" s="840"/>
      <c r="W167" s="840"/>
      <c r="X167" s="840"/>
      <c r="Y167" s="840"/>
      <c r="Z167" s="840"/>
      <c r="AA167" s="840"/>
      <c r="AB167" s="840"/>
      <c r="AC167" s="840"/>
    </row>
    <row r="168" ht="15.75" customHeight="1">
      <c r="A168" s="876">
        <v>166.0</v>
      </c>
      <c r="B168" s="321"/>
      <c r="C168" s="321"/>
      <c r="D168" s="321"/>
      <c r="E168" s="321"/>
      <c r="F168" s="848"/>
      <c r="G168" s="429"/>
      <c r="H168" s="849"/>
      <c r="I168" s="428"/>
      <c r="J168" s="429"/>
      <c r="K168" s="428"/>
      <c r="L168" s="430"/>
      <c r="M168" s="431"/>
      <c r="N168" s="431"/>
      <c r="O168" s="844"/>
      <c r="P168" s="840"/>
      <c r="Q168" s="840"/>
      <c r="R168" s="840"/>
      <c r="S168" s="840"/>
      <c r="T168" s="840"/>
      <c r="U168" s="840"/>
      <c r="V168" s="840"/>
      <c r="W168" s="840"/>
      <c r="X168" s="840"/>
      <c r="Y168" s="840"/>
      <c r="Z168" s="840"/>
      <c r="AA168" s="840"/>
      <c r="AB168" s="840"/>
      <c r="AC168" s="840"/>
    </row>
    <row r="169" ht="15.75" customHeight="1">
      <c r="A169" s="876">
        <v>167.0</v>
      </c>
      <c r="B169" s="321"/>
      <c r="C169" s="321"/>
      <c r="D169" s="321"/>
      <c r="E169" s="321"/>
      <c r="F169" s="848"/>
      <c r="G169" s="429"/>
      <c r="H169" s="849"/>
      <c r="I169" s="428"/>
      <c r="J169" s="429"/>
      <c r="K169" s="428"/>
      <c r="L169" s="430"/>
      <c r="M169" s="431"/>
      <c r="N169" s="431"/>
      <c r="O169" s="844"/>
      <c r="P169" s="840"/>
      <c r="Q169" s="840"/>
      <c r="R169" s="840"/>
      <c r="S169" s="840"/>
      <c r="T169" s="840"/>
      <c r="U169" s="840"/>
      <c r="V169" s="840"/>
      <c r="W169" s="840"/>
      <c r="X169" s="840"/>
      <c r="Y169" s="840"/>
      <c r="Z169" s="840"/>
      <c r="AA169" s="840"/>
      <c r="AB169" s="840"/>
      <c r="AC169" s="840"/>
    </row>
    <row r="170" ht="15.75" customHeight="1">
      <c r="A170" s="876">
        <v>168.0</v>
      </c>
      <c r="B170" s="321"/>
      <c r="C170" s="321"/>
      <c r="D170" s="321"/>
      <c r="E170" s="321"/>
      <c r="F170" s="848"/>
      <c r="G170" s="429"/>
      <c r="H170" s="849"/>
      <c r="I170" s="428"/>
      <c r="J170" s="429"/>
      <c r="K170" s="428"/>
      <c r="L170" s="430"/>
      <c r="M170" s="431"/>
      <c r="N170" s="431"/>
      <c r="O170" s="844"/>
      <c r="P170" s="840"/>
      <c r="Q170" s="840"/>
      <c r="R170" s="840"/>
      <c r="S170" s="840"/>
      <c r="T170" s="840"/>
      <c r="U170" s="840"/>
      <c r="V170" s="840"/>
      <c r="W170" s="840"/>
      <c r="X170" s="840"/>
      <c r="Y170" s="840"/>
      <c r="Z170" s="840"/>
      <c r="AA170" s="840"/>
      <c r="AB170" s="840"/>
      <c r="AC170" s="840"/>
    </row>
    <row r="171" ht="15.75" customHeight="1">
      <c r="A171" s="876">
        <v>169.0</v>
      </c>
      <c r="B171" s="321"/>
      <c r="C171" s="321"/>
      <c r="D171" s="321"/>
      <c r="E171" s="321"/>
      <c r="F171" s="848"/>
      <c r="G171" s="429"/>
      <c r="H171" s="849"/>
      <c r="I171" s="428"/>
      <c r="J171" s="429"/>
      <c r="K171" s="428"/>
      <c r="L171" s="430"/>
      <c r="M171" s="431"/>
      <c r="N171" s="431"/>
      <c r="O171" s="844"/>
      <c r="P171" s="840"/>
      <c r="Q171" s="840"/>
      <c r="R171" s="840"/>
      <c r="S171" s="840"/>
      <c r="T171" s="840"/>
      <c r="U171" s="840"/>
      <c r="V171" s="840"/>
      <c r="W171" s="840"/>
      <c r="X171" s="840"/>
      <c r="Y171" s="840"/>
      <c r="Z171" s="840"/>
      <c r="AA171" s="840"/>
      <c r="AB171" s="840"/>
      <c r="AC171" s="840"/>
    </row>
    <row r="172" ht="15.75" customHeight="1">
      <c r="A172" s="876">
        <v>170.0</v>
      </c>
      <c r="B172" s="321"/>
      <c r="C172" s="321"/>
      <c r="D172" s="321"/>
      <c r="E172" s="321"/>
      <c r="F172" s="848"/>
      <c r="G172" s="429"/>
      <c r="H172" s="849"/>
      <c r="I172" s="428"/>
      <c r="J172" s="429"/>
      <c r="K172" s="428"/>
      <c r="L172" s="430"/>
      <c r="M172" s="431"/>
      <c r="N172" s="431"/>
      <c r="O172" s="844"/>
      <c r="P172" s="840"/>
      <c r="Q172" s="840"/>
      <c r="R172" s="840"/>
      <c r="S172" s="840"/>
      <c r="T172" s="840"/>
      <c r="U172" s="840"/>
      <c r="V172" s="840"/>
      <c r="W172" s="840"/>
      <c r="X172" s="840"/>
      <c r="Y172" s="840"/>
      <c r="Z172" s="840"/>
      <c r="AA172" s="840"/>
      <c r="AB172" s="840"/>
      <c r="AC172" s="840"/>
    </row>
    <row r="173" ht="15.75" customHeight="1">
      <c r="A173" s="876">
        <v>171.0</v>
      </c>
      <c r="B173" s="321"/>
      <c r="C173" s="321"/>
      <c r="D173" s="321"/>
      <c r="E173" s="321"/>
      <c r="F173" s="848"/>
      <c r="G173" s="429"/>
      <c r="H173" s="849"/>
      <c r="I173" s="428"/>
      <c r="J173" s="429"/>
      <c r="K173" s="428"/>
      <c r="L173" s="430"/>
      <c r="M173" s="431"/>
      <c r="N173" s="431"/>
      <c r="O173" s="844"/>
      <c r="P173" s="840"/>
      <c r="Q173" s="840"/>
      <c r="R173" s="840"/>
      <c r="S173" s="840"/>
      <c r="T173" s="840"/>
      <c r="U173" s="840"/>
      <c r="V173" s="840"/>
      <c r="W173" s="840"/>
      <c r="X173" s="840"/>
      <c r="Y173" s="840"/>
      <c r="Z173" s="840"/>
      <c r="AA173" s="840"/>
      <c r="AB173" s="840"/>
      <c r="AC173" s="840"/>
    </row>
    <row r="174" ht="15.75" customHeight="1">
      <c r="A174" s="876">
        <v>172.0</v>
      </c>
      <c r="B174" s="321"/>
      <c r="C174" s="321"/>
      <c r="D174" s="321"/>
      <c r="E174" s="321"/>
      <c r="F174" s="848"/>
      <c r="G174" s="429"/>
      <c r="H174" s="849"/>
      <c r="I174" s="428"/>
      <c r="J174" s="429"/>
      <c r="K174" s="428"/>
      <c r="L174" s="430"/>
      <c r="M174" s="431"/>
      <c r="N174" s="431"/>
      <c r="O174" s="844"/>
      <c r="P174" s="840"/>
      <c r="Q174" s="840"/>
      <c r="R174" s="840"/>
      <c r="S174" s="840"/>
      <c r="T174" s="840"/>
      <c r="U174" s="840"/>
      <c r="V174" s="840"/>
      <c r="W174" s="840"/>
      <c r="X174" s="840"/>
      <c r="Y174" s="840"/>
      <c r="Z174" s="840"/>
      <c r="AA174" s="840"/>
      <c r="AB174" s="840"/>
      <c r="AC174" s="840"/>
    </row>
    <row r="175" ht="15.75" customHeight="1">
      <c r="A175" s="876">
        <v>173.0</v>
      </c>
      <c r="B175" s="321"/>
      <c r="C175" s="321"/>
      <c r="D175" s="321"/>
      <c r="E175" s="321"/>
      <c r="F175" s="848"/>
      <c r="G175" s="429"/>
      <c r="H175" s="849"/>
      <c r="I175" s="428"/>
      <c r="J175" s="429"/>
      <c r="K175" s="428"/>
      <c r="L175" s="430"/>
      <c r="M175" s="431"/>
      <c r="N175" s="431"/>
      <c r="O175" s="844"/>
      <c r="P175" s="840"/>
      <c r="Q175" s="840"/>
      <c r="R175" s="840"/>
      <c r="S175" s="840"/>
      <c r="T175" s="840"/>
      <c r="U175" s="840"/>
      <c r="V175" s="840"/>
      <c r="W175" s="840"/>
      <c r="X175" s="840"/>
      <c r="Y175" s="840"/>
      <c r="Z175" s="840"/>
      <c r="AA175" s="840"/>
      <c r="AB175" s="840"/>
      <c r="AC175" s="840"/>
    </row>
    <row r="176" ht="15.75" customHeight="1">
      <c r="A176" s="876">
        <v>174.0</v>
      </c>
      <c r="B176" s="321"/>
      <c r="C176" s="321"/>
      <c r="D176" s="321"/>
      <c r="E176" s="321"/>
      <c r="F176" s="848"/>
      <c r="G176" s="429"/>
      <c r="H176" s="849"/>
      <c r="I176" s="428"/>
      <c r="J176" s="429"/>
      <c r="K176" s="428"/>
      <c r="L176" s="430"/>
      <c r="M176" s="431"/>
      <c r="N176" s="431"/>
      <c r="O176" s="844"/>
      <c r="P176" s="840"/>
      <c r="Q176" s="840"/>
      <c r="R176" s="840"/>
      <c r="S176" s="840"/>
      <c r="T176" s="840"/>
      <c r="U176" s="840"/>
      <c r="V176" s="840"/>
      <c r="W176" s="840"/>
      <c r="X176" s="840"/>
      <c r="Y176" s="840"/>
      <c r="Z176" s="840"/>
      <c r="AA176" s="840"/>
      <c r="AB176" s="840"/>
      <c r="AC176" s="840"/>
    </row>
    <row r="177" ht="15.75" customHeight="1">
      <c r="A177" s="876">
        <v>175.0</v>
      </c>
      <c r="B177" s="321"/>
      <c r="C177" s="321"/>
      <c r="D177" s="321"/>
      <c r="E177" s="321"/>
      <c r="F177" s="848"/>
      <c r="G177" s="429"/>
      <c r="H177" s="849"/>
      <c r="I177" s="428"/>
      <c r="J177" s="429"/>
      <c r="K177" s="428"/>
      <c r="L177" s="430"/>
      <c r="M177" s="431"/>
      <c r="N177" s="431"/>
      <c r="O177" s="844"/>
      <c r="P177" s="840"/>
      <c r="Q177" s="840"/>
      <c r="R177" s="840"/>
      <c r="S177" s="840"/>
      <c r="T177" s="840"/>
      <c r="U177" s="840"/>
      <c r="V177" s="840"/>
      <c r="W177" s="840"/>
      <c r="X177" s="840"/>
      <c r="Y177" s="840"/>
      <c r="Z177" s="840"/>
      <c r="AA177" s="840"/>
      <c r="AB177" s="840"/>
      <c r="AC177" s="840"/>
    </row>
    <row r="178" ht="15.75" customHeight="1">
      <c r="A178" s="876"/>
      <c r="B178" s="321"/>
      <c r="C178" s="321"/>
      <c r="D178" s="321"/>
      <c r="E178" s="321"/>
      <c r="F178" s="848"/>
      <c r="G178" s="429"/>
      <c r="H178" s="849"/>
      <c r="I178" s="428"/>
      <c r="J178" s="429"/>
      <c r="K178" s="428"/>
      <c r="L178" s="430"/>
      <c r="M178" s="431"/>
      <c r="N178" s="431"/>
      <c r="O178" s="844"/>
      <c r="P178" s="840"/>
      <c r="Q178" s="840"/>
      <c r="R178" s="840"/>
      <c r="S178" s="840"/>
      <c r="T178" s="840"/>
      <c r="U178" s="840"/>
      <c r="V178" s="840"/>
      <c r="W178" s="840"/>
      <c r="X178" s="840"/>
      <c r="Y178" s="840"/>
      <c r="Z178" s="840"/>
      <c r="AA178" s="840"/>
      <c r="AB178" s="840"/>
      <c r="AC178" s="840"/>
    </row>
    <row r="179" ht="15.75" customHeight="1">
      <c r="A179" s="876"/>
      <c r="B179" s="321"/>
      <c r="C179" s="321"/>
      <c r="D179" s="321"/>
      <c r="E179" s="321"/>
      <c r="F179" s="848"/>
      <c r="G179" s="429"/>
      <c r="H179" s="849"/>
      <c r="I179" s="428"/>
      <c r="J179" s="429"/>
      <c r="K179" s="428"/>
      <c r="L179" s="430"/>
      <c r="M179" s="431"/>
      <c r="N179" s="431"/>
      <c r="O179" s="844"/>
      <c r="P179" s="840"/>
      <c r="Q179" s="840"/>
      <c r="R179" s="840"/>
      <c r="S179" s="840"/>
      <c r="T179" s="840"/>
      <c r="U179" s="840"/>
      <c r="V179" s="840"/>
      <c r="W179" s="840"/>
      <c r="X179" s="840"/>
      <c r="Y179" s="840"/>
      <c r="Z179" s="840"/>
      <c r="AA179" s="840"/>
      <c r="AB179" s="840"/>
      <c r="AC179" s="840"/>
    </row>
    <row r="180" ht="15.75" customHeight="1">
      <c r="A180" s="876"/>
      <c r="B180" s="321"/>
      <c r="C180" s="321"/>
      <c r="D180" s="321"/>
      <c r="E180" s="321"/>
      <c r="F180" s="848"/>
      <c r="G180" s="429"/>
      <c r="H180" s="849"/>
      <c r="I180" s="428"/>
      <c r="J180" s="429"/>
      <c r="K180" s="428"/>
      <c r="L180" s="430"/>
      <c r="M180" s="431"/>
      <c r="N180" s="431"/>
      <c r="O180" s="844"/>
      <c r="P180" s="840"/>
      <c r="Q180" s="840"/>
      <c r="R180" s="840"/>
      <c r="S180" s="840"/>
      <c r="T180" s="840"/>
      <c r="U180" s="840"/>
      <c r="V180" s="840"/>
      <c r="W180" s="840"/>
      <c r="X180" s="840"/>
      <c r="Y180" s="840"/>
      <c r="Z180" s="840"/>
      <c r="AA180" s="840"/>
      <c r="AB180" s="840"/>
      <c r="AC180" s="840"/>
    </row>
    <row r="181" ht="15.75" customHeight="1">
      <c r="A181" s="876"/>
      <c r="B181" s="321"/>
      <c r="C181" s="321"/>
      <c r="D181" s="321"/>
      <c r="E181" s="321"/>
      <c r="F181" s="848"/>
      <c r="G181" s="429"/>
      <c r="H181" s="849"/>
      <c r="I181" s="428"/>
      <c r="J181" s="429"/>
      <c r="K181" s="428"/>
      <c r="L181" s="430"/>
      <c r="M181" s="431"/>
      <c r="N181" s="431"/>
      <c r="O181" s="844"/>
      <c r="P181" s="840"/>
      <c r="Q181" s="840"/>
      <c r="R181" s="840"/>
      <c r="S181" s="840"/>
      <c r="T181" s="840"/>
      <c r="U181" s="840"/>
      <c r="V181" s="840"/>
      <c r="W181" s="840"/>
      <c r="X181" s="840"/>
      <c r="Y181" s="840"/>
      <c r="Z181" s="840"/>
      <c r="AA181" s="840"/>
      <c r="AB181" s="840"/>
      <c r="AC181" s="840"/>
    </row>
    <row r="182" ht="15.75" customHeight="1">
      <c r="A182" s="876"/>
      <c r="B182" s="321"/>
      <c r="C182" s="321"/>
      <c r="D182" s="321"/>
      <c r="E182" s="321"/>
      <c r="F182" s="848"/>
      <c r="G182" s="429"/>
      <c r="H182" s="849"/>
      <c r="I182" s="428"/>
      <c r="J182" s="429"/>
      <c r="K182" s="428"/>
      <c r="L182" s="430"/>
      <c r="M182" s="431"/>
      <c r="N182" s="431"/>
      <c r="O182" s="844"/>
      <c r="P182" s="840"/>
      <c r="Q182" s="840"/>
      <c r="R182" s="840"/>
      <c r="S182" s="840"/>
      <c r="T182" s="840"/>
      <c r="U182" s="840"/>
      <c r="V182" s="840"/>
      <c r="W182" s="840"/>
      <c r="X182" s="840"/>
      <c r="Y182" s="840"/>
      <c r="Z182" s="840"/>
      <c r="AA182" s="840"/>
      <c r="AB182" s="840"/>
      <c r="AC182" s="840"/>
    </row>
    <row r="183" ht="15.75" customHeight="1">
      <c r="A183" s="876"/>
      <c r="B183" s="321"/>
      <c r="C183" s="321"/>
      <c r="D183" s="321"/>
      <c r="E183" s="321"/>
      <c r="F183" s="848"/>
      <c r="G183" s="429"/>
      <c r="H183" s="849"/>
      <c r="I183" s="428"/>
      <c r="J183" s="429"/>
      <c r="K183" s="428"/>
      <c r="L183" s="430"/>
      <c r="M183" s="431"/>
      <c r="N183" s="431"/>
      <c r="O183" s="844"/>
      <c r="P183" s="840"/>
      <c r="Q183" s="840"/>
      <c r="R183" s="840"/>
      <c r="S183" s="840"/>
      <c r="T183" s="840"/>
      <c r="U183" s="840"/>
      <c r="V183" s="840"/>
      <c r="W183" s="840"/>
      <c r="X183" s="840"/>
      <c r="Y183" s="840"/>
      <c r="Z183" s="840"/>
      <c r="AA183" s="840"/>
      <c r="AB183" s="840"/>
      <c r="AC183" s="840"/>
    </row>
    <row r="184" ht="15.75" customHeight="1">
      <c r="A184" s="876"/>
      <c r="B184" s="321"/>
      <c r="C184" s="321"/>
      <c r="D184" s="321"/>
      <c r="E184" s="321"/>
      <c r="F184" s="848"/>
      <c r="G184" s="429"/>
      <c r="H184" s="849"/>
      <c r="I184" s="428"/>
      <c r="J184" s="429"/>
      <c r="K184" s="428"/>
      <c r="L184" s="430"/>
      <c r="M184" s="431"/>
      <c r="N184" s="431"/>
      <c r="O184" s="844"/>
      <c r="P184" s="840"/>
      <c r="Q184" s="840"/>
      <c r="R184" s="840"/>
      <c r="S184" s="840"/>
      <c r="T184" s="840"/>
      <c r="U184" s="840"/>
      <c r="V184" s="840"/>
      <c r="W184" s="840"/>
      <c r="X184" s="840"/>
      <c r="Y184" s="840"/>
      <c r="Z184" s="840"/>
      <c r="AA184" s="840"/>
      <c r="AB184" s="840"/>
      <c r="AC184" s="840"/>
    </row>
    <row r="185" ht="15.75" customHeight="1">
      <c r="A185" s="876"/>
      <c r="B185" s="321"/>
      <c r="C185" s="321"/>
      <c r="D185" s="321"/>
      <c r="E185" s="321"/>
      <c r="F185" s="848"/>
      <c r="G185" s="429"/>
      <c r="H185" s="849"/>
      <c r="I185" s="428"/>
      <c r="J185" s="429"/>
      <c r="K185" s="428"/>
      <c r="L185" s="430"/>
      <c r="M185" s="431"/>
      <c r="N185" s="431"/>
      <c r="O185" s="844"/>
      <c r="P185" s="840"/>
      <c r="Q185" s="840"/>
      <c r="R185" s="840"/>
      <c r="S185" s="840"/>
      <c r="T185" s="840"/>
      <c r="U185" s="840"/>
      <c r="V185" s="840"/>
      <c r="W185" s="840"/>
      <c r="X185" s="840"/>
      <c r="Y185" s="840"/>
      <c r="Z185" s="840"/>
      <c r="AA185" s="840"/>
      <c r="AB185" s="840"/>
      <c r="AC185" s="840"/>
    </row>
    <row r="186" ht="15.75" customHeight="1">
      <c r="A186" s="876"/>
      <c r="B186" s="321"/>
      <c r="C186" s="321"/>
      <c r="D186" s="321"/>
      <c r="E186" s="321"/>
      <c r="F186" s="848"/>
      <c r="G186" s="429"/>
      <c r="H186" s="849"/>
      <c r="I186" s="428"/>
      <c r="J186" s="429"/>
      <c r="K186" s="428"/>
      <c r="L186" s="430"/>
      <c r="M186" s="431"/>
      <c r="N186" s="431"/>
      <c r="O186" s="844"/>
      <c r="P186" s="840"/>
      <c r="Q186" s="840"/>
      <c r="R186" s="840"/>
      <c r="S186" s="840"/>
      <c r="T186" s="840"/>
      <c r="U186" s="840"/>
      <c r="V186" s="840"/>
      <c r="W186" s="840"/>
      <c r="X186" s="840"/>
      <c r="Y186" s="840"/>
      <c r="Z186" s="840"/>
      <c r="AA186" s="840"/>
      <c r="AB186" s="840"/>
      <c r="AC186" s="840"/>
    </row>
    <row r="187" ht="15.75" customHeight="1">
      <c r="A187" s="876"/>
      <c r="B187" s="321"/>
      <c r="C187" s="321"/>
      <c r="D187" s="321"/>
      <c r="E187" s="321"/>
      <c r="F187" s="848"/>
      <c r="G187" s="429"/>
      <c r="H187" s="849"/>
      <c r="I187" s="428"/>
      <c r="J187" s="429"/>
      <c r="K187" s="428"/>
      <c r="L187" s="430"/>
      <c r="M187" s="431"/>
      <c r="N187" s="431"/>
      <c r="O187" s="844"/>
      <c r="P187" s="840"/>
      <c r="Q187" s="840"/>
      <c r="R187" s="840"/>
      <c r="S187" s="840"/>
      <c r="T187" s="840"/>
      <c r="U187" s="840"/>
      <c r="V187" s="840"/>
      <c r="W187" s="840"/>
      <c r="X187" s="840"/>
      <c r="Y187" s="840"/>
      <c r="Z187" s="840"/>
      <c r="AA187" s="840"/>
      <c r="AB187" s="840"/>
      <c r="AC187" s="840"/>
    </row>
    <row r="188" ht="15.75" customHeight="1">
      <c r="A188" s="876"/>
      <c r="B188" s="321"/>
      <c r="C188" s="321"/>
      <c r="D188" s="321"/>
      <c r="E188" s="321"/>
      <c r="F188" s="848"/>
      <c r="G188" s="429"/>
      <c r="H188" s="849"/>
      <c r="I188" s="428"/>
      <c r="J188" s="429"/>
      <c r="K188" s="428"/>
      <c r="L188" s="430"/>
      <c r="M188" s="431"/>
      <c r="N188" s="431"/>
      <c r="O188" s="844"/>
      <c r="P188" s="840"/>
      <c r="Q188" s="840"/>
      <c r="R188" s="840"/>
      <c r="S188" s="840"/>
      <c r="T188" s="840"/>
      <c r="U188" s="840"/>
      <c r="V188" s="840"/>
      <c r="W188" s="840"/>
      <c r="X188" s="840"/>
      <c r="Y188" s="840"/>
      <c r="Z188" s="840"/>
      <c r="AA188" s="840"/>
      <c r="AB188" s="840"/>
      <c r="AC188" s="840"/>
    </row>
    <row r="189" ht="15.75" customHeight="1">
      <c r="A189" s="876"/>
      <c r="B189" s="321"/>
      <c r="C189" s="321"/>
      <c r="D189" s="321"/>
      <c r="E189" s="321"/>
      <c r="F189" s="848"/>
      <c r="G189" s="429"/>
      <c r="H189" s="849"/>
      <c r="I189" s="428"/>
      <c r="J189" s="429"/>
      <c r="K189" s="428"/>
      <c r="L189" s="430"/>
      <c r="M189" s="431"/>
      <c r="N189" s="431"/>
      <c r="O189" s="844"/>
      <c r="P189" s="840"/>
      <c r="Q189" s="840"/>
      <c r="R189" s="840"/>
      <c r="S189" s="840"/>
      <c r="T189" s="840"/>
      <c r="U189" s="840"/>
      <c r="V189" s="840"/>
      <c r="W189" s="840"/>
      <c r="X189" s="840"/>
      <c r="Y189" s="840"/>
      <c r="Z189" s="840"/>
      <c r="AA189" s="840"/>
      <c r="AB189" s="840"/>
      <c r="AC189" s="840"/>
    </row>
    <row r="190" ht="15.75" customHeight="1">
      <c r="A190" s="876"/>
      <c r="B190" s="321"/>
      <c r="C190" s="321"/>
      <c r="D190" s="321"/>
      <c r="E190" s="321"/>
      <c r="F190" s="848"/>
      <c r="G190" s="429"/>
      <c r="H190" s="849"/>
      <c r="I190" s="428"/>
      <c r="J190" s="429"/>
      <c r="K190" s="428"/>
      <c r="L190" s="430"/>
      <c r="M190" s="431"/>
      <c r="N190" s="431"/>
      <c r="O190" s="844"/>
      <c r="P190" s="840"/>
      <c r="Q190" s="840"/>
      <c r="R190" s="840"/>
      <c r="S190" s="840"/>
      <c r="T190" s="840"/>
      <c r="U190" s="840"/>
      <c r="V190" s="840"/>
      <c r="W190" s="840"/>
      <c r="X190" s="840"/>
      <c r="Y190" s="840"/>
      <c r="Z190" s="840"/>
      <c r="AA190" s="840"/>
      <c r="AB190" s="840"/>
      <c r="AC190" s="840"/>
    </row>
    <row r="191" ht="15.75" customHeight="1">
      <c r="A191" s="876"/>
      <c r="B191" s="321"/>
      <c r="C191" s="321"/>
      <c r="D191" s="321"/>
      <c r="E191" s="321"/>
      <c r="F191" s="848"/>
      <c r="G191" s="429"/>
      <c r="H191" s="849"/>
      <c r="I191" s="428"/>
      <c r="J191" s="429"/>
      <c r="K191" s="428"/>
      <c r="L191" s="430"/>
      <c r="M191" s="431"/>
      <c r="N191" s="431"/>
      <c r="O191" s="844"/>
      <c r="P191" s="840"/>
      <c r="Q191" s="840"/>
      <c r="R191" s="840"/>
      <c r="S191" s="840"/>
      <c r="T191" s="840"/>
      <c r="U191" s="840"/>
      <c r="V191" s="840"/>
      <c r="W191" s="840"/>
      <c r="X191" s="840"/>
      <c r="Y191" s="840"/>
      <c r="Z191" s="840"/>
      <c r="AA191" s="840"/>
      <c r="AB191" s="840"/>
      <c r="AC191" s="840"/>
    </row>
    <row r="192" ht="15.75" customHeight="1">
      <c r="A192" s="876"/>
      <c r="B192" s="321"/>
      <c r="C192" s="321"/>
      <c r="D192" s="321"/>
      <c r="E192" s="321"/>
      <c r="F192" s="848"/>
      <c r="G192" s="429"/>
      <c r="H192" s="849"/>
      <c r="I192" s="428"/>
      <c r="J192" s="429"/>
      <c r="K192" s="428"/>
      <c r="L192" s="430"/>
      <c r="M192" s="431"/>
      <c r="N192" s="431"/>
      <c r="O192" s="844"/>
      <c r="P192" s="840"/>
      <c r="Q192" s="840"/>
      <c r="R192" s="840"/>
      <c r="S192" s="840"/>
      <c r="T192" s="840"/>
      <c r="U192" s="840"/>
      <c r="V192" s="840"/>
      <c r="W192" s="840"/>
      <c r="X192" s="840"/>
      <c r="Y192" s="840"/>
      <c r="Z192" s="840"/>
      <c r="AA192" s="840"/>
      <c r="AB192" s="840"/>
      <c r="AC192" s="840"/>
    </row>
    <row r="193" ht="15.75" customHeight="1">
      <c r="A193" s="876"/>
      <c r="B193" s="321"/>
      <c r="C193" s="321"/>
      <c r="D193" s="321"/>
      <c r="E193" s="321"/>
      <c r="F193" s="848"/>
      <c r="G193" s="429"/>
      <c r="H193" s="849"/>
      <c r="I193" s="428"/>
      <c r="J193" s="429"/>
      <c r="K193" s="428"/>
      <c r="L193" s="430"/>
      <c r="M193" s="431"/>
      <c r="N193" s="431"/>
      <c r="O193" s="844"/>
      <c r="P193" s="840"/>
      <c r="Q193" s="840"/>
      <c r="R193" s="840"/>
      <c r="S193" s="840"/>
      <c r="T193" s="840"/>
      <c r="U193" s="840"/>
      <c r="V193" s="840"/>
      <c r="W193" s="840"/>
      <c r="X193" s="840"/>
      <c r="Y193" s="840"/>
      <c r="Z193" s="840"/>
      <c r="AA193" s="840"/>
      <c r="AB193" s="840"/>
      <c r="AC193" s="840"/>
    </row>
    <row r="194" ht="15.75" customHeight="1">
      <c r="A194" s="876"/>
      <c r="B194" s="321"/>
      <c r="C194" s="321"/>
      <c r="D194" s="321"/>
      <c r="E194" s="321"/>
      <c r="F194" s="848"/>
      <c r="G194" s="429"/>
      <c r="H194" s="849"/>
      <c r="I194" s="428"/>
      <c r="J194" s="429"/>
      <c r="K194" s="428"/>
      <c r="L194" s="430"/>
      <c r="M194" s="431"/>
      <c r="N194" s="431"/>
      <c r="O194" s="844"/>
      <c r="P194" s="840"/>
      <c r="Q194" s="840"/>
      <c r="R194" s="840"/>
      <c r="S194" s="840"/>
      <c r="T194" s="840"/>
      <c r="U194" s="840"/>
      <c r="V194" s="840"/>
      <c r="W194" s="840"/>
      <c r="X194" s="840"/>
      <c r="Y194" s="840"/>
      <c r="Z194" s="840"/>
      <c r="AA194" s="840"/>
      <c r="AB194" s="840"/>
      <c r="AC194" s="840"/>
    </row>
    <row r="195" ht="15.75" customHeight="1">
      <c r="A195" s="876"/>
      <c r="B195" s="321"/>
      <c r="C195" s="321"/>
      <c r="D195" s="321"/>
      <c r="E195" s="321"/>
      <c r="F195" s="848"/>
      <c r="G195" s="429"/>
      <c r="H195" s="849"/>
      <c r="I195" s="428"/>
      <c r="J195" s="429"/>
      <c r="K195" s="428"/>
      <c r="L195" s="430"/>
      <c r="M195" s="431"/>
      <c r="N195" s="431"/>
      <c r="O195" s="844"/>
      <c r="P195" s="840"/>
      <c r="Q195" s="840"/>
      <c r="R195" s="840"/>
      <c r="S195" s="840"/>
      <c r="T195" s="840"/>
      <c r="U195" s="840"/>
      <c r="V195" s="840"/>
      <c r="W195" s="840"/>
      <c r="X195" s="840"/>
      <c r="Y195" s="840"/>
      <c r="Z195" s="840"/>
      <c r="AA195" s="840"/>
      <c r="AB195" s="840"/>
      <c r="AC195" s="840"/>
    </row>
    <row r="196" ht="15.75" customHeight="1">
      <c r="A196" s="876"/>
      <c r="B196" s="321"/>
      <c r="C196" s="321"/>
      <c r="D196" s="321"/>
      <c r="E196" s="321"/>
      <c r="F196" s="848"/>
      <c r="G196" s="429"/>
      <c r="H196" s="849"/>
      <c r="I196" s="428"/>
      <c r="J196" s="429"/>
      <c r="K196" s="428"/>
      <c r="L196" s="430"/>
      <c r="M196" s="431"/>
      <c r="N196" s="431"/>
      <c r="O196" s="844"/>
      <c r="P196" s="840"/>
      <c r="Q196" s="840"/>
      <c r="R196" s="840"/>
      <c r="S196" s="840"/>
      <c r="T196" s="840"/>
      <c r="U196" s="840"/>
      <c r="V196" s="840"/>
      <c r="W196" s="840"/>
      <c r="X196" s="840"/>
      <c r="Y196" s="840"/>
      <c r="Z196" s="840"/>
      <c r="AA196" s="840"/>
      <c r="AB196" s="840"/>
      <c r="AC196" s="840"/>
    </row>
    <row r="197" ht="15.75" customHeight="1">
      <c r="A197" s="876"/>
      <c r="B197" s="321"/>
      <c r="C197" s="321"/>
      <c r="D197" s="321"/>
      <c r="E197" s="321"/>
      <c r="F197" s="848"/>
      <c r="G197" s="429"/>
      <c r="H197" s="849"/>
      <c r="I197" s="428"/>
      <c r="J197" s="429"/>
      <c r="K197" s="428"/>
      <c r="L197" s="430"/>
      <c r="M197" s="431"/>
      <c r="N197" s="431"/>
      <c r="O197" s="844"/>
      <c r="P197" s="840"/>
      <c r="Q197" s="840"/>
      <c r="R197" s="840"/>
      <c r="S197" s="840"/>
      <c r="T197" s="840"/>
      <c r="U197" s="840"/>
      <c r="V197" s="840"/>
      <c r="W197" s="840"/>
      <c r="X197" s="840"/>
      <c r="Y197" s="840"/>
      <c r="Z197" s="840"/>
      <c r="AA197" s="840"/>
      <c r="AB197" s="840"/>
      <c r="AC197" s="840"/>
    </row>
    <row r="198" ht="15.75" customHeight="1">
      <c r="A198" s="876"/>
      <c r="B198" s="321"/>
      <c r="C198" s="321"/>
      <c r="D198" s="321"/>
      <c r="E198" s="321"/>
      <c r="F198" s="848"/>
      <c r="G198" s="429"/>
      <c r="H198" s="849"/>
      <c r="I198" s="428"/>
      <c r="J198" s="429"/>
      <c r="K198" s="428"/>
      <c r="L198" s="430"/>
      <c r="M198" s="431"/>
      <c r="N198" s="431"/>
      <c r="O198" s="844"/>
      <c r="P198" s="840"/>
      <c r="Q198" s="840"/>
      <c r="R198" s="840"/>
      <c r="S198" s="840"/>
      <c r="T198" s="840"/>
      <c r="U198" s="840"/>
      <c r="V198" s="840"/>
      <c r="W198" s="840"/>
      <c r="X198" s="840"/>
      <c r="Y198" s="840"/>
      <c r="Z198" s="840"/>
      <c r="AA198" s="840"/>
      <c r="AB198" s="840"/>
      <c r="AC198" s="840"/>
    </row>
    <row r="199" ht="15.75" customHeight="1">
      <c r="A199" s="876"/>
      <c r="B199" s="321"/>
      <c r="C199" s="321"/>
      <c r="D199" s="321"/>
      <c r="E199" s="321"/>
      <c r="F199" s="848"/>
      <c r="G199" s="429"/>
      <c r="H199" s="849"/>
      <c r="I199" s="428"/>
      <c r="J199" s="429"/>
      <c r="K199" s="428"/>
      <c r="L199" s="430"/>
      <c r="M199" s="431"/>
      <c r="N199" s="431"/>
      <c r="O199" s="844"/>
      <c r="P199" s="840"/>
      <c r="Q199" s="840"/>
      <c r="R199" s="840"/>
      <c r="S199" s="840"/>
      <c r="T199" s="840"/>
      <c r="U199" s="840"/>
      <c r="V199" s="840"/>
      <c r="W199" s="840"/>
      <c r="X199" s="840"/>
      <c r="Y199" s="840"/>
      <c r="Z199" s="840"/>
      <c r="AA199" s="840"/>
      <c r="AB199" s="840"/>
      <c r="AC199" s="840"/>
    </row>
    <row r="200" ht="15.75" customHeight="1">
      <c r="A200" s="876"/>
      <c r="B200" s="321"/>
      <c r="C200" s="321"/>
      <c r="D200" s="321"/>
      <c r="E200" s="321"/>
      <c r="F200" s="848"/>
      <c r="G200" s="429"/>
      <c r="H200" s="849"/>
      <c r="I200" s="428"/>
      <c r="J200" s="429"/>
      <c r="K200" s="428"/>
      <c r="L200" s="430"/>
      <c r="M200" s="431"/>
      <c r="N200" s="431"/>
      <c r="O200" s="844"/>
      <c r="P200" s="840"/>
      <c r="Q200" s="840"/>
      <c r="R200" s="840"/>
      <c r="S200" s="840"/>
      <c r="T200" s="840"/>
      <c r="U200" s="840"/>
      <c r="V200" s="840"/>
      <c r="W200" s="840"/>
      <c r="X200" s="840"/>
      <c r="Y200" s="840"/>
      <c r="Z200" s="840"/>
      <c r="AA200" s="840"/>
      <c r="AB200" s="840"/>
      <c r="AC200" s="840"/>
    </row>
    <row r="201" ht="15.75" customHeight="1">
      <c r="A201" s="876"/>
      <c r="B201" s="321"/>
      <c r="C201" s="321"/>
      <c r="D201" s="321"/>
      <c r="E201" s="321"/>
      <c r="F201" s="848"/>
      <c r="G201" s="429"/>
      <c r="H201" s="849"/>
      <c r="I201" s="428"/>
      <c r="J201" s="429"/>
      <c r="K201" s="428"/>
      <c r="L201" s="430"/>
      <c r="M201" s="431"/>
      <c r="N201" s="431"/>
      <c r="O201" s="844"/>
      <c r="P201" s="840"/>
      <c r="Q201" s="840"/>
      <c r="R201" s="840"/>
      <c r="S201" s="840"/>
      <c r="T201" s="840"/>
      <c r="U201" s="840"/>
      <c r="V201" s="840"/>
      <c r="W201" s="840"/>
      <c r="X201" s="840"/>
      <c r="Y201" s="840"/>
      <c r="Z201" s="840"/>
      <c r="AA201" s="840"/>
      <c r="AB201" s="840"/>
      <c r="AC201" s="840"/>
    </row>
    <row r="202" ht="15.75" customHeight="1">
      <c r="A202" s="876"/>
      <c r="B202" s="321"/>
      <c r="C202" s="321"/>
      <c r="D202" s="321"/>
      <c r="E202" s="321"/>
      <c r="F202" s="848"/>
      <c r="G202" s="429"/>
      <c r="H202" s="849"/>
      <c r="I202" s="428"/>
      <c r="J202" s="429"/>
      <c r="K202" s="428"/>
      <c r="L202" s="430"/>
      <c r="M202" s="431"/>
      <c r="N202" s="431"/>
      <c r="O202" s="844"/>
      <c r="P202" s="840"/>
      <c r="Q202" s="840"/>
      <c r="R202" s="840"/>
      <c r="S202" s="840"/>
      <c r="T202" s="840"/>
      <c r="U202" s="840"/>
      <c r="V202" s="840"/>
      <c r="W202" s="840"/>
      <c r="X202" s="840"/>
      <c r="Y202" s="840"/>
      <c r="Z202" s="840"/>
      <c r="AA202" s="840"/>
      <c r="AB202" s="840"/>
      <c r="AC202" s="840"/>
    </row>
    <row r="203" ht="15.75" customHeight="1">
      <c r="A203" s="876"/>
      <c r="B203" s="321"/>
      <c r="C203" s="321"/>
      <c r="D203" s="321"/>
      <c r="E203" s="321"/>
      <c r="F203" s="848"/>
      <c r="G203" s="429"/>
      <c r="H203" s="849"/>
      <c r="I203" s="428"/>
      <c r="J203" s="429"/>
      <c r="K203" s="428"/>
      <c r="L203" s="430"/>
      <c r="M203" s="431"/>
      <c r="N203" s="431"/>
      <c r="O203" s="844"/>
      <c r="P203" s="840"/>
      <c r="Q203" s="840"/>
      <c r="R203" s="840"/>
      <c r="S203" s="840"/>
      <c r="T203" s="840"/>
      <c r="U203" s="840"/>
      <c r="V203" s="840"/>
      <c r="W203" s="840"/>
      <c r="X203" s="840"/>
      <c r="Y203" s="840"/>
      <c r="Z203" s="840"/>
      <c r="AA203" s="840"/>
      <c r="AB203" s="840"/>
      <c r="AC203" s="840"/>
    </row>
    <row r="204" ht="15.75" customHeight="1">
      <c r="A204" s="876"/>
      <c r="B204" s="321"/>
      <c r="C204" s="321"/>
      <c r="D204" s="321"/>
      <c r="E204" s="321"/>
      <c r="F204" s="848"/>
      <c r="G204" s="429"/>
      <c r="H204" s="849"/>
      <c r="I204" s="428"/>
      <c r="J204" s="429"/>
      <c r="K204" s="428"/>
      <c r="L204" s="430"/>
      <c r="M204" s="431"/>
      <c r="N204" s="431"/>
      <c r="O204" s="844"/>
      <c r="P204" s="840"/>
      <c r="Q204" s="840"/>
      <c r="R204" s="840"/>
      <c r="S204" s="840"/>
      <c r="T204" s="840"/>
      <c r="U204" s="840"/>
      <c r="V204" s="840"/>
      <c r="W204" s="840"/>
      <c r="X204" s="840"/>
      <c r="Y204" s="840"/>
      <c r="Z204" s="840"/>
      <c r="AA204" s="840"/>
      <c r="AB204" s="840"/>
      <c r="AC204" s="840"/>
    </row>
    <row r="205" ht="15.75" customHeight="1">
      <c r="A205" s="876"/>
      <c r="B205" s="321"/>
      <c r="C205" s="321"/>
      <c r="D205" s="321"/>
      <c r="E205" s="321"/>
      <c r="F205" s="848"/>
      <c r="G205" s="429"/>
      <c r="H205" s="849"/>
      <c r="I205" s="428"/>
      <c r="J205" s="429"/>
      <c r="K205" s="428"/>
      <c r="L205" s="430"/>
      <c r="M205" s="431"/>
      <c r="N205" s="431"/>
      <c r="O205" s="844"/>
      <c r="P205" s="840"/>
      <c r="Q205" s="840"/>
      <c r="R205" s="840"/>
      <c r="S205" s="840"/>
      <c r="T205" s="840"/>
      <c r="U205" s="840"/>
      <c r="V205" s="840"/>
      <c r="W205" s="840"/>
      <c r="X205" s="840"/>
      <c r="Y205" s="840"/>
      <c r="Z205" s="840"/>
      <c r="AA205" s="840"/>
      <c r="AB205" s="840"/>
      <c r="AC205" s="840"/>
    </row>
    <row r="206" ht="15.75" customHeight="1">
      <c r="A206" s="876"/>
      <c r="B206" s="321"/>
      <c r="C206" s="321"/>
      <c r="D206" s="321"/>
      <c r="E206" s="321"/>
      <c r="F206" s="848"/>
      <c r="G206" s="429"/>
      <c r="H206" s="849"/>
      <c r="I206" s="428"/>
      <c r="J206" s="429"/>
      <c r="K206" s="428"/>
      <c r="L206" s="430"/>
      <c r="M206" s="431"/>
      <c r="N206" s="431"/>
      <c r="O206" s="844"/>
      <c r="P206" s="840"/>
      <c r="Q206" s="840"/>
      <c r="R206" s="840"/>
      <c r="S206" s="840"/>
      <c r="T206" s="840"/>
      <c r="U206" s="840"/>
      <c r="V206" s="840"/>
      <c r="W206" s="840"/>
      <c r="X206" s="840"/>
      <c r="Y206" s="840"/>
      <c r="Z206" s="840"/>
      <c r="AA206" s="840"/>
      <c r="AB206" s="840"/>
      <c r="AC206" s="840"/>
    </row>
    <row r="207" ht="15.75" customHeight="1">
      <c r="A207" s="876"/>
      <c r="B207" s="321"/>
      <c r="C207" s="321"/>
      <c r="D207" s="321"/>
      <c r="E207" s="321"/>
      <c r="F207" s="848"/>
      <c r="G207" s="429"/>
      <c r="H207" s="849"/>
      <c r="I207" s="428"/>
      <c r="J207" s="429"/>
      <c r="K207" s="428"/>
      <c r="L207" s="430"/>
      <c r="M207" s="431"/>
      <c r="N207" s="431"/>
      <c r="O207" s="844"/>
      <c r="P207" s="840"/>
      <c r="Q207" s="840"/>
      <c r="R207" s="840"/>
      <c r="S207" s="840"/>
      <c r="T207" s="840"/>
      <c r="U207" s="840"/>
      <c r="V207" s="840"/>
      <c r="W207" s="840"/>
      <c r="X207" s="840"/>
      <c r="Y207" s="840"/>
      <c r="Z207" s="840"/>
      <c r="AA207" s="840"/>
      <c r="AB207" s="840"/>
      <c r="AC207" s="840"/>
    </row>
    <row r="208" ht="15.75" customHeight="1">
      <c r="A208" s="876"/>
      <c r="B208" s="321"/>
      <c r="C208" s="321"/>
      <c r="D208" s="321"/>
      <c r="E208" s="321"/>
      <c r="F208" s="848"/>
      <c r="G208" s="429"/>
      <c r="H208" s="849"/>
      <c r="I208" s="428"/>
      <c r="J208" s="429"/>
      <c r="K208" s="428"/>
      <c r="L208" s="430"/>
      <c r="M208" s="431"/>
      <c r="N208" s="431"/>
      <c r="O208" s="844"/>
      <c r="P208" s="840"/>
      <c r="Q208" s="840"/>
      <c r="R208" s="840"/>
      <c r="S208" s="840"/>
      <c r="T208" s="840"/>
      <c r="U208" s="840"/>
      <c r="V208" s="840"/>
      <c r="W208" s="840"/>
      <c r="X208" s="840"/>
      <c r="Y208" s="840"/>
      <c r="Z208" s="840"/>
      <c r="AA208" s="840"/>
      <c r="AB208" s="840"/>
      <c r="AC208" s="840"/>
    </row>
    <row r="209" ht="15.75" customHeight="1">
      <c r="A209" s="876"/>
      <c r="B209" s="321"/>
      <c r="C209" s="321"/>
      <c r="D209" s="321"/>
      <c r="E209" s="321"/>
      <c r="F209" s="848"/>
      <c r="G209" s="429"/>
      <c r="H209" s="849"/>
      <c r="I209" s="428"/>
      <c r="J209" s="429"/>
      <c r="K209" s="428"/>
      <c r="L209" s="430"/>
      <c r="M209" s="431"/>
      <c r="N209" s="431"/>
      <c r="O209" s="844"/>
      <c r="P209" s="840"/>
      <c r="Q209" s="840"/>
      <c r="R209" s="840"/>
      <c r="S209" s="840"/>
      <c r="T209" s="840"/>
      <c r="U209" s="840"/>
      <c r="V209" s="840"/>
      <c r="W209" s="840"/>
      <c r="X209" s="840"/>
      <c r="Y209" s="840"/>
      <c r="Z209" s="840"/>
      <c r="AA209" s="840"/>
      <c r="AB209" s="840"/>
      <c r="AC209" s="840"/>
    </row>
    <row r="210" ht="15.75" customHeight="1">
      <c r="A210" s="876"/>
      <c r="B210" s="321"/>
      <c r="C210" s="321"/>
      <c r="D210" s="321"/>
      <c r="E210" s="321"/>
      <c r="F210" s="848"/>
      <c r="G210" s="429"/>
      <c r="H210" s="849"/>
      <c r="I210" s="428"/>
      <c r="J210" s="429"/>
      <c r="K210" s="428"/>
      <c r="L210" s="430"/>
      <c r="M210" s="431"/>
      <c r="N210" s="431"/>
      <c r="O210" s="844"/>
      <c r="P210" s="840"/>
      <c r="Q210" s="840"/>
      <c r="R210" s="840"/>
      <c r="S210" s="840"/>
      <c r="T210" s="840"/>
      <c r="U210" s="840"/>
      <c r="V210" s="840"/>
      <c r="W210" s="840"/>
      <c r="X210" s="840"/>
      <c r="Y210" s="840"/>
      <c r="Z210" s="840"/>
      <c r="AA210" s="840"/>
      <c r="AB210" s="840"/>
      <c r="AC210" s="840"/>
    </row>
    <row r="211" ht="15.75" customHeight="1">
      <c r="A211" s="876"/>
      <c r="B211" s="321"/>
      <c r="C211" s="321"/>
      <c r="D211" s="321"/>
      <c r="E211" s="321"/>
      <c r="F211" s="848"/>
      <c r="G211" s="429"/>
      <c r="H211" s="849"/>
      <c r="I211" s="428"/>
      <c r="J211" s="429"/>
      <c r="K211" s="428"/>
      <c r="L211" s="430"/>
      <c r="M211" s="431"/>
      <c r="N211" s="431"/>
      <c r="O211" s="844"/>
      <c r="P211" s="840"/>
      <c r="Q211" s="840"/>
      <c r="R211" s="840"/>
      <c r="S211" s="840"/>
      <c r="T211" s="840"/>
      <c r="U211" s="840"/>
      <c r="V211" s="840"/>
      <c r="W211" s="840"/>
      <c r="X211" s="840"/>
      <c r="Y211" s="840"/>
      <c r="Z211" s="840"/>
      <c r="AA211" s="840"/>
      <c r="AB211" s="840"/>
      <c r="AC211" s="840"/>
    </row>
    <row r="212" ht="15.75" customHeight="1">
      <c r="A212" s="876"/>
      <c r="B212" s="321"/>
      <c r="C212" s="321"/>
      <c r="D212" s="321"/>
      <c r="E212" s="321"/>
      <c r="F212" s="848"/>
      <c r="G212" s="429"/>
      <c r="H212" s="849"/>
      <c r="I212" s="428"/>
      <c r="J212" s="429"/>
      <c r="K212" s="428"/>
      <c r="L212" s="430"/>
      <c r="M212" s="431"/>
      <c r="N212" s="431"/>
      <c r="O212" s="844"/>
      <c r="P212" s="840"/>
      <c r="Q212" s="840"/>
      <c r="R212" s="840"/>
      <c r="S212" s="840"/>
      <c r="T212" s="840"/>
      <c r="U212" s="840"/>
      <c r="V212" s="840"/>
      <c r="W212" s="840"/>
      <c r="X212" s="840"/>
      <c r="Y212" s="840"/>
      <c r="Z212" s="840"/>
      <c r="AA212" s="840"/>
      <c r="AB212" s="840"/>
      <c r="AC212" s="840"/>
    </row>
    <row r="213" ht="15.75" customHeight="1">
      <c r="A213" s="876"/>
      <c r="B213" s="321"/>
      <c r="C213" s="321"/>
      <c r="D213" s="321"/>
      <c r="E213" s="321"/>
      <c r="F213" s="848"/>
      <c r="G213" s="429"/>
      <c r="H213" s="849"/>
      <c r="I213" s="428"/>
      <c r="J213" s="429"/>
      <c r="K213" s="428"/>
      <c r="L213" s="430"/>
      <c r="M213" s="431"/>
      <c r="N213" s="431"/>
      <c r="O213" s="844"/>
      <c r="P213" s="840"/>
      <c r="Q213" s="840"/>
      <c r="R213" s="840"/>
      <c r="S213" s="840"/>
      <c r="T213" s="840"/>
      <c r="U213" s="840"/>
      <c r="V213" s="840"/>
      <c r="W213" s="840"/>
      <c r="X213" s="840"/>
      <c r="Y213" s="840"/>
      <c r="Z213" s="840"/>
      <c r="AA213" s="840"/>
      <c r="AB213" s="840"/>
      <c r="AC213" s="840"/>
    </row>
    <row r="214" ht="15.75" customHeight="1">
      <c r="A214" s="876"/>
      <c r="B214" s="321"/>
      <c r="C214" s="321"/>
      <c r="D214" s="321"/>
      <c r="E214" s="321"/>
      <c r="F214" s="848"/>
      <c r="G214" s="429"/>
      <c r="H214" s="849"/>
      <c r="I214" s="428"/>
      <c r="J214" s="429"/>
      <c r="K214" s="428"/>
      <c r="L214" s="430"/>
      <c r="M214" s="431"/>
      <c r="N214" s="431"/>
      <c r="O214" s="844"/>
      <c r="P214" s="840"/>
      <c r="Q214" s="840"/>
      <c r="R214" s="840"/>
      <c r="S214" s="840"/>
      <c r="T214" s="840"/>
      <c r="U214" s="840"/>
      <c r="V214" s="840"/>
      <c r="W214" s="840"/>
      <c r="X214" s="840"/>
      <c r="Y214" s="840"/>
      <c r="Z214" s="840"/>
      <c r="AA214" s="840"/>
      <c r="AB214" s="840"/>
      <c r="AC214" s="840"/>
    </row>
    <row r="215" ht="15.75" customHeight="1">
      <c r="A215" s="876"/>
      <c r="B215" s="321"/>
      <c r="C215" s="321"/>
      <c r="D215" s="321"/>
      <c r="E215" s="321"/>
      <c r="F215" s="848"/>
      <c r="G215" s="429"/>
      <c r="H215" s="849"/>
      <c r="I215" s="428"/>
      <c r="J215" s="429"/>
      <c r="K215" s="428"/>
      <c r="L215" s="430"/>
      <c r="M215" s="431"/>
      <c r="N215" s="431"/>
      <c r="O215" s="844"/>
      <c r="P215" s="840"/>
      <c r="Q215" s="840"/>
      <c r="R215" s="840"/>
      <c r="S215" s="840"/>
      <c r="T215" s="840"/>
      <c r="U215" s="840"/>
      <c r="V215" s="840"/>
      <c r="W215" s="840"/>
      <c r="X215" s="840"/>
      <c r="Y215" s="840"/>
      <c r="Z215" s="840"/>
      <c r="AA215" s="840"/>
      <c r="AB215" s="840"/>
      <c r="AC215" s="840"/>
    </row>
    <row r="216" ht="15.75" customHeight="1">
      <c r="A216" s="876"/>
      <c r="B216" s="321"/>
      <c r="C216" s="321"/>
      <c r="D216" s="321"/>
      <c r="E216" s="321"/>
      <c r="F216" s="848"/>
      <c r="G216" s="429"/>
      <c r="H216" s="849"/>
      <c r="I216" s="428"/>
      <c r="J216" s="429"/>
      <c r="K216" s="428"/>
      <c r="L216" s="430"/>
      <c r="M216" s="431"/>
      <c r="N216" s="431"/>
      <c r="O216" s="844"/>
      <c r="P216" s="840"/>
      <c r="Q216" s="840"/>
      <c r="R216" s="840"/>
      <c r="S216" s="840"/>
      <c r="T216" s="840"/>
      <c r="U216" s="840"/>
      <c r="V216" s="840"/>
      <c r="W216" s="840"/>
      <c r="X216" s="840"/>
      <c r="Y216" s="840"/>
      <c r="Z216" s="840"/>
      <c r="AA216" s="840"/>
      <c r="AB216" s="840"/>
      <c r="AC216" s="840"/>
    </row>
    <row r="217" ht="15.75" customHeight="1">
      <c r="A217" s="876"/>
      <c r="B217" s="321"/>
      <c r="C217" s="321"/>
      <c r="D217" s="321"/>
      <c r="E217" s="321"/>
      <c r="F217" s="848"/>
      <c r="G217" s="429"/>
      <c r="H217" s="849"/>
      <c r="I217" s="428"/>
      <c r="J217" s="429"/>
      <c r="K217" s="428"/>
      <c r="L217" s="430"/>
      <c r="M217" s="431"/>
      <c r="N217" s="431"/>
      <c r="O217" s="844"/>
      <c r="P217" s="840"/>
      <c r="Q217" s="840"/>
      <c r="R217" s="840"/>
      <c r="S217" s="840"/>
      <c r="T217" s="840"/>
      <c r="U217" s="840"/>
      <c r="V217" s="840"/>
      <c r="W217" s="840"/>
      <c r="X217" s="840"/>
      <c r="Y217" s="840"/>
      <c r="Z217" s="840"/>
      <c r="AA217" s="840"/>
      <c r="AB217" s="840"/>
      <c r="AC217" s="840"/>
    </row>
    <row r="218" ht="15.75" customHeight="1">
      <c r="A218" s="876"/>
      <c r="B218" s="321"/>
      <c r="C218" s="321"/>
      <c r="D218" s="321"/>
      <c r="E218" s="321"/>
      <c r="F218" s="848"/>
      <c r="G218" s="429"/>
      <c r="H218" s="849"/>
      <c r="I218" s="428"/>
      <c r="J218" s="429"/>
      <c r="K218" s="428"/>
      <c r="L218" s="430"/>
      <c r="M218" s="431"/>
      <c r="N218" s="431"/>
      <c r="O218" s="844"/>
      <c r="P218" s="840"/>
      <c r="Q218" s="840"/>
      <c r="R218" s="840"/>
      <c r="S218" s="840"/>
      <c r="T218" s="840"/>
      <c r="U218" s="840"/>
      <c r="V218" s="840"/>
      <c r="W218" s="840"/>
      <c r="X218" s="840"/>
      <c r="Y218" s="840"/>
      <c r="Z218" s="840"/>
      <c r="AA218" s="840"/>
      <c r="AB218" s="840"/>
      <c r="AC218" s="840"/>
    </row>
    <row r="219" ht="15.75" customHeight="1">
      <c r="A219" s="876"/>
      <c r="B219" s="321"/>
      <c r="C219" s="321"/>
      <c r="D219" s="321"/>
      <c r="E219" s="321"/>
      <c r="F219" s="848"/>
      <c r="G219" s="429"/>
      <c r="H219" s="849"/>
      <c r="I219" s="428"/>
      <c r="J219" s="429"/>
      <c r="K219" s="428"/>
      <c r="L219" s="430"/>
      <c r="M219" s="431"/>
      <c r="N219" s="431"/>
      <c r="O219" s="844"/>
      <c r="P219" s="840"/>
      <c r="Q219" s="840"/>
      <c r="R219" s="840"/>
      <c r="S219" s="840"/>
      <c r="T219" s="840"/>
      <c r="U219" s="840"/>
      <c r="V219" s="840"/>
      <c r="W219" s="840"/>
      <c r="X219" s="840"/>
      <c r="Y219" s="840"/>
      <c r="Z219" s="840"/>
      <c r="AA219" s="840"/>
      <c r="AB219" s="840"/>
      <c r="AC219" s="840"/>
    </row>
    <row r="220" ht="15.75" customHeight="1">
      <c r="A220" s="876"/>
      <c r="B220" s="321"/>
      <c r="C220" s="321"/>
      <c r="D220" s="321"/>
      <c r="E220" s="321"/>
      <c r="F220" s="848"/>
      <c r="G220" s="429"/>
      <c r="H220" s="849"/>
      <c r="I220" s="428"/>
      <c r="J220" s="429"/>
      <c r="K220" s="428"/>
      <c r="L220" s="430"/>
      <c r="M220" s="431"/>
      <c r="N220" s="431"/>
      <c r="O220" s="844"/>
      <c r="P220" s="840"/>
      <c r="Q220" s="840"/>
      <c r="R220" s="840"/>
      <c r="S220" s="840"/>
      <c r="T220" s="840"/>
      <c r="U220" s="840"/>
      <c r="V220" s="840"/>
      <c r="W220" s="840"/>
      <c r="X220" s="840"/>
      <c r="Y220" s="840"/>
      <c r="Z220" s="840"/>
      <c r="AA220" s="840"/>
      <c r="AB220" s="840"/>
      <c r="AC220" s="840"/>
    </row>
    <row r="221" ht="15.75" customHeight="1">
      <c r="A221" s="876"/>
      <c r="B221" s="321"/>
      <c r="C221" s="321"/>
      <c r="D221" s="321"/>
      <c r="E221" s="321"/>
      <c r="F221" s="848"/>
      <c r="G221" s="429"/>
      <c r="H221" s="849"/>
      <c r="I221" s="428"/>
      <c r="J221" s="429"/>
      <c r="K221" s="428"/>
      <c r="L221" s="430"/>
      <c r="M221" s="431"/>
      <c r="N221" s="431"/>
      <c r="O221" s="844"/>
      <c r="P221" s="840"/>
      <c r="Q221" s="840"/>
      <c r="R221" s="840"/>
      <c r="S221" s="840"/>
      <c r="T221" s="840"/>
      <c r="U221" s="840"/>
      <c r="V221" s="840"/>
      <c r="W221" s="840"/>
      <c r="X221" s="840"/>
      <c r="Y221" s="840"/>
      <c r="Z221" s="840"/>
      <c r="AA221" s="840"/>
      <c r="AB221" s="840"/>
      <c r="AC221" s="840"/>
    </row>
    <row r="222" ht="15.75" customHeight="1">
      <c r="A222" s="876"/>
      <c r="B222" s="321"/>
      <c r="C222" s="321"/>
      <c r="D222" s="321"/>
      <c r="E222" s="321"/>
      <c r="F222" s="848"/>
      <c r="G222" s="429"/>
      <c r="H222" s="849"/>
      <c r="I222" s="428"/>
      <c r="J222" s="429"/>
      <c r="K222" s="428"/>
      <c r="L222" s="430"/>
      <c r="M222" s="431"/>
      <c r="N222" s="431"/>
      <c r="O222" s="844"/>
      <c r="P222" s="840"/>
      <c r="Q222" s="840"/>
      <c r="R222" s="840"/>
      <c r="S222" s="840"/>
      <c r="T222" s="840"/>
      <c r="U222" s="840"/>
      <c r="V222" s="840"/>
      <c r="W222" s="840"/>
      <c r="X222" s="840"/>
      <c r="Y222" s="840"/>
      <c r="Z222" s="840"/>
      <c r="AA222" s="840"/>
      <c r="AB222" s="840"/>
      <c r="AC222" s="840"/>
    </row>
    <row r="223" ht="15.75" customHeight="1">
      <c r="A223" s="876"/>
      <c r="B223" s="321"/>
      <c r="C223" s="321"/>
      <c r="D223" s="321"/>
      <c r="E223" s="321"/>
      <c r="F223" s="848"/>
      <c r="G223" s="429"/>
      <c r="H223" s="849"/>
      <c r="I223" s="428"/>
      <c r="J223" s="429"/>
      <c r="K223" s="428"/>
      <c r="L223" s="430"/>
      <c r="M223" s="431"/>
      <c r="N223" s="431"/>
      <c r="O223" s="844"/>
      <c r="P223" s="840"/>
      <c r="Q223" s="840"/>
      <c r="R223" s="840"/>
      <c r="S223" s="840"/>
      <c r="T223" s="840"/>
      <c r="U223" s="840"/>
      <c r="V223" s="840"/>
      <c r="W223" s="840"/>
      <c r="X223" s="840"/>
      <c r="Y223" s="840"/>
      <c r="Z223" s="840"/>
      <c r="AA223" s="840"/>
      <c r="AB223" s="840"/>
      <c r="AC223" s="840"/>
    </row>
    <row r="224" ht="15.75" customHeight="1">
      <c r="A224" s="876"/>
      <c r="B224" s="321"/>
      <c r="C224" s="321"/>
      <c r="D224" s="321"/>
      <c r="E224" s="321"/>
      <c r="F224" s="848"/>
      <c r="G224" s="429"/>
      <c r="H224" s="849"/>
      <c r="I224" s="428"/>
      <c r="J224" s="429"/>
      <c r="K224" s="428"/>
      <c r="L224" s="430"/>
      <c r="M224" s="431"/>
      <c r="N224" s="431"/>
      <c r="O224" s="844"/>
      <c r="P224" s="840"/>
      <c r="Q224" s="840"/>
      <c r="R224" s="840"/>
      <c r="S224" s="840"/>
      <c r="T224" s="840"/>
      <c r="U224" s="840"/>
      <c r="V224" s="840"/>
      <c r="W224" s="840"/>
      <c r="X224" s="840"/>
      <c r="Y224" s="840"/>
      <c r="Z224" s="840"/>
      <c r="AA224" s="840"/>
      <c r="AB224" s="840"/>
      <c r="AC224" s="840"/>
    </row>
    <row r="225" ht="15.75" customHeight="1">
      <c r="A225" s="876"/>
      <c r="B225" s="321"/>
      <c r="C225" s="321"/>
      <c r="D225" s="321"/>
      <c r="E225" s="321"/>
      <c r="F225" s="848"/>
      <c r="G225" s="429"/>
      <c r="H225" s="849"/>
      <c r="I225" s="428"/>
      <c r="J225" s="429"/>
      <c r="K225" s="428"/>
      <c r="L225" s="430"/>
      <c r="M225" s="431"/>
      <c r="N225" s="431"/>
      <c r="O225" s="844"/>
      <c r="P225" s="840"/>
      <c r="Q225" s="840"/>
      <c r="R225" s="840"/>
      <c r="S225" s="840"/>
      <c r="T225" s="840"/>
      <c r="U225" s="840"/>
      <c r="V225" s="840"/>
      <c r="W225" s="840"/>
      <c r="X225" s="840"/>
      <c r="Y225" s="840"/>
      <c r="Z225" s="840"/>
      <c r="AA225" s="840"/>
      <c r="AB225" s="840"/>
      <c r="AC225" s="840"/>
    </row>
    <row r="226" ht="15.75" customHeight="1">
      <c r="A226" s="876"/>
      <c r="B226" s="321"/>
      <c r="C226" s="321"/>
      <c r="D226" s="321"/>
      <c r="E226" s="321"/>
      <c r="F226" s="848"/>
      <c r="G226" s="429"/>
      <c r="H226" s="849"/>
      <c r="I226" s="428"/>
      <c r="J226" s="429"/>
      <c r="K226" s="428"/>
      <c r="L226" s="430"/>
      <c r="M226" s="431"/>
      <c r="N226" s="431"/>
      <c r="O226" s="844"/>
      <c r="P226" s="840"/>
      <c r="Q226" s="840"/>
      <c r="R226" s="840"/>
      <c r="S226" s="840"/>
      <c r="T226" s="840"/>
      <c r="U226" s="840"/>
      <c r="V226" s="840"/>
      <c r="W226" s="840"/>
      <c r="X226" s="840"/>
      <c r="Y226" s="840"/>
      <c r="Z226" s="840"/>
      <c r="AA226" s="840"/>
      <c r="AB226" s="840"/>
      <c r="AC226" s="840"/>
    </row>
    <row r="227" ht="15.75" customHeight="1">
      <c r="A227" s="876"/>
      <c r="B227" s="321"/>
      <c r="C227" s="321"/>
      <c r="D227" s="321"/>
      <c r="E227" s="321"/>
      <c r="F227" s="848"/>
      <c r="G227" s="429"/>
      <c r="H227" s="849"/>
      <c r="I227" s="428"/>
      <c r="J227" s="429"/>
      <c r="K227" s="428"/>
      <c r="L227" s="430"/>
      <c r="M227" s="431"/>
      <c r="N227" s="431"/>
      <c r="O227" s="844"/>
      <c r="P227" s="840"/>
      <c r="Q227" s="840"/>
      <c r="R227" s="840"/>
      <c r="S227" s="840"/>
      <c r="T227" s="840"/>
      <c r="U227" s="840"/>
      <c r="V227" s="840"/>
      <c r="W227" s="840"/>
      <c r="X227" s="840"/>
      <c r="Y227" s="840"/>
      <c r="Z227" s="840"/>
      <c r="AA227" s="840"/>
      <c r="AB227" s="840"/>
      <c r="AC227" s="840"/>
    </row>
    <row r="228" ht="15.75" customHeight="1">
      <c r="A228" s="876"/>
      <c r="B228" s="321"/>
      <c r="C228" s="321"/>
      <c r="D228" s="321"/>
      <c r="E228" s="321"/>
      <c r="F228" s="848"/>
      <c r="G228" s="429"/>
      <c r="H228" s="849"/>
      <c r="I228" s="428"/>
      <c r="J228" s="429"/>
      <c r="K228" s="428"/>
      <c r="L228" s="430"/>
      <c r="M228" s="431"/>
      <c r="N228" s="431"/>
      <c r="O228" s="844"/>
      <c r="P228" s="840"/>
      <c r="Q228" s="840"/>
      <c r="R228" s="840"/>
      <c r="S228" s="840"/>
      <c r="T228" s="840"/>
      <c r="U228" s="840"/>
      <c r="V228" s="840"/>
      <c r="W228" s="840"/>
      <c r="X228" s="840"/>
      <c r="Y228" s="840"/>
      <c r="Z228" s="840"/>
      <c r="AA228" s="840"/>
      <c r="AB228" s="840"/>
      <c r="AC228" s="840"/>
    </row>
    <row r="229" ht="15.75" customHeight="1">
      <c r="A229" s="876"/>
      <c r="B229" s="321"/>
      <c r="C229" s="321"/>
      <c r="D229" s="321"/>
      <c r="E229" s="321"/>
      <c r="F229" s="848"/>
      <c r="G229" s="429"/>
      <c r="H229" s="849"/>
      <c r="I229" s="428"/>
      <c r="J229" s="429"/>
      <c r="K229" s="428"/>
      <c r="L229" s="430"/>
      <c r="M229" s="431"/>
      <c r="N229" s="431"/>
      <c r="O229" s="844"/>
      <c r="P229" s="840"/>
      <c r="Q229" s="840"/>
      <c r="R229" s="840"/>
      <c r="S229" s="840"/>
      <c r="T229" s="840"/>
      <c r="U229" s="840"/>
      <c r="V229" s="840"/>
      <c r="W229" s="840"/>
      <c r="X229" s="840"/>
      <c r="Y229" s="840"/>
      <c r="Z229" s="840"/>
      <c r="AA229" s="840"/>
      <c r="AB229" s="840"/>
      <c r="AC229" s="840"/>
    </row>
    <row r="230" ht="15.75" customHeight="1">
      <c r="A230" s="876"/>
      <c r="B230" s="321"/>
      <c r="C230" s="321"/>
      <c r="D230" s="321"/>
      <c r="E230" s="321"/>
      <c r="F230" s="848"/>
      <c r="G230" s="429"/>
      <c r="H230" s="849"/>
      <c r="I230" s="428"/>
      <c r="J230" s="429"/>
      <c r="K230" s="428"/>
      <c r="L230" s="430"/>
      <c r="M230" s="431"/>
      <c r="N230" s="431"/>
      <c r="O230" s="844"/>
      <c r="P230" s="840"/>
      <c r="Q230" s="840"/>
      <c r="R230" s="840"/>
      <c r="S230" s="840"/>
      <c r="T230" s="840"/>
      <c r="U230" s="840"/>
      <c r="V230" s="840"/>
      <c r="W230" s="840"/>
      <c r="X230" s="840"/>
      <c r="Y230" s="840"/>
      <c r="Z230" s="840"/>
      <c r="AA230" s="840"/>
      <c r="AB230" s="840"/>
      <c r="AC230" s="840"/>
    </row>
    <row r="231" ht="15.75" customHeight="1">
      <c r="A231" s="876"/>
      <c r="B231" s="321"/>
      <c r="C231" s="321"/>
      <c r="D231" s="321"/>
      <c r="E231" s="321"/>
      <c r="F231" s="848"/>
      <c r="G231" s="429"/>
      <c r="H231" s="849"/>
      <c r="I231" s="428"/>
      <c r="J231" s="429"/>
      <c r="K231" s="428"/>
      <c r="L231" s="430"/>
      <c r="M231" s="431"/>
      <c r="N231" s="431"/>
      <c r="O231" s="844"/>
      <c r="P231" s="840"/>
      <c r="Q231" s="840"/>
      <c r="R231" s="840"/>
      <c r="S231" s="840"/>
      <c r="T231" s="840"/>
      <c r="U231" s="840"/>
      <c r="V231" s="840"/>
      <c r="W231" s="840"/>
      <c r="X231" s="840"/>
      <c r="Y231" s="840"/>
      <c r="Z231" s="840"/>
      <c r="AA231" s="840"/>
      <c r="AB231" s="840"/>
      <c r="AC231" s="840"/>
    </row>
    <row r="232" ht="15.75" customHeight="1">
      <c r="A232" s="876"/>
      <c r="B232" s="321"/>
      <c r="C232" s="321"/>
      <c r="D232" s="321"/>
      <c r="E232" s="321"/>
      <c r="F232" s="848"/>
      <c r="G232" s="429"/>
      <c r="H232" s="849"/>
      <c r="I232" s="428"/>
      <c r="J232" s="429"/>
      <c r="K232" s="428"/>
      <c r="L232" s="430"/>
      <c r="M232" s="431"/>
      <c r="N232" s="431"/>
      <c r="O232" s="844"/>
      <c r="P232" s="840"/>
      <c r="Q232" s="840"/>
      <c r="R232" s="840"/>
      <c r="S232" s="840"/>
      <c r="T232" s="840"/>
      <c r="U232" s="840"/>
      <c r="V232" s="840"/>
      <c r="W232" s="840"/>
      <c r="X232" s="840"/>
      <c r="Y232" s="840"/>
      <c r="Z232" s="840"/>
      <c r="AA232" s="840"/>
      <c r="AB232" s="840"/>
      <c r="AC232" s="840"/>
    </row>
    <row r="233" ht="15.75" customHeight="1">
      <c r="A233" s="876"/>
      <c r="B233" s="321"/>
      <c r="C233" s="321"/>
      <c r="D233" s="321"/>
      <c r="E233" s="321"/>
      <c r="F233" s="848"/>
      <c r="G233" s="429"/>
      <c r="H233" s="849"/>
      <c r="I233" s="428"/>
      <c r="J233" s="429"/>
      <c r="K233" s="428"/>
      <c r="L233" s="430"/>
      <c r="M233" s="431"/>
      <c r="N233" s="431"/>
      <c r="O233" s="844"/>
      <c r="P233" s="840"/>
      <c r="Q233" s="840"/>
      <c r="R233" s="840"/>
      <c r="S233" s="840"/>
      <c r="T233" s="840"/>
      <c r="U233" s="840"/>
      <c r="V233" s="840"/>
      <c r="W233" s="840"/>
      <c r="X233" s="840"/>
      <c r="Y233" s="840"/>
      <c r="Z233" s="840"/>
      <c r="AA233" s="840"/>
      <c r="AB233" s="840"/>
      <c r="AC233" s="840"/>
    </row>
    <row r="234" ht="15.75" customHeight="1">
      <c r="A234" s="876"/>
      <c r="B234" s="321"/>
      <c r="C234" s="321"/>
      <c r="D234" s="321"/>
      <c r="E234" s="321"/>
      <c r="F234" s="848"/>
      <c r="G234" s="429"/>
      <c r="H234" s="849"/>
      <c r="I234" s="428"/>
      <c r="J234" s="429"/>
      <c r="K234" s="428"/>
      <c r="L234" s="430"/>
      <c r="M234" s="431"/>
      <c r="N234" s="431"/>
      <c r="O234" s="844"/>
      <c r="P234" s="840"/>
      <c r="Q234" s="840"/>
      <c r="R234" s="840"/>
      <c r="S234" s="840"/>
      <c r="T234" s="840"/>
      <c r="U234" s="840"/>
      <c r="V234" s="840"/>
      <c r="W234" s="840"/>
      <c r="X234" s="840"/>
      <c r="Y234" s="840"/>
      <c r="Z234" s="840"/>
      <c r="AA234" s="840"/>
      <c r="AB234" s="840"/>
      <c r="AC234" s="840"/>
    </row>
    <row r="235" ht="15.75" customHeight="1">
      <c r="A235" s="876"/>
      <c r="B235" s="321"/>
      <c r="C235" s="321"/>
      <c r="D235" s="321"/>
      <c r="E235" s="321"/>
      <c r="F235" s="848"/>
      <c r="G235" s="429"/>
      <c r="H235" s="849"/>
      <c r="I235" s="428"/>
      <c r="J235" s="429"/>
      <c r="K235" s="428"/>
      <c r="L235" s="430"/>
      <c r="M235" s="431"/>
      <c r="N235" s="431"/>
      <c r="O235" s="844"/>
      <c r="P235" s="840"/>
      <c r="Q235" s="840"/>
      <c r="R235" s="840"/>
      <c r="S235" s="840"/>
      <c r="T235" s="840"/>
      <c r="U235" s="840"/>
      <c r="V235" s="840"/>
      <c r="W235" s="840"/>
      <c r="X235" s="840"/>
      <c r="Y235" s="840"/>
      <c r="Z235" s="840"/>
      <c r="AA235" s="840"/>
      <c r="AB235" s="840"/>
      <c r="AC235" s="840"/>
    </row>
    <row r="236" ht="15.75" customHeight="1">
      <c r="A236" s="876"/>
      <c r="B236" s="321"/>
      <c r="C236" s="321"/>
      <c r="D236" s="321"/>
      <c r="E236" s="321"/>
      <c r="F236" s="848"/>
      <c r="G236" s="429"/>
      <c r="H236" s="849"/>
      <c r="I236" s="428"/>
      <c r="J236" s="429"/>
      <c r="K236" s="428"/>
      <c r="L236" s="430"/>
      <c r="M236" s="431"/>
      <c r="N236" s="431"/>
      <c r="O236" s="844"/>
      <c r="P236" s="840"/>
      <c r="Q236" s="840"/>
      <c r="R236" s="840"/>
      <c r="S236" s="840"/>
      <c r="T236" s="840"/>
      <c r="U236" s="840"/>
      <c r="V236" s="840"/>
      <c r="W236" s="840"/>
      <c r="X236" s="840"/>
      <c r="Y236" s="840"/>
      <c r="Z236" s="840"/>
      <c r="AA236" s="840"/>
      <c r="AB236" s="840"/>
      <c r="AC236" s="840"/>
    </row>
    <row r="237" ht="15.75" customHeight="1">
      <c r="A237" s="876"/>
      <c r="B237" s="321"/>
      <c r="C237" s="321"/>
      <c r="D237" s="321"/>
      <c r="E237" s="321"/>
      <c r="F237" s="848"/>
      <c r="G237" s="429"/>
      <c r="H237" s="849"/>
      <c r="I237" s="428"/>
      <c r="J237" s="429"/>
      <c r="K237" s="428"/>
      <c r="L237" s="430"/>
      <c r="M237" s="431"/>
      <c r="N237" s="431"/>
      <c r="O237" s="844"/>
      <c r="P237" s="840"/>
      <c r="Q237" s="840"/>
      <c r="R237" s="840"/>
      <c r="S237" s="840"/>
      <c r="T237" s="840"/>
      <c r="U237" s="840"/>
      <c r="V237" s="840"/>
      <c r="W237" s="840"/>
      <c r="X237" s="840"/>
      <c r="Y237" s="840"/>
      <c r="Z237" s="840"/>
      <c r="AA237" s="840"/>
      <c r="AB237" s="840"/>
      <c r="AC237" s="840"/>
    </row>
    <row r="238" ht="15.75" customHeight="1">
      <c r="A238" s="876"/>
      <c r="B238" s="321"/>
      <c r="C238" s="321"/>
      <c r="D238" s="321"/>
      <c r="E238" s="321"/>
      <c r="F238" s="848"/>
      <c r="G238" s="429"/>
      <c r="H238" s="849"/>
      <c r="I238" s="428"/>
      <c r="J238" s="429"/>
      <c r="K238" s="428"/>
      <c r="L238" s="430"/>
      <c r="M238" s="431"/>
      <c r="N238" s="431"/>
      <c r="O238" s="844"/>
      <c r="P238" s="840"/>
      <c r="Q238" s="840"/>
      <c r="R238" s="840"/>
      <c r="S238" s="840"/>
      <c r="T238" s="840"/>
      <c r="U238" s="840"/>
      <c r="V238" s="840"/>
      <c r="W238" s="840"/>
      <c r="X238" s="840"/>
      <c r="Y238" s="840"/>
      <c r="Z238" s="840"/>
      <c r="AA238" s="840"/>
      <c r="AB238" s="840"/>
      <c r="AC238" s="840"/>
    </row>
    <row r="239" ht="15.75" customHeight="1">
      <c r="A239" s="876"/>
      <c r="B239" s="321"/>
      <c r="C239" s="321"/>
      <c r="D239" s="321"/>
      <c r="E239" s="321"/>
      <c r="F239" s="848"/>
      <c r="G239" s="429"/>
      <c r="H239" s="849"/>
      <c r="I239" s="428"/>
      <c r="J239" s="429"/>
      <c r="K239" s="428"/>
      <c r="L239" s="430"/>
      <c r="M239" s="431"/>
      <c r="N239" s="431"/>
      <c r="O239" s="844"/>
      <c r="P239" s="840"/>
      <c r="Q239" s="840"/>
      <c r="R239" s="840"/>
      <c r="S239" s="840"/>
      <c r="T239" s="840"/>
      <c r="U239" s="840"/>
      <c r="V239" s="840"/>
      <c r="W239" s="840"/>
      <c r="X239" s="840"/>
      <c r="Y239" s="840"/>
      <c r="Z239" s="840"/>
      <c r="AA239" s="840"/>
      <c r="AB239" s="840"/>
      <c r="AC239" s="840"/>
    </row>
    <row r="240" ht="15.75" customHeight="1">
      <c r="A240" s="876"/>
      <c r="B240" s="321"/>
      <c r="C240" s="321"/>
      <c r="D240" s="321"/>
      <c r="E240" s="321"/>
      <c r="F240" s="848"/>
      <c r="G240" s="429"/>
      <c r="H240" s="849"/>
      <c r="I240" s="428"/>
      <c r="J240" s="429"/>
      <c r="K240" s="428"/>
      <c r="L240" s="430"/>
      <c r="M240" s="431"/>
      <c r="N240" s="431"/>
      <c r="O240" s="844"/>
      <c r="P240" s="840"/>
      <c r="Q240" s="840"/>
      <c r="R240" s="840"/>
      <c r="S240" s="840"/>
      <c r="T240" s="840"/>
      <c r="U240" s="840"/>
      <c r="V240" s="840"/>
      <c r="W240" s="840"/>
      <c r="X240" s="840"/>
      <c r="Y240" s="840"/>
      <c r="Z240" s="840"/>
      <c r="AA240" s="840"/>
      <c r="AB240" s="840"/>
      <c r="AC240" s="840"/>
    </row>
    <row r="241" ht="15.75" customHeight="1">
      <c r="A241" s="876"/>
      <c r="B241" s="321"/>
      <c r="C241" s="321"/>
      <c r="D241" s="321"/>
      <c r="E241" s="321"/>
      <c r="F241" s="848"/>
      <c r="G241" s="429"/>
      <c r="H241" s="849"/>
      <c r="I241" s="428"/>
      <c r="J241" s="429"/>
      <c r="K241" s="428"/>
      <c r="L241" s="430"/>
      <c r="M241" s="431"/>
      <c r="N241" s="431"/>
      <c r="O241" s="844"/>
      <c r="P241" s="840"/>
      <c r="Q241" s="840"/>
      <c r="R241" s="840"/>
      <c r="S241" s="840"/>
      <c r="T241" s="840"/>
      <c r="U241" s="840"/>
      <c r="V241" s="840"/>
      <c r="W241" s="840"/>
      <c r="X241" s="840"/>
      <c r="Y241" s="840"/>
      <c r="Z241" s="840"/>
      <c r="AA241" s="840"/>
      <c r="AB241" s="840"/>
      <c r="AC241" s="840"/>
    </row>
    <row r="242" ht="15.75" customHeight="1">
      <c r="A242" s="876"/>
      <c r="B242" s="321"/>
      <c r="C242" s="321"/>
      <c r="D242" s="321"/>
      <c r="E242" s="321"/>
      <c r="F242" s="848"/>
      <c r="G242" s="429"/>
      <c r="H242" s="849"/>
      <c r="I242" s="428"/>
      <c r="J242" s="429"/>
      <c r="K242" s="428"/>
      <c r="L242" s="430"/>
      <c r="M242" s="431"/>
      <c r="N242" s="431"/>
      <c r="O242" s="844"/>
      <c r="P242" s="840"/>
      <c r="Q242" s="840"/>
      <c r="R242" s="840"/>
      <c r="S242" s="840"/>
      <c r="T242" s="840"/>
      <c r="U242" s="840"/>
      <c r="V242" s="840"/>
      <c r="W242" s="840"/>
      <c r="X242" s="840"/>
      <c r="Y242" s="840"/>
      <c r="Z242" s="840"/>
      <c r="AA242" s="840"/>
      <c r="AB242" s="840"/>
      <c r="AC242" s="840"/>
    </row>
    <row r="243" ht="15.75" customHeight="1">
      <c r="A243" s="876"/>
      <c r="B243" s="321"/>
      <c r="C243" s="321"/>
      <c r="D243" s="321"/>
      <c r="E243" s="321"/>
      <c r="F243" s="848"/>
      <c r="G243" s="429"/>
      <c r="H243" s="849"/>
      <c r="I243" s="428"/>
      <c r="J243" s="429"/>
      <c r="K243" s="428"/>
      <c r="L243" s="430"/>
      <c r="M243" s="431"/>
      <c r="N243" s="431"/>
      <c r="O243" s="844"/>
      <c r="P243" s="840"/>
      <c r="Q243" s="840"/>
      <c r="R243" s="840"/>
      <c r="S243" s="840"/>
      <c r="T243" s="840"/>
      <c r="U243" s="840"/>
      <c r="V243" s="840"/>
      <c r="W243" s="840"/>
      <c r="X243" s="840"/>
      <c r="Y243" s="840"/>
      <c r="Z243" s="840"/>
      <c r="AA243" s="840"/>
      <c r="AB243" s="840"/>
      <c r="AC243" s="840"/>
    </row>
    <row r="244" ht="15.75" customHeight="1">
      <c r="A244" s="876"/>
      <c r="B244" s="321"/>
      <c r="C244" s="321"/>
      <c r="D244" s="321"/>
      <c r="E244" s="321"/>
      <c r="F244" s="848"/>
      <c r="G244" s="429"/>
      <c r="H244" s="849"/>
      <c r="I244" s="428"/>
      <c r="J244" s="429"/>
      <c r="K244" s="428"/>
      <c r="L244" s="430"/>
      <c r="M244" s="431"/>
      <c r="N244" s="431"/>
      <c r="O244" s="844"/>
      <c r="P244" s="840"/>
      <c r="Q244" s="840"/>
      <c r="R244" s="840"/>
      <c r="S244" s="840"/>
      <c r="T244" s="840"/>
      <c r="U244" s="840"/>
      <c r="V244" s="840"/>
      <c r="W244" s="840"/>
      <c r="X244" s="840"/>
      <c r="Y244" s="840"/>
      <c r="Z244" s="840"/>
      <c r="AA244" s="840"/>
      <c r="AB244" s="840"/>
      <c r="AC244" s="840"/>
    </row>
    <row r="245" ht="15.75" customHeight="1">
      <c r="A245" s="876"/>
      <c r="B245" s="321"/>
      <c r="C245" s="321"/>
      <c r="D245" s="321"/>
      <c r="E245" s="321"/>
      <c r="F245" s="848"/>
      <c r="G245" s="429"/>
      <c r="H245" s="849"/>
      <c r="I245" s="428"/>
      <c r="J245" s="429"/>
      <c r="K245" s="428"/>
      <c r="L245" s="430"/>
      <c r="M245" s="431"/>
      <c r="N245" s="431"/>
      <c r="O245" s="844"/>
      <c r="P245" s="840"/>
      <c r="Q245" s="840"/>
      <c r="R245" s="840"/>
      <c r="S245" s="840"/>
      <c r="T245" s="840"/>
      <c r="U245" s="840"/>
      <c r="V245" s="840"/>
      <c r="W245" s="840"/>
      <c r="X245" s="840"/>
      <c r="Y245" s="840"/>
      <c r="Z245" s="840"/>
      <c r="AA245" s="840"/>
      <c r="AB245" s="840"/>
      <c r="AC245" s="840"/>
    </row>
    <row r="246" ht="15.75" customHeight="1">
      <c r="A246" s="876"/>
      <c r="B246" s="321"/>
      <c r="C246" s="321"/>
      <c r="D246" s="321"/>
      <c r="E246" s="321"/>
      <c r="F246" s="848"/>
      <c r="G246" s="429"/>
      <c r="H246" s="849"/>
      <c r="I246" s="428"/>
      <c r="J246" s="429"/>
      <c r="K246" s="428"/>
      <c r="L246" s="430"/>
      <c r="M246" s="431"/>
      <c r="N246" s="431"/>
      <c r="O246" s="844"/>
      <c r="P246" s="840"/>
      <c r="Q246" s="840"/>
      <c r="R246" s="840"/>
      <c r="S246" s="840"/>
      <c r="T246" s="840"/>
      <c r="U246" s="840"/>
      <c r="V246" s="840"/>
      <c r="W246" s="840"/>
      <c r="X246" s="840"/>
      <c r="Y246" s="840"/>
      <c r="Z246" s="840"/>
      <c r="AA246" s="840"/>
      <c r="AB246" s="840"/>
      <c r="AC246" s="840"/>
    </row>
    <row r="247" ht="15.75" customHeight="1">
      <c r="A247" s="876"/>
      <c r="B247" s="321"/>
      <c r="C247" s="321"/>
      <c r="D247" s="321"/>
      <c r="E247" s="321"/>
      <c r="F247" s="848"/>
      <c r="G247" s="429"/>
      <c r="H247" s="849"/>
      <c r="I247" s="428"/>
      <c r="J247" s="429"/>
      <c r="K247" s="428"/>
      <c r="L247" s="430"/>
      <c r="M247" s="431"/>
      <c r="N247" s="431"/>
      <c r="O247" s="844"/>
      <c r="P247" s="840"/>
      <c r="Q247" s="840"/>
      <c r="R247" s="840"/>
      <c r="S247" s="840"/>
      <c r="T247" s="840"/>
      <c r="U247" s="840"/>
      <c r="V247" s="840"/>
      <c r="W247" s="840"/>
      <c r="X247" s="840"/>
      <c r="Y247" s="840"/>
      <c r="Z247" s="840"/>
      <c r="AA247" s="840"/>
      <c r="AB247" s="840"/>
      <c r="AC247" s="840"/>
    </row>
    <row r="248" ht="15.75" customHeight="1">
      <c r="A248" s="876"/>
      <c r="B248" s="321"/>
      <c r="C248" s="321"/>
      <c r="D248" s="321"/>
      <c r="E248" s="321"/>
      <c r="F248" s="848"/>
      <c r="G248" s="429"/>
      <c r="H248" s="849"/>
      <c r="I248" s="428"/>
      <c r="J248" s="429"/>
      <c r="K248" s="428"/>
      <c r="L248" s="430"/>
      <c r="M248" s="431"/>
      <c r="N248" s="431"/>
      <c r="O248" s="844"/>
      <c r="P248" s="840"/>
      <c r="Q248" s="840"/>
      <c r="R248" s="840"/>
      <c r="S248" s="840"/>
      <c r="T248" s="840"/>
      <c r="U248" s="840"/>
      <c r="V248" s="840"/>
      <c r="W248" s="840"/>
      <c r="X248" s="840"/>
      <c r="Y248" s="840"/>
      <c r="Z248" s="840"/>
      <c r="AA248" s="840"/>
      <c r="AB248" s="840"/>
      <c r="AC248" s="840"/>
    </row>
    <row r="249" ht="15.75" customHeight="1">
      <c r="A249" s="876"/>
      <c r="B249" s="321"/>
      <c r="C249" s="321"/>
      <c r="D249" s="321"/>
      <c r="E249" s="321"/>
      <c r="F249" s="848"/>
      <c r="G249" s="429"/>
      <c r="H249" s="849"/>
      <c r="I249" s="428"/>
      <c r="J249" s="429"/>
      <c r="K249" s="428"/>
      <c r="L249" s="430"/>
      <c r="M249" s="431"/>
      <c r="N249" s="431"/>
      <c r="O249" s="844"/>
      <c r="P249" s="840"/>
      <c r="Q249" s="840"/>
      <c r="R249" s="840"/>
      <c r="S249" s="840"/>
      <c r="T249" s="840"/>
      <c r="U249" s="840"/>
      <c r="V249" s="840"/>
      <c r="W249" s="840"/>
      <c r="X249" s="840"/>
      <c r="Y249" s="840"/>
      <c r="Z249" s="840"/>
      <c r="AA249" s="840"/>
      <c r="AB249" s="840"/>
      <c r="AC249" s="840"/>
    </row>
    <row r="250" ht="15.75" customHeight="1">
      <c r="A250" s="876"/>
      <c r="B250" s="321"/>
      <c r="C250" s="321"/>
      <c r="D250" s="321"/>
      <c r="E250" s="321"/>
      <c r="F250" s="848"/>
      <c r="G250" s="429"/>
      <c r="H250" s="849"/>
      <c r="I250" s="428"/>
      <c r="J250" s="429"/>
      <c r="K250" s="428"/>
      <c r="L250" s="430"/>
      <c r="M250" s="431"/>
      <c r="N250" s="431"/>
      <c r="O250" s="844"/>
      <c r="P250" s="840"/>
      <c r="Q250" s="840"/>
      <c r="R250" s="840"/>
      <c r="S250" s="840"/>
      <c r="T250" s="840"/>
      <c r="U250" s="840"/>
      <c r="V250" s="840"/>
      <c r="W250" s="840"/>
      <c r="X250" s="840"/>
      <c r="Y250" s="840"/>
      <c r="Z250" s="840"/>
      <c r="AA250" s="840"/>
      <c r="AB250" s="840"/>
      <c r="AC250" s="840"/>
    </row>
    <row r="251" ht="15.75" customHeight="1">
      <c r="A251" s="876"/>
      <c r="B251" s="321"/>
      <c r="C251" s="321"/>
      <c r="D251" s="321"/>
      <c r="E251" s="321"/>
      <c r="F251" s="848"/>
      <c r="G251" s="429"/>
      <c r="H251" s="849"/>
      <c r="I251" s="428"/>
      <c r="J251" s="429"/>
      <c r="K251" s="428"/>
      <c r="L251" s="430"/>
      <c r="M251" s="431"/>
      <c r="N251" s="431"/>
      <c r="O251" s="844"/>
      <c r="P251" s="840"/>
      <c r="Q251" s="840"/>
      <c r="R251" s="840"/>
      <c r="S251" s="840"/>
      <c r="T251" s="840"/>
      <c r="U251" s="840"/>
      <c r="V251" s="840"/>
      <c r="W251" s="840"/>
      <c r="X251" s="840"/>
      <c r="Y251" s="840"/>
      <c r="Z251" s="840"/>
      <c r="AA251" s="840"/>
      <c r="AB251" s="840"/>
      <c r="AC251" s="840"/>
    </row>
    <row r="252" ht="15.75" customHeight="1">
      <c r="A252" s="876"/>
      <c r="B252" s="321"/>
      <c r="C252" s="321"/>
      <c r="D252" s="321"/>
      <c r="E252" s="321"/>
      <c r="F252" s="848"/>
      <c r="G252" s="429"/>
      <c r="H252" s="849"/>
      <c r="I252" s="428"/>
      <c r="J252" s="429"/>
      <c r="K252" s="428"/>
      <c r="L252" s="430"/>
      <c r="M252" s="431"/>
      <c r="N252" s="431"/>
      <c r="O252" s="844"/>
      <c r="P252" s="840"/>
      <c r="Q252" s="840"/>
      <c r="R252" s="840"/>
      <c r="S252" s="840"/>
      <c r="T252" s="840"/>
      <c r="U252" s="840"/>
      <c r="V252" s="840"/>
      <c r="W252" s="840"/>
      <c r="X252" s="840"/>
      <c r="Y252" s="840"/>
      <c r="Z252" s="840"/>
      <c r="AA252" s="840"/>
      <c r="AB252" s="840"/>
      <c r="AC252" s="840"/>
    </row>
    <row r="253" ht="15.75" customHeight="1">
      <c r="A253" s="876"/>
      <c r="B253" s="321"/>
      <c r="C253" s="321"/>
      <c r="D253" s="321"/>
      <c r="E253" s="321"/>
      <c r="F253" s="848"/>
      <c r="G253" s="429"/>
      <c r="H253" s="849"/>
      <c r="I253" s="428"/>
      <c r="J253" s="429"/>
      <c r="K253" s="428"/>
      <c r="L253" s="430"/>
      <c r="M253" s="431"/>
      <c r="N253" s="431"/>
      <c r="O253" s="844"/>
      <c r="P253" s="840"/>
      <c r="Q253" s="840"/>
      <c r="R253" s="840"/>
      <c r="S253" s="840"/>
      <c r="T253" s="840"/>
      <c r="U253" s="840"/>
      <c r="V253" s="840"/>
      <c r="W253" s="840"/>
      <c r="X253" s="840"/>
      <c r="Y253" s="840"/>
      <c r="Z253" s="840"/>
      <c r="AA253" s="840"/>
      <c r="AB253" s="840"/>
      <c r="AC253" s="840"/>
    </row>
    <row r="254" ht="15.75" customHeight="1">
      <c r="A254" s="876"/>
      <c r="B254" s="321"/>
      <c r="C254" s="321"/>
      <c r="D254" s="321"/>
      <c r="E254" s="321"/>
      <c r="F254" s="848"/>
      <c r="G254" s="429"/>
      <c r="H254" s="849"/>
      <c r="I254" s="428"/>
      <c r="J254" s="429"/>
      <c r="K254" s="428"/>
      <c r="L254" s="430"/>
      <c r="M254" s="431"/>
      <c r="N254" s="431"/>
      <c r="O254" s="844"/>
      <c r="P254" s="840"/>
      <c r="Q254" s="840"/>
      <c r="R254" s="840"/>
      <c r="S254" s="840"/>
      <c r="T254" s="840"/>
      <c r="U254" s="840"/>
      <c r="V254" s="840"/>
      <c r="W254" s="840"/>
      <c r="X254" s="840"/>
      <c r="Y254" s="840"/>
      <c r="Z254" s="840"/>
      <c r="AA254" s="840"/>
      <c r="AB254" s="840"/>
      <c r="AC254" s="840"/>
    </row>
    <row r="255" ht="15.75" customHeight="1">
      <c r="A255" s="876"/>
      <c r="B255" s="321"/>
      <c r="C255" s="321"/>
      <c r="D255" s="321"/>
      <c r="E255" s="321"/>
      <c r="F255" s="848"/>
      <c r="G255" s="429"/>
      <c r="H255" s="849"/>
      <c r="I255" s="428"/>
      <c r="J255" s="429"/>
      <c r="K255" s="428"/>
      <c r="L255" s="430"/>
      <c r="M255" s="431"/>
      <c r="N255" s="431"/>
      <c r="O255" s="844"/>
      <c r="P255" s="840"/>
      <c r="Q255" s="840"/>
      <c r="R255" s="840"/>
      <c r="S255" s="840"/>
      <c r="T255" s="840"/>
      <c r="U255" s="840"/>
      <c r="V255" s="840"/>
      <c r="W255" s="840"/>
      <c r="X255" s="840"/>
      <c r="Y255" s="840"/>
      <c r="Z255" s="840"/>
      <c r="AA255" s="840"/>
      <c r="AB255" s="840"/>
      <c r="AC255" s="840"/>
    </row>
    <row r="256" ht="15.75" customHeight="1">
      <c r="A256" s="876"/>
      <c r="B256" s="321"/>
      <c r="C256" s="321"/>
      <c r="D256" s="321"/>
      <c r="E256" s="321"/>
      <c r="F256" s="848"/>
      <c r="G256" s="429"/>
      <c r="H256" s="849"/>
      <c r="I256" s="428"/>
      <c r="J256" s="429"/>
      <c r="K256" s="428"/>
      <c r="L256" s="430"/>
      <c r="M256" s="431"/>
      <c r="N256" s="431"/>
      <c r="O256" s="844"/>
      <c r="P256" s="840"/>
      <c r="Q256" s="840"/>
      <c r="R256" s="840"/>
      <c r="S256" s="840"/>
      <c r="T256" s="840"/>
      <c r="U256" s="840"/>
      <c r="V256" s="840"/>
      <c r="W256" s="840"/>
      <c r="X256" s="840"/>
      <c r="Y256" s="840"/>
      <c r="Z256" s="840"/>
      <c r="AA256" s="840"/>
      <c r="AB256" s="840"/>
      <c r="AC256" s="840"/>
    </row>
    <row r="257" ht="15.75" customHeight="1">
      <c r="A257" s="876"/>
      <c r="B257" s="321"/>
      <c r="C257" s="321"/>
      <c r="D257" s="321"/>
      <c r="E257" s="321"/>
      <c r="F257" s="848"/>
      <c r="G257" s="429"/>
      <c r="H257" s="849"/>
      <c r="I257" s="428"/>
      <c r="J257" s="429"/>
      <c r="K257" s="428"/>
      <c r="L257" s="430"/>
      <c r="M257" s="431"/>
      <c r="N257" s="431"/>
      <c r="O257" s="844"/>
      <c r="P257" s="840"/>
      <c r="Q257" s="840"/>
      <c r="R257" s="840"/>
      <c r="S257" s="840"/>
      <c r="T257" s="840"/>
      <c r="U257" s="840"/>
      <c r="V257" s="840"/>
      <c r="W257" s="840"/>
      <c r="X257" s="840"/>
      <c r="Y257" s="840"/>
      <c r="Z257" s="840"/>
      <c r="AA257" s="840"/>
      <c r="AB257" s="840"/>
      <c r="AC257" s="840"/>
    </row>
    <row r="258" ht="15.75" customHeight="1">
      <c r="A258" s="876"/>
      <c r="B258" s="321"/>
      <c r="C258" s="321"/>
      <c r="D258" s="321"/>
      <c r="E258" s="321"/>
      <c r="F258" s="848"/>
      <c r="G258" s="429"/>
      <c r="H258" s="849"/>
      <c r="I258" s="428"/>
      <c r="J258" s="429"/>
      <c r="K258" s="428"/>
      <c r="L258" s="430"/>
      <c r="M258" s="431"/>
      <c r="N258" s="431"/>
      <c r="O258" s="844"/>
      <c r="P258" s="840"/>
      <c r="Q258" s="840"/>
      <c r="R258" s="840"/>
      <c r="S258" s="840"/>
      <c r="T258" s="840"/>
      <c r="U258" s="840"/>
      <c r="V258" s="840"/>
      <c r="W258" s="840"/>
      <c r="X258" s="840"/>
      <c r="Y258" s="840"/>
      <c r="Z258" s="840"/>
      <c r="AA258" s="840"/>
      <c r="AB258" s="840"/>
      <c r="AC258" s="840"/>
    </row>
    <row r="259" ht="15.75" customHeight="1">
      <c r="A259" s="876"/>
      <c r="B259" s="321"/>
      <c r="C259" s="321"/>
      <c r="D259" s="321"/>
      <c r="E259" s="321"/>
      <c r="F259" s="848"/>
      <c r="G259" s="429"/>
      <c r="H259" s="849"/>
      <c r="I259" s="428"/>
      <c r="J259" s="429"/>
      <c r="K259" s="428"/>
      <c r="L259" s="430"/>
      <c r="M259" s="431"/>
      <c r="N259" s="431"/>
      <c r="O259" s="844"/>
      <c r="P259" s="840"/>
      <c r="Q259" s="840"/>
      <c r="R259" s="840"/>
      <c r="S259" s="840"/>
      <c r="T259" s="840"/>
      <c r="U259" s="840"/>
      <c r="V259" s="840"/>
      <c r="W259" s="840"/>
      <c r="X259" s="840"/>
      <c r="Y259" s="840"/>
      <c r="Z259" s="840"/>
      <c r="AA259" s="840"/>
      <c r="AB259" s="840"/>
      <c r="AC259" s="840"/>
    </row>
    <row r="260" ht="15.75" customHeight="1">
      <c r="A260" s="876"/>
      <c r="B260" s="321"/>
      <c r="C260" s="321"/>
      <c r="D260" s="321"/>
      <c r="E260" s="321"/>
      <c r="F260" s="848"/>
      <c r="G260" s="429"/>
      <c r="H260" s="849"/>
      <c r="I260" s="428"/>
      <c r="J260" s="429"/>
      <c r="K260" s="428"/>
      <c r="L260" s="430"/>
      <c r="M260" s="431"/>
      <c r="N260" s="431"/>
      <c r="O260" s="844"/>
      <c r="P260" s="840"/>
      <c r="Q260" s="840"/>
      <c r="R260" s="840"/>
      <c r="S260" s="840"/>
      <c r="T260" s="840"/>
      <c r="U260" s="840"/>
      <c r="V260" s="840"/>
      <c r="W260" s="840"/>
      <c r="X260" s="840"/>
      <c r="Y260" s="840"/>
      <c r="Z260" s="840"/>
      <c r="AA260" s="840"/>
      <c r="AB260" s="840"/>
      <c r="AC260" s="840"/>
    </row>
    <row r="261" ht="15.75" customHeight="1">
      <c r="A261" s="876"/>
      <c r="B261" s="321"/>
      <c r="C261" s="321"/>
      <c r="D261" s="321"/>
      <c r="E261" s="321"/>
      <c r="F261" s="848"/>
      <c r="G261" s="429"/>
      <c r="H261" s="849"/>
      <c r="I261" s="428"/>
      <c r="J261" s="429"/>
      <c r="K261" s="428"/>
      <c r="L261" s="430"/>
      <c r="M261" s="431"/>
      <c r="N261" s="431"/>
      <c r="O261" s="844"/>
      <c r="P261" s="840"/>
      <c r="Q261" s="840"/>
      <c r="R261" s="840"/>
      <c r="S261" s="840"/>
      <c r="T261" s="840"/>
      <c r="U261" s="840"/>
      <c r="V261" s="840"/>
      <c r="W261" s="840"/>
      <c r="X261" s="840"/>
      <c r="Y261" s="840"/>
      <c r="Z261" s="840"/>
      <c r="AA261" s="840"/>
      <c r="AB261" s="840"/>
      <c r="AC261" s="840"/>
    </row>
    <row r="262" ht="15.75" customHeight="1">
      <c r="A262" s="876"/>
      <c r="B262" s="321"/>
      <c r="C262" s="321"/>
      <c r="D262" s="321"/>
      <c r="E262" s="321"/>
      <c r="F262" s="848"/>
      <c r="G262" s="429"/>
      <c r="H262" s="849"/>
      <c r="I262" s="428"/>
      <c r="J262" s="429"/>
      <c r="K262" s="428"/>
      <c r="L262" s="430"/>
      <c r="M262" s="431"/>
      <c r="N262" s="431"/>
      <c r="O262" s="844"/>
      <c r="P262" s="840"/>
      <c r="Q262" s="840"/>
      <c r="R262" s="840"/>
      <c r="S262" s="840"/>
      <c r="T262" s="840"/>
      <c r="U262" s="840"/>
      <c r="V262" s="840"/>
      <c r="W262" s="840"/>
      <c r="X262" s="840"/>
      <c r="Y262" s="840"/>
      <c r="Z262" s="840"/>
      <c r="AA262" s="840"/>
      <c r="AB262" s="840"/>
      <c r="AC262" s="840"/>
    </row>
    <row r="263" ht="15.75" customHeight="1">
      <c r="A263" s="876"/>
      <c r="B263" s="321"/>
      <c r="C263" s="321"/>
      <c r="D263" s="321"/>
      <c r="E263" s="321"/>
      <c r="F263" s="848"/>
      <c r="G263" s="429"/>
      <c r="H263" s="849"/>
      <c r="I263" s="428"/>
      <c r="J263" s="429"/>
      <c r="K263" s="428"/>
      <c r="L263" s="430"/>
      <c r="M263" s="431"/>
      <c r="N263" s="431"/>
      <c r="O263" s="844"/>
      <c r="P263" s="840"/>
      <c r="Q263" s="840"/>
      <c r="R263" s="840"/>
      <c r="S263" s="840"/>
      <c r="T263" s="840"/>
      <c r="U263" s="840"/>
      <c r="V263" s="840"/>
      <c r="W263" s="840"/>
      <c r="X263" s="840"/>
      <c r="Y263" s="840"/>
      <c r="Z263" s="840"/>
      <c r="AA263" s="840"/>
      <c r="AB263" s="840"/>
      <c r="AC263" s="840"/>
    </row>
    <row r="264" ht="15.75" customHeight="1">
      <c r="A264" s="876"/>
      <c r="B264" s="321"/>
      <c r="C264" s="321"/>
      <c r="D264" s="321"/>
      <c r="E264" s="321"/>
      <c r="F264" s="848"/>
      <c r="G264" s="429"/>
      <c r="H264" s="849"/>
      <c r="I264" s="428"/>
      <c r="J264" s="429"/>
      <c r="K264" s="428"/>
      <c r="L264" s="430"/>
      <c r="M264" s="431"/>
      <c r="N264" s="431"/>
      <c r="O264" s="844"/>
      <c r="P264" s="840"/>
      <c r="Q264" s="840"/>
      <c r="R264" s="840"/>
      <c r="S264" s="840"/>
      <c r="T264" s="840"/>
      <c r="U264" s="840"/>
      <c r="V264" s="840"/>
      <c r="W264" s="840"/>
      <c r="X264" s="840"/>
      <c r="Y264" s="840"/>
      <c r="Z264" s="840"/>
      <c r="AA264" s="840"/>
      <c r="AB264" s="840"/>
      <c r="AC264" s="840"/>
    </row>
    <row r="265" ht="15.75" customHeight="1">
      <c r="A265" s="876"/>
      <c r="B265" s="321"/>
      <c r="C265" s="321"/>
      <c r="D265" s="321"/>
      <c r="E265" s="321"/>
      <c r="F265" s="848"/>
      <c r="G265" s="429"/>
      <c r="H265" s="849"/>
      <c r="I265" s="428"/>
      <c r="J265" s="429"/>
      <c r="K265" s="428"/>
      <c r="L265" s="430"/>
      <c r="M265" s="431"/>
      <c r="N265" s="431"/>
      <c r="O265" s="844"/>
      <c r="P265" s="840"/>
      <c r="Q265" s="840"/>
      <c r="R265" s="840"/>
      <c r="S265" s="840"/>
      <c r="T265" s="840"/>
      <c r="U265" s="840"/>
      <c r="V265" s="840"/>
      <c r="W265" s="840"/>
      <c r="X265" s="840"/>
      <c r="Y265" s="840"/>
      <c r="Z265" s="840"/>
      <c r="AA265" s="840"/>
      <c r="AB265" s="840"/>
      <c r="AC265" s="840"/>
    </row>
    <row r="266" ht="15.75" customHeight="1">
      <c r="A266" s="876"/>
      <c r="B266" s="321"/>
      <c r="C266" s="321"/>
      <c r="D266" s="321"/>
      <c r="E266" s="321"/>
      <c r="F266" s="848"/>
      <c r="G266" s="429"/>
      <c r="H266" s="849"/>
      <c r="I266" s="428"/>
      <c r="J266" s="429"/>
      <c r="K266" s="428"/>
      <c r="L266" s="430"/>
      <c r="M266" s="431"/>
      <c r="N266" s="431"/>
      <c r="O266" s="844"/>
      <c r="P266" s="840"/>
      <c r="Q266" s="840"/>
      <c r="R266" s="840"/>
      <c r="S266" s="840"/>
      <c r="T266" s="840"/>
      <c r="U266" s="840"/>
      <c r="V266" s="840"/>
      <c r="W266" s="840"/>
      <c r="X266" s="840"/>
      <c r="Y266" s="840"/>
      <c r="Z266" s="840"/>
      <c r="AA266" s="840"/>
      <c r="AB266" s="840"/>
      <c r="AC266" s="840"/>
    </row>
    <row r="267" ht="15.75" customHeight="1">
      <c r="A267" s="876"/>
      <c r="B267" s="321"/>
      <c r="C267" s="321"/>
      <c r="D267" s="321"/>
      <c r="E267" s="321"/>
      <c r="F267" s="848"/>
      <c r="G267" s="429"/>
      <c r="H267" s="849"/>
      <c r="I267" s="428"/>
      <c r="J267" s="429"/>
      <c r="K267" s="428"/>
      <c r="L267" s="430"/>
      <c r="M267" s="431"/>
      <c r="N267" s="431"/>
      <c r="O267" s="844"/>
      <c r="P267" s="840"/>
      <c r="Q267" s="840"/>
      <c r="R267" s="840"/>
      <c r="S267" s="840"/>
      <c r="T267" s="840"/>
      <c r="U267" s="840"/>
      <c r="V267" s="840"/>
      <c r="W267" s="840"/>
      <c r="X267" s="840"/>
      <c r="Y267" s="840"/>
      <c r="Z267" s="840"/>
      <c r="AA267" s="840"/>
      <c r="AB267" s="840"/>
      <c r="AC267" s="840"/>
    </row>
    <row r="268" ht="15.75" customHeight="1">
      <c r="A268" s="876"/>
      <c r="B268" s="321"/>
      <c r="C268" s="321"/>
      <c r="D268" s="321"/>
      <c r="E268" s="321"/>
      <c r="F268" s="848"/>
      <c r="G268" s="429"/>
      <c r="H268" s="849"/>
      <c r="I268" s="428"/>
      <c r="J268" s="429"/>
      <c r="K268" s="428"/>
      <c r="L268" s="430"/>
      <c r="M268" s="431"/>
      <c r="N268" s="431"/>
      <c r="O268" s="844"/>
      <c r="P268" s="840"/>
      <c r="Q268" s="840"/>
      <c r="R268" s="840"/>
      <c r="S268" s="840"/>
      <c r="T268" s="840"/>
      <c r="U268" s="840"/>
      <c r="V268" s="840"/>
      <c r="W268" s="840"/>
      <c r="X268" s="840"/>
      <c r="Y268" s="840"/>
      <c r="Z268" s="840"/>
      <c r="AA268" s="840"/>
      <c r="AB268" s="840"/>
      <c r="AC268" s="840"/>
    </row>
    <row r="269" ht="15.75" customHeight="1">
      <c r="A269" s="876"/>
      <c r="B269" s="321"/>
      <c r="C269" s="321"/>
      <c r="D269" s="321"/>
      <c r="E269" s="321"/>
      <c r="F269" s="848"/>
      <c r="G269" s="429"/>
      <c r="H269" s="849"/>
      <c r="I269" s="428"/>
      <c r="J269" s="429"/>
      <c r="K269" s="428"/>
      <c r="L269" s="430"/>
      <c r="M269" s="431"/>
      <c r="N269" s="431"/>
      <c r="O269" s="844"/>
      <c r="P269" s="840"/>
      <c r="Q269" s="840"/>
      <c r="R269" s="840"/>
      <c r="S269" s="840"/>
      <c r="T269" s="840"/>
      <c r="U269" s="840"/>
      <c r="V269" s="840"/>
      <c r="W269" s="840"/>
      <c r="X269" s="840"/>
      <c r="Y269" s="840"/>
      <c r="Z269" s="840"/>
      <c r="AA269" s="840"/>
      <c r="AB269" s="840"/>
      <c r="AC269" s="840"/>
    </row>
    <row r="270" ht="15.75" customHeight="1">
      <c r="A270" s="876"/>
      <c r="B270" s="321"/>
      <c r="C270" s="321"/>
      <c r="D270" s="321"/>
      <c r="E270" s="321"/>
      <c r="F270" s="848"/>
      <c r="G270" s="429"/>
      <c r="H270" s="849"/>
      <c r="I270" s="428"/>
      <c r="J270" s="429"/>
      <c r="K270" s="428"/>
      <c r="L270" s="430"/>
      <c r="M270" s="431"/>
      <c r="N270" s="431"/>
      <c r="O270" s="844"/>
      <c r="P270" s="840"/>
      <c r="Q270" s="840"/>
      <c r="R270" s="840"/>
      <c r="S270" s="840"/>
      <c r="T270" s="840"/>
      <c r="U270" s="840"/>
      <c r="V270" s="840"/>
      <c r="W270" s="840"/>
      <c r="X270" s="840"/>
      <c r="Y270" s="840"/>
      <c r="Z270" s="840"/>
      <c r="AA270" s="840"/>
      <c r="AB270" s="840"/>
      <c r="AC270" s="840"/>
    </row>
    <row r="271" ht="15.75" customHeight="1">
      <c r="A271" s="876"/>
      <c r="B271" s="321"/>
      <c r="C271" s="321"/>
      <c r="D271" s="321"/>
      <c r="E271" s="321"/>
      <c r="F271" s="848"/>
      <c r="G271" s="429"/>
      <c r="H271" s="849"/>
      <c r="I271" s="428"/>
      <c r="J271" s="429"/>
      <c r="K271" s="428"/>
      <c r="L271" s="430"/>
      <c r="M271" s="431"/>
      <c r="N271" s="431"/>
      <c r="O271" s="844"/>
      <c r="P271" s="840"/>
      <c r="Q271" s="840"/>
      <c r="R271" s="840"/>
      <c r="S271" s="840"/>
      <c r="T271" s="840"/>
      <c r="U271" s="840"/>
      <c r="V271" s="840"/>
      <c r="W271" s="840"/>
      <c r="X271" s="840"/>
      <c r="Y271" s="840"/>
      <c r="Z271" s="840"/>
      <c r="AA271" s="840"/>
      <c r="AB271" s="840"/>
      <c r="AC271" s="840"/>
    </row>
    <row r="272" ht="15.75" customHeight="1">
      <c r="A272" s="876"/>
      <c r="B272" s="321"/>
      <c r="C272" s="321"/>
      <c r="D272" s="321"/>
      <c r="E272" s="321"/>
      <c r="F272" s="848"/>
      <c r="G272" s="429"/>
      <c r="H272" s="849"/>
      <c r="I272" s="428"/>
      <c r="J272" s="429"/>
      <c r="K272" s="428"/>
      <c r="L272" s="430"/>
      <c r="M272" s="431"/>
      <c r="N272" s="431"/>
      <c r="O272" s="844"/>
      <c r="P272" s="840"/>
      <c r="Q272" s="840"/>
      <c r="R272" s="840"/>
      <c r="S272" s="840"/>
      <c r="T272" s="840"/>
      <c r="U272" s="840"/>
      <c r="V272" s="840"/>
      <c r="W272" s="840"/>
      <c r="X272" s="840"/>
      <c r="Y272" s="840"/>
      <c r="Z272" s="840"/>
      <c r="AA272" s="840"/>
      <c r="AB272" s="840"/>
      <c r="AC272" s="840"/>
    </row>
    <row r="273" ht="15.75" customHeight="1">
      <c r="A273" s="876"/>
      <c r="B273" s="321"/>
      <c r="C273" s="321"/>
      <c r="D273" s="321"/>
      <c r="E273" s="321"/>
      <c r="F273" s="848"/>
      <c r="G273" s="429"/>
      <c r="H273" s="849"/>
      <c r="I273" s="428"/>
      <c r="J273" s="429"/>
      <c r="K273" s="428"/>
      <c r="L273" s="430"/>
      <c r="M273" s="431"/>
      <c r="N273" s="431"/>
      <c r="O273" s="844"/>
      <c r="P273" s="840"/>
      <c r="Q273" s="840"/>
      <c r="R273" s="840"/>
      <c r="S273" s="840"/>
      <c r="T273" s="840"/>
      <c r="U273" s="840"/>
      <c r="V273" s="840"/>
      <c r="W273" s="840"/>
      <c r="X273" s="840"/>
      <c r="Y273" s="840"/>
      <c r="Z273" s="840"/>
      <c r="AA273" s="840"/>
      <c r="AB273" s="840"/>
      <c r="AC273" s="840"/>
    </row>
    <row r="274" ht="15.75" customHeight="1">
      <c r="A274" s="876"/>
      <c r="B274" s="321"/>
      <c r="C274" s="321"/>
      <c r="D274" s="321"/>
      <c r="E274" s="321"/>
      <c r="F274" s="848"/>
      <c r="G274" s="429"/>
      <c r="H274" s="849"/>
      <c r="I274" s="428"/>
      <c r="J274" s="429"/>
      <c r="K274" s="428"/>
      <c r="L274" s="430"/>
      <c r="M274" s="431"/>
      <c r="N274" s="431"/>
      <c r="O274" s="844"/>
      <c r="P274" s="840"/>
      <c r="Q274" s="840"/>
      <c r="R274" s="840"/>
      <c r="S274" s="840"/>
      <c r="T274" s="840"/>
      <c r="U274" s="840"/>
      <c r="V274" s="840"/>
      <c r="W274" s="840"/>
      <c r="X274" s="840"/>
      <c r="Y274" s="840"/>
      <c r="Z274" s="840"/>
      <c r="AA274" s="840"/>
      <c r="AB274" s="840"/>
      <c r="AC274" s="840"/>
    </row>
    <row r="275" ht="15.75" customHeight="1">
      <c r="A275" s="876"/>
      <c r="B275" s="321"/>
      <c r="C275" s="321"/>
      <c r="D275" s="321"/>
      <c r="E275" s="321"/>
      <c r="F275" s="848"/>
      <c r="G275" s="429"/>
      <c r="H275" s="849"/>
      <c r="I275" s="428"/>
      <c r="J275" s="429"/>
      <c r="K275" s="428"/>
      <c r="L275" s="430"/>
      <c r="M275" s="431"/>
      <c r="N275" s="431"/>
      <c r="O275" s="844"/>
      <c r="P275" s="840"/>
      <c r="Q275" s="840"/>
      <c r="R275" s="840"/>
      <c r="S275" s="840"/>
      <c r="T275" s="840"/>
      <c r="U275" s="840"/>
      <c r="V275" s="840"/>
      <c r="W275" s="840"/>
      <c r="X275" s="840"/>
      <c r="Y275" s="840"/>
      <c r="Z275" s="840"/>
      <c r="AA275" s="840"/>
      <c r="AB275" s="840"/>
      <c r="AC275" s="840"/>
    </row>
    <row r="276" ht="15.75" customHeight="1">
      <c r="A276" s="876"/>
      <c r="B276" s="321"/>
      <c r="C276" s="321"/>
      <c r="D276" s="321"/>
      <c r="E276" s="321"/>
      <c r="F276" s="848"/>
      <c r="G276" s="429"/>
      <c r="H276" s="849"/>
      <c r="I276" s="428"/>
      <c r="J276" s="429"/>
      <c r="K276" s="428"/>
      <c r="L276" s="430"/>
      <c r="M276" s="431"/>
      <c r="N276" s="431"/>
      <c r="O276" s="844"/>
      <c r="P276" s="840"/>
      <c r="Q276" s="840"/>
      <c r="R276" s="840"/>
      <c r="S276" s="840"/>
      <c r="T276" s="840"/>
      <c r="U276" s="840"/>
      <c r="V276" s="840"/>
      <c r="W276" s="840"/>
      <c r="X276" s="840"/>
      <c r="Y276" s="840"/>
      <c r="Z276" s="840"/>
      <c r="AA276" s="840"/>
      <c r="AB276" s="840"/>
      <c r="AC276" s="840"/>
    </row>
    <row r="277" ht="15.75" customHeight="1">
      <c r="A277" s="876"/>
      <c r="B277" s="321"/>
      <c r="C277" s="321"/>
      <c r="D277" s="321"/>
      <c r="E277" s="321"/>
      <c r="F277" s="848"/>
      <c r="G277" s="429"/>
      <c r="H277" s="849"/>
      <c r="I277" s="428"/>
      <c r="J277" s="429"/>
      <c r="K277" s="428"/>
      <c r="L277" s="430"/>
      <c r="M277" s="431"/>
      <c r="N277" s="431"/>
      <c r="O277" s="844"/>
      <c r="P277" s="840"/>
      <c r="Q277" s="840"/>
      <c r="R277" s="840"/>
      <c r="S277" s="840"/>
      <c r="T277" s="840"/>
      <c r="U277" s="840"/>
      <c r="V277" s="840"/>
      <c r="W277" s="840"/>
      <c r="X277" s="840"/>
      <c r="Y277" s="840"/>
      <c r="Z277" s="840"/>
      <c r="AA277" s="840"/>
      <c r="AB277" s="840"/>
      <c r="AC277" s="840"/>
    </row>
    <row r="278" ht="15.75" customHeight="1">
      <c r="A278" s="876"/>
      <c r="B278" s="321"/>
      <c r="C278" s="321"/>
      <c r="D278" s="321"/>
      <c r="E278" s="321"/>
      <c r="F278" s="848"/>
      <c r="G278" s="429"/>
      <c r="H278" s="849"/>
      <c r="I278" s="428"/>
      <c r="J278" s="429"/>
      <c r="K278" s="428"/>
      <c r="L278" s="430"/>
      <c r="M278" s="431"/>
      <c r="N278" s="431"/>
      <c r="O278" s="844"/>
      <c r="P278" s="840"/>
      <c r="Q278" s="840"/>
      <c r="R278" s="840"/>
      <c r="S278" s="840"/>
      <c r="T278" s="840"/>
      <c r="U278" s="840"/>
      <c r="V278" s="840"/>
      <c r="W278" s="840"/>
      <c r="X278" s="840"/>
      <c r="Y278" s="840"/>
      <c r="Z278" s="840"/>
      <c r="AA278" s="840"/>
      <c r="AB278" s="840"/>
      <c r="AC278" s="840"/>
    </row>
    <row r="279" ht="15.75" customHeight="1">
      <c r="A279" s="876"/>
      <c r="B279" s="321"/>
      <c r="C279" s="321"/>
      <c r="D279" s="321"/>
      <c r="E279" s="321"/>
      <c r="F279" s="848"/>
      <c r="G279" s="429"/>
      <c r="H279" s="849"/>
      <c r="I279" s="428"/>
      <c r="J279" s="429"/>
      <c r="K279" s="428"/>
      <c r="L279" s="430"/>
      <c r="M279" s="431"/>
      <c r="N279" s="431"/>
      <c r="O279" s="844"/>
      <c r="P279" s="840"/>
      <c r="Q279" s="840"/>
      <c r="R279" s="840"/>
      <c r="S279" s="840"/>
      <c r="T279" s="840"/>
      <c r="U279" s="840"/>
      <c r="V279" s="840"/>
      <c r="W279" s="840"/>
      <c r="X279" s="840"/>
      <c r="Y279" s="840"/>
      <c r="Z279" s="840"/>
      <c r="AA279" s="840"/>
      <c r="AB279" s="840"/>
      <c r="AC279" s="840"/>
    </row>
    <row r="280" ht="15.75" customHeight="1">
      <c r="A280" s="876"/>
      <c r="B280" s="321"/>
      <c r="C280" s="321"/>
      <c r="D280" s="321"/>
      <c r="E280" s="321"/>
      <c r="F280" s="848"/>
      <c r="G280" s="429"/>
      <c r="H280" s="849"/>
      <c r="I280" s="428"/>
      <c r="J280" s="429"/>
      <c r="K280" s="428"/>
      <c r="L280" s="430"/>
      <c r="M280" s="431"/>
      <c r="N280" s="431"/>
      <c r="O280" s="844"/>
      <c r="P280" s="840"/>
      <c r="Q280" s="840"/>
      <c r="R280" s="840"/>
      <c r="S280" s="840"/>
      <c r="T280" s="840"/>
      <c r="U280" s="840"/>
      <c r="V280" s="840"/>
      <c r="W280" s="840"/>
      <c r="X280" s="840"/>
      <c r="Y280" s="840"/>
      <c r="Z280" s="840"/>
      <c r="AA280" s="840"/>
      <c r="AB280" s="840"/>
      <c r="AC280" s="840"/>
    </row>
    <row r="281" ht="15.75" customHeight="1">
      <c r="A281" s="876"/>
      <c r="B281" s="321"/>
      <c r="C281" s="321"/>
      <c r="D281" s="321"/>
      <c r="E281" s="321"/>
      <c r="F281" s="848"/>
      <c r="G281" s="429"/>
      <c r="H281" s="849"/>
      <c r="I281" s="428"/>
      <c r="J281" s="429"/>
      <c r="K281" s="428"/>
      <c r="L281" s="430"/>
      <c r="M281" s="431"/>
      <c r="N281" s="431"/>
      <c r="O281" s="844"/>
      <c r="P281" s="840"/>
      <c r="Q281" s="840"/>
      <c r="R281" s="840"/>
      <c r="S281" s="840"/>
      <c r="T281" s="840"/>
      <c r="U281" s="840"/>
      <c r="V281" s="840"/>
      <c r="W281" s="840"/>
      <c r="X281" s="840"/>
      <c r="Y281" s="840"/>
      <c r="Z281" s="840"/>
      <c r="AA281" s="840"/>
      <c r="AB281" s="840"/>
      <c r="AC281" s="840"/>
    </row>
    <row r="282" ht="15.75" customHeight="1">
      <c r="A282" s="876"/>
      <c r="B282" s="321"/>
      <c r="C282" s="321"/>
      <c r="D282" s="321"/>
      <c r="E282" s="321"/>
      <c r="F282" s="848"/>
      <c r="G282" s="429"/>
      <c r="H282" s="849"/>
      <c r="I282" s="428"/>
      <c r="J282" s="429"/>
      <c r="K282" s="428"/>
      <c r="L282" s="430"/>
      <c r="M282" s="431"/>
      <c r="N282" s="431"/>
      <c r="O282" s="844"/>
      <c r="P282" s="840"/>
      <c r="Q282" s="840"/>
      <c r="R282" s="840"/>
      <c r="S282" s="840"/>
      <c r="T282" s="840"/>
      <c r="U282" s="840"/>
      <c r="V282" s="840"/>
      <c r="W282" s="840"/>
      <c r="X282" s="840"/>
      <c r="Y282" s="840"/>
      <c r="Z282" s="840"/>
      <c r="AA282" s="840"/>
      <c r="AB282" s="840"/>
      <c r="AC282" s="840"/>
    </row>
    <row r="283" ht="15.75" customHeight="1">
      <c r="A283" s="876"/>
      <c r="B283" s="321"/>
      <c r="C283" s="321"/>
      <c r="D283" s="321"/>
      <c r="E283" s="321"/>
      <c r="F283" s="848"/>
      <c r="G283" s="429"/>
      <c r="H283" s="849"/>
      <c r="I283" s="428"/>
      <c r="J283" s="429"/>
      <c r="K283" s="428"/>
      <c r="L283" s="430"/>
      <c r="M283" s="431"/>
      <c r="N283" s="431"/>
      <c r="O283" s="844"/>
      <c r="P283" s="840"/>
      <c r="Q283" s="840"/>
      <c r="R283" s="840"/>
      <c r="S283" s="840"/>
      <c r="T283" s="840"/>
      <c r="U283" s="840"/>
      <c r="V283" s="840"/>
      <c r="W283" s="840"/>
      <c r="X283" s="840"/>
      <c r="Y283" s="840"/>
      <c r="Z283" s="840"/>
      <c r="AA283" s="840"/>
      <c r="AB283" s="840"/>
      <c r="AC283" s="840"/>
    </row>
    <row r="284" ht="15.75" customHeight="1">
      <c r="A284" s="876"/>
      <c r="B284" s="321"/>
      <c r="C284" s="321"/>
      <c r="D284" s="321"/>
      <c r="E284" s="321"/>
      <c r="F284" s="848"/>
      <c r="G284" s="429"/>
      <c r="H284" s="849"/>
      <c r="I284" s="428"/>
      <c r="J284" s="429"/>
      <c r="K284" s="428"/>
      <c r="L284" s="430"/>
      <c r="M284" s="431"/>
      <c r="N284" s="431"/>
      <c r="O284" s="844"/>
      <c r="P284" s="840"/>
      <c r="Q284" s="840"/>
      <c r="R284" s="840"/>
      <c r="S284" s="840"/>
      <c r="T284" s="840"/>
      <c r="U284" s="840"/>
      <c r="V284" s="840"/>
      <c r="W284" s="840"/>
      <c r="X284" s="840"/>
      <c r="Y284" s="840"/>
      <c r="Z284" s="840"/>
      <c r="AA284" s="840"/>
      <c r="AB284" s="840"/>
      <c r="AC284" s="840"/>
    </row>
    <row r="285" ht="15.75" customHeight="1">
      <c r="A285" s="876"/>
      <c r="B285" s="321"/>
      <c r="C285" s="321"/>
      <c r="D285" s="321"/>
      <c r="E285" s="321"/>
      <c r="F285" s="848"/>
      <c r="G285" s="429"/>
      <c r="H285" s="849"/>
      <c r="I285" s="428"/>
      <c r="J285" s="429"/>
      <c r="K285" s="428"/>
      <c r="L285" s="430"/>
      <c r="M285" s="431"/>
      <c r="N285" s="431"/>
      <c r="O285" s="844"/>
      <c r="P285" s="840"/>
      <c r="Q285" s="840"/>
      <c r="R285" s="840"/>
      <c r="S285" s="840"/>
      <c r="T285" s="840"/>
      <c r="U285" s="840"/>
      <c r="V285" s="840"/>
      <c r="W285" s="840"/>
      <c r="X285" s="840"/>
      <c r="Y285" s="840"/>
      <c r="Z285" s="840"/>
      <c r="AA285" s="840"/>
      <c r="AB285" s="840"/>
      <c r="AC285" s="840"/>
    </row>
    <row r="286" ht="15.75" customHeight="1">
      <c r="A286" s="876"/>
      <c r="B286" s="321"/>
      <c r="C286" s="321"/>
      <c r="D286" s="321"/>
      <c r="E286" s="321"/>
      <c r="F286" s="848"/>
      <c r="G286" s="429"/>
      <c r="H286" s="849"/>
      <c r="I286" s="428"/>
      <c r="J286" s="429"/>
      <c r="K286" s="428"/>
      <c r="L286" s="430"/>
      <c r="M286" s="431"/>
      <c r="N286" s="431"/>
      <c r="O286" s="844"/>
      <c r="P286" s="840"/>
      <c r="Q286" s="840"/>
      <c r="R286" s="840"/>
      <c r="S286" s="840"/>
      <c r="T286" s="840"/>
      <c r="U286" s="840"/>
      <c r="V286" s="840"/>
      <c r="W286" s="840"/>
      <c r="X286" s="840"/>
      <c r="Y286" s="840"/>
      <c r="Z286" s="840"/>
      <c r="AA286" s="840"/>
      <c r="AB286" s="840"/>
      <c r="AC286" s="840"/>
    </row>
    <row r="287" ht="15.75" customHeight="1">
      <c r="A287" s="876"/>
      <c r="B287" s="321"/>
      <c r="C287" s="321"/>
      <c r="D287" s="321"/>
      <c r="E287" s="321"/>
      <c r="F287" s="848"/>
      <c r="G287" s="429"/>
      <c r="H287" s="849"/>
      <c r="I287" s="428"/>
      <c r="J287" s="429"/>
      <c r="K287" s="428"/>
      <c r="L287" s="430"/>
      <c r="M287" s="431"/>
      <c r="N287" s="431"/>
      <c r="O287" s="844"/>
      <c r="P287" s="840"/>
      <c r="Q287" s="840"/>
      <c r="R287" s="840"/>
      <c r="S287" s="840"/>
      <c r="T287" s="840"/>
      <c r="U287" s="840"/>
      <c r="V287" s="840"/>
      <c r="W287" s="840"/>
      <c r="X287" s="840"/>
      <c r="Y287" s="840"/>
      <c r="Z287" s="840"/>
      <c r="AA287" s="840"/>
      <c r="AB287" s="840"/>
      <c r="AC287" s="840"/>
    </row>
    <row r="288" ht="15.75" customHeight="1">
      <c r="A288" s="876"/>
      <c r="B288" s="321"/>
      <c r="C288" s="321"/>
      <c r="D288" s="321"/>
      <c r="E288" s="321"/>
      <c r="F288" s="848"/>
      <c r="G288" s="429"/>
      <c r="H288" s="849"/>
      <c r="I288" s="428"/>
      <c r="J288" s="429"/>
      <c r="K288" s="428"/>
      <c r="L288" s="430"/>
      <c r="M288" s="431"/>
      <c r="N288" s="431"/>
      <c r="O288" s="844"/>
      <c r="P288" s="840"/>
      <c r="Q288" s="840"/>
      <c r="R288" s="840"/>
      <c r="S288" s="840"/>
      <c r="T288" s="840"/>
      <c r="U288" s="840"/>
      <c r="V288" s="840"/>
      <c r="W288" s="840"/>
      <c r="X288" s="840"/>
      <c r="Y288" s="840"/>
      <c r="Z288" s="840"/>
      <c r="AA288" s="840"/>
      <c r="AB288" s="840"/>
      <c r="AC288" s="840"/>
    </row>
    <row r="289" ht="15.75" customHeight="1">
      <c r="A289" s="876"/>
      <c r="B289" s="321"/>
      <c r="C289" s="321"/>
      <c r="D289" s="321"/>
      <c r="E289" s="321"/>
      <c r="F289" s="848"/>
      <c r="G289" s="429"/>
      <c r="H289" s="849"/>
      <c r="I289" s="428"/>
      <c r="J289" s="429"/>
      <c r="K289" s="428"/>
      <c r="L289" s="430"/>
      <c r="M289" s="431"/>
      <c r="N289" s="431"/>
      <c r="O289" s="844"/>
      <c r="P289" s="840"/>
      <c r="Q289" s="840"/>
      <c r="R289" s="840"/>
      <c r="S289" s="840"/>
      <c r="T289" s="840"/>
      <c r="U289" s="840"/>
      <c r="V289" s="840"/>
      <c r="W289" s="840"/>
      <c r="X289" s="840"/>
      <c r="Y289" s="840"/>
      <c r="Z289" s="840"/>
      <c r="AA289" s="840"/>
      <c r="AB289" s="840"/>
      <c r="AC289" s="840"/>
    </row>
    <row r="290" ht="15.75" customHeight="1">
      <c r="A290" s="876"/>
      <c r="B290" s="321"/>
      <c r="C290" s="321"/>
      <c r="D290" s="321"/>
      <c r="E290" s="321"/>
      <c r="F290" s="848"/>
      <c r="G290" s="429"/>
      <c r="H290" s="849"/>
      <c r="I290" s="428"/>
      <c r="J290" s="429"/>
      <c r="K290" s="428"/>
      <c r="L290" s="430"/>
      <c r="M290" s="431"/>
      <c r="N290" s="431"/>
      <c r="O290" s="844"/>
      <c r="P290" s="840"/>
      <c r="Q290" s="840"/>
      <c r="R290" s="840"/>
      <c r="S290" s="840"/>
      <c r="T290" s="840"/>
      <c r="U290" s="840"/>
      <c r="V290" s="840"/>
      <c r="W290" s="840"/>
      <c r="X290" s="840"/>
      <c r="Y290" s="840"/>
      <c r="Z290" s="840"/>
      <c r="AA290" s="840"/>
      <c r="AB290" s="840"/>
      <c r="AC290" s="840"/>
    </row>
    <row r="291" ht="15.75" customHeight="1">
      <c r="A291" s="876"/>
      <c r="B291" s="321"/>
      <c r="C291" s="321"/>
      <c r="D291" s="321"/>
      <c r="E291" s="321"/>
      <c r="F291" s="848"/>
      <c r="G291" s="429"/>
      <c r="H291" s="849"/>
      <c r="I291" s="428"/>
      <c r="J291" s="429"/>
      <c r="K291" s="428"/>
      <c r="L291" s="430"/>
      <c r="M291" s="431"/>
      <c r="N291" s="431"/>
      <c r="O291" s="844"/>
      <c r="P291" s="840"/>
      <c r="Q291" s="840"/>
      <c r="R291" s="840"/>
      <c r="S291" s="840"/>
      <c r="T291" s="840"/>
      <c r="U291" s="840"/>
      <c r="V291" s="840"/>
      <c r="W291" s="840"/>
      <c r="X291" s="840"/>
      <c r="Y291" s="840"/>
      <c r="Z291" s="840"/>
      <c r="AA291" s="840"/>
      <c r="AB291" s="840"/>
      <c r="AC291" s="840"/>
    </row>
    <row r="292" ht="15.75" customHeight="1">
      <c r="A292" s="876"/>
      <c r="B292" s="321"/>
      <c r="C292" s="321"/>
      <c r="D292" s="321"/>
      <c r="E292" s="321"/>
      <c r="F292" s="848"/>
      <c r="G292" s="429"/>
      <c r="H292" s="849"/>
      <c r="I292" s="428"/>
      <c r="J292" s="429"/>
      <c r="K292" s="428"/>
      <c r="L292" s="430"/>
      <c r="M292" s="431"/>
      <c r="N292" s="431"/>
      <c r="O292" s="844"/>
      <c r="P292" s="840"/>
      <c r="Q292" s="840"/>
      <c r="R292" s="840"/>
      <c r="S292" s="840"/>
      <c r="T292" s="840"/>
      <c r="U292" s="840"/>
      <c r="V292" s="840"/>
      <c r="W292" s="840"/>
      <c r="X292" s="840"/>
      <c r="Y292" s="840"/>
      <c r="Z292" s="840"/>
      <c r="AA292" s="840"/>
      <c r="AB292" s="840"/>
      <c r="AC292" s="840"/>
    </row>
    <row r="293" ht="15.75" customHeight="1">
      <c r="A293" s="876"/>
      <c r="B293" s="321"/>
      <c r="C293" s="321"/>
      <c r="D293" s="321"/>
      <c r="E293" s="321"/>
      <c r="F293" s="848"/>
      <c r="G293" s="429"/>
      <c r="H293" s="849"/>
      <c r="I293" s="428"/>
      <c r="J293" s="429"/>
      <c r="K293" s="428"/>
      <c r="L293" s="430"/>
      <c r="M293" s="431"/>
      <c r="N293" s="431"/>
      <c r="O293" s="844"/>
      <c r="P293" s="840"/>
      <c r="Q293" s="840"/>
      <c r="R293" s="840"/>
      <c r="S293" s="840"/>
      <c r="T293" s="840"/>
      <c r="U293" s="840"/>
      <c r="V293" s="840"/>
      <c r="W293" s="840"/>
      <c r="X293" s="840"/>
      <c r="Y293" s="840"/>
      <c r="Z293" s="840"/>
      <c r="AA293" s="840"/>
      <c r="AB293" s="840"/>
      <c r="AC293" s="840"/>
    </row>
    <row r="294" ht="15.75" customHeight="1">
      <c r="A294" s="876"/>
      <c r="B294" s="321"/>
      <c r="C294" s="321"/>
      <c r="D294" s="321"/>
      <c r="E294" s="321"/>
      <c r="F294" s="848"/>
      <c r="G294" s="429"/>
      <c r="H294" s="849"/>
      <c r="I294" s="428"/>
      <c r="J294" s="429"/>
      <c r="K294" s="428"/>
      <c r="L294" s="430"/>
      <c r="M294" s="431"/>
      <c r="N294" s="431"/>
      <c r="O294" s="844"/>
      <c r="P294" s="840"/>
      <c r="Q294" s="840"/>
      <c r="R294" s="840"/>
      <c r="S294" s="840"/>
      <c r="T294" s="840"/>
      <c r="U294" s="840"/>
      <c r="V294" s="840"/>
      <c r="W294" s="840"/>
      <c r="X294" s="840"/>
      <c r="Y294" s="840"/>
      <c r="Z294" s="840"/>
      <c r="AA294" s="840"/>
      <c r="AB294" s="840"/>
      <c r="AC294" s="840"/>
    </row>
    <row r="295" ht="15.75" customHeight="1">
      <c r="A295" s="876"/>
      <c r="B295" s="321"/>
      <c r="C295" s="321"/>
      <c r="D295" s="321"/>
      <c r="E295" s="321"/>
      <c r="F295" s="848"/>
      <c r="G295" s="429"/>
      <c r="H295" s="849"/>
      <c r="I295" s="428"/>
      <c r="J295" s="429"/>
      <c r="K295" s="428"/>
      <c r="L295" s="430"/>
      <c r="M295" s="431"/>
      <c r="N295" s="431"/>
      <c r="O295" s="844"/>
      <c r="P295" s="840"/>
      <c r="Q295" s="840"/>
      <c r="R295" s="840"/>
      <c r="S295" s="840"/>
      <c r="T295" s="840"/>
      <c r="U295" s="840"/>
      <c r="V295" s="840"/>
      <c r="W295" s="840"/>
      <c r="X295" s="840"/>
      <c r="Y295" s="840"/>
      <c r="Z295" s="840"/>
      <c r="AA295" s="840"/>
      <c r="AB295" s="840"/>
      <c r="AC295" s="840"/>
    </row>
    <row r="296" ht="15.75" customHeight="1">
      <c r="A296" s="876"/>
      <c r="B296" s="321"/>
      <c r="C296" s="321"/>
      <c r="D296" s="321"/>
      <c r="E296" s="321"/>
      <c r="F296" s="848"/>
      <c r="G296" s="429"/>
      <c r="H296" s="849"/>
      <c r="I296" s="428"/>
      <c r="J296" s="429"/>
      <c r="K296" s="428"/>
      <c r="L296" s="430"/>
      <c r="M296" s="431"/>
      <c r="N296" s="431"/>
      <c r="O296" s="844"/>
      <c r="P296" s="840"/>
      <c r="Q296" s="840"/>
      <c r="R296" s="840"/>
      <c r="S296" s="840"/>
      <c r="T296" s="840"/>
      <c r="U296" s="840"/>
      <c r="V296" s="840"/>
      <c r="W296" s="840"/>
      <c r="X296" s="840"/>
      <c r="Y296" s="840"/>
      <c r="Z296" s="840"/>
      <c r="AA296" s="840"/>
      <c r="AB296" s="840"/>
      <c r="AC296" s="840"/>
    </row>
    <row r="297" ht="15.75" customHeight="1">
      <c r="A297" s="876"/>
      <c r="B297" s="321"/>
      <c r="C297" s="321"/>
      <c r="D297" s="321"/>
      <c r="E297" s="321"/>
      <c r="F297" s="848"/>
      <c r="G297" s="429"/>
      <c r="H297" s="849"/>
      <c r="I297" s="428"/>
      <c r="J297" s="429"/>
      <c r="K297" s="428"/>
      <c r="L297" s="430"/>
      <c r="M297" s="431"/>
      <c r="N297" s="431"/>
      <c r="O297" s="844"/>
      <c r="P297" s="840"/>
      <c r="Q297" s="840"/>
      <c r="R297" s="840"/>
      <c r="S297" s="840"/>
      <c r="T297" s="840"/>
      <c r="U297" s="840"/>
      <c r="V297" s="840"/>
      <c r="W297" s="840"/>
      <c r="X297" s="840"/>
      <c r="Y297" s="840"/>
      <c r="Z297" s="840"/>
      <c r="AA297" s="840"/>
      <c r="AB297" s="840"/>
      <c r="AC297" s="840"/>
    </row>
    <row r="298" ht="15.75" customHeight="1">
      <c r="A298" s="876"/>
      <c r="B298" s="321"/>
      <c r="C298" s="321"/>
      <c r="D298" s="321"/>
      <c r="E298" s="321"/>
      <c r="F298" s="848"/>
      <c r="G298" s="429"/>
      <c r="H298" s="849"/>
      <c r="I298" s="428"/>
      <c r="J298" s="429"/>
      <c r="K298" s="428"/>
      <c r="L298" s="430"/>
      <c r="M298" s="431"/>
      <c r="N298" s="431"/>
      <c r="O298" s="844"/>
      <c r="P298" s="840"/>
      <c r="Q298" s="840"/>
      <c r="R298" s="840"/>
      <c r="S298" s="840"/>
      <c r="T298" s="840"/>
      <c r="U298" s="840"/>
      <c r="V298" s="840"/>
      <c r="W298" s="840"/>
      <c r="X298" s="840"/>
      <c r="Y298" s="840"/>
      <c r="Z298" s="840"/>
      <c r="AA298" s="840"/>
      <c r="AB298" s="840"/>
      <c r="AC298" s="840"/>
    </row>
    <row r="299" ht="15.75" customHeight="1">
      <c r="A299" s="876"/>
      <c r="B299" s="321"/>
      <c r="C299" s="321"/>
      <c r="D299" s="321"/>
      <c r="E299" s="321"/>
      <c r="F299" s="848"/>
      <c r="G299" s="429"/>
      <c r="H299" s="849"/>
      <c r="I299" s="428"/>
      <c r="J299" s="429"/>
      <c r="K299" s="428"/>
      <c r="L299" s="430"/>
      <c r="M299" s="431"/>
      <c r="N299" s="431"/>
      <c r="O299" s="844"/>
      <c r="P299" s="840"/>
      <c r="Q299" s="840"/>
      <c r="R299" s="840"/>
      <c r="S299" s="840"/>
      <c r="T299" s="840"/>
      <c r="U299" s="840"/>
      <c r="V299" s="840"/>
      <c r="W299" s="840"/>
      <c r="X299" s="840"/>
      <c r="Y299" s="840"/>
      <c r="Z299" s="840"/>
      <c r="AA299" s="840"/>
      <c r="AB299" s="840"/>
      <c r="AC299" s="840"/>
    </row>
    <row r="300" ht="15.75" customHeight="1">
      <c r="A300" s="876"/>
      <c r="B300" s="321"/>
      <c r="C300" s="321"/>
      <c r="D300" s="321"/>
      <c r="E300" s="321"/>
      <c r="F300" s="848"/>
      <c r="G300" s="429"/>
      <c r="H300" s="849"/>
      <c r="I300" s="428"/>
      <c r="J300" s="429"/>
      <c r="K300" s="428"/>
      <c r="L300" s="430"/>
      <c r="M300" s="431"/>
      <c r="N300" s="431"/>
      <c r="O300" s="844"/>
      <c r="P300" s="840"/>
      <c r="Q300" s="840"/>
      <c r="R300" s="840"/>
      <c r="S300" s="840"/>
      <c r="T300" s="840"/>
      <c r="U300" s="840"/>
      <c r="V300" s="840"/>
      <c r="W300" s="840"/>
      <c r="X300" s="840"/>
      <c r="Y300" s="840"/>
      <c r="Z300" s="840"/>
      <c r="AA300" s="840"/>
      <c r="AB300" s="840"/>
      <c r="AC300" s="840"/>
    </row>
    <row r="301" ht="15.75" customHeight="1">
      <c r="A301" s="876"/>
      <c r="B301" s="321"/>
      <c r="C301" s="321"/>
      <c r="D301" s="321"/>
      <c r="E301" s="321"/>
      <c r="F301" s="848"/>
      <c r="G301" s="429"/>
      <c r="H301" s="849"/>
      <c r="I301" s="428"/>
      <c r="J301" s="429"/>
      <c r="K301" s="428"/>
      <c r="L301" s="430"/>
      <c r="M301" s="431"/>
      <c r="N301" s="431"/>
      <c r="O301" s="844"/>
      <c r="P301" s="840"/>
      <c r="Q301" s="840"/>
      <c r="R301" s="840"/>
      <c r="S301" s="840"/>
      <c r="T301" s="840"/>
      <c r="U301" s="840"/>
      <c r="V301" s="840"/>
      <c r="W301" s="840"/>
      <c r="X301" s="840"/>
      <c r="Y301" s="840"/>
      <c r="Z301" s="840"/>
      <c r="AA301" s="840"/>
      <c r="AB301" s="840"/>
      <c r="AC301" s="840"/>
    </row>
    <row r="302" ht="15.75" customHeight="1">
      <c r="A302" s="876"/>
      <c r="B302" s="321"/>
      <c r="C302" s="321"/>
      <c r="D302" s="321"/>
      <c r="E302" s="321"/>
      <c r="F302" s="848"/>
      <c r="G302" s="429"/>
      <c r="H302" s="849"/>
      <c r="I302" s="428"/>
      <c r="J302" s="429"/>
      <c r="K302" s="428"/>
      <c r="L302" s="430"/>
      <c r="M302" s="431"/>
      <c r="N302" s="431"/>
      <c r="O302" s="844"/>
      <c r="P302" s="840"/>
      <c r="Q302" s="840"/>
      <c r="R302" s="840"/>
      <c r="S302" s="840"/>
      <c r="T302" s="840"/>
      <c r="U302" s="840"/>
      <c r="V302" s="840"/>
      <c r="W302" s="840"/>
      <c r="X302" s="840"/>
      <c r="Y302" s="840"/>
      <c r="Z302" s="840"/>
      <c r="AA302" s="840"/>
      <c r="AB302" s="840"/>
      <c r="AC302" s="840"/>
    </row>
    <row r="303" ht="15.75" customHeight="1">
      <c r="A303" s="876"/>
      <c r="B303" s="321"/>
      <c r="C303" s="321"/>
      <c r="D303" s="321"/>
      <c r="E303" s="321"/>
      <c r="F303" s="848"/>
      <c r="G303" s="429"/>
      <c r="H303" s="849"/>
      <c r="I303" s="428"/>
      <c r="J303" s="429"/>
      <c r="K303" s="428"/>
      <c r="L303" s="430"/>
      <c r="M303" s="431"/>
      <c r="N303" s="431"/>
      <c r="O303" s="844"/>
      <c r="P303" s="840"/>
      <c r="Q303" s="840"/>
      <c r="R303" s="840"/>
      <c r="S303" s="840"/>
      <c r="T303" s="840"/>
      <c r="U303" s="840"/>
      <c r="V303" s="840"/>
      <c r="W303" s="840"/>
      <c r="X303" s="840"/>
      <c r="Y303" s="840"/>
      <c r="Z303" s="840"/>
      <c r="AA303" s="840"/>
      <c r="AB303" s="840"/>
      <c r="AC303" s="840"/>
    </row>
    <row r="304" ht="15.75" customHeight="1">
      <c r="A304" s="876"/>
      <c r="B304" s="321"/>
      <c r="C304" s="321"/>
      <c r="D304" s="321"/>
      <c r="E304" s="321"/>
      <c r="F304" s="848"/>
      <c r="G304" s="429"/>
      <c r="H304" s="849"/>
      <c r="I304" s="428"/>
      <c r="J304" s="429"/>
      <c r="K304" s="428"/>
      <c r="L304" s="430"/>
      <c r="M304" s="431"/>
      <c r="N304" s="431"/>
      <c r="O304" s="844"/>
      <c r="P304" s="840"/>
      <c r="Q304" s="840"/>
      <c r="R304" s="840"/>
      <c r="S304" s="840"/>
      <c r="T304" s="840"/>
      <c r="U304" s="840"/>
      <c r="V304" s="840"/>
      <c r="W304" s="840"/>
      <c r="X304" s="840"/>
      <c r="Y304" s="840"/>
      <c r="Z304" s="840"/>
      <c r="AA304" s="840"/>
      <c r="AB304" s="840"/>
      <c r="AC304" s="840"/>
    </row>
    <row r="305" ht="15.75" customHeight="1">
      <c r="A305" s="876"/>
      <c r="B305" s="321"/>
      <c r="C305" s="321"/>
      <c r="D305" s="321"/>
      <c r="E305" s="321"/>
      <c r="F305" s="848"/>
      <c r="G305" s="429"/>
      <c r="H305" s="849"/>
      <c r="I305" s="428"/>
      <c r="J305" s="429"/>
      <c r="K305" s="428"/>
      <c r="L305" s="430"/>
      <c r="M305" s="431"/>
      <c r="N305" s="431"/>
      <c r="O305" s="844"/>
      <c r="P305" s="840"/>
      <c r="Q305" s="840"/>
      <c r="R305" s="840"/>
      <c r="S305" s="840"/>
      <c r="T305" s="840"/>
      <c r="U305" s="840"/>
      <c r="V305" s="840"/>
      <c r="W305" s="840"/>
      <c r="X305" s="840"/>
      <c r="Y305" s="840"/>
      <c r="Z305" s="840"/>
      <c r="AA305" s="840"/>
      <c r="AB305" s="840"/>
      <c r="AC305" s="840"/>
    </row>
    <row r="306" ht="15.75" customHeight="1">
      <c r="A306" s="876"/>
      <c r="B306" s="321"/>
      <c r="C306" s="321"/>
      <c r="D306" s="321"/>
      <c r="E306" s="321"/>
      <c r="F306" s="848"/>
      <c r="G306" s="429"/>
      <c r="H306" s="849"/>
      <c r="I306" s="428"/>
      <c r="J306" s="429"/>
      <c r="K306" s="428"/>
      <c r="L306" s="430"/>
      <c r="M306" s="431"/>
      <c r="N306" s="431"/>
      <c r="O306" s="844"/>
      <c r="P306" s="840"/>
      <c r="Q306" s="840"/>
      <c r="R306" s="840"/>
      <c r="S306" s="840"/>
      <c r="T306" s="840"/>
      <c r="U306" s="840"/>
      <c r="V306" s="840"/>
      <c r="W306" s="840"/>
      <c r="X306" s="840"/>
      <c r="Y306" s="840"/>
      <c r="Z306" s="840"/>
      <c r="AA306" s="840"/>
      <c r="AB306" s="840"/>
      <c r="AC306" s="840"/>
    </row>
    <row r="307" ht="15.75" customHeight="1">
      <c r="A307" s="876"/>
      <c r="B307" s="321"/>
      <c r="C307" s="321"/>
      <c r="D307" s="321"/>
      <c r="E307" s="321"/>
      <c r="F307" s="848"/>
      <c r="G307" s="429"/>
      <c r="H307" s="849"/>
      <c r="I307" s="428"/>
      <c r="J307" s="429"/>
      <c r="K307" s="428"/>
      <c r="L307" s="430"/>
      <c r="M307" s="431"/>
      <c r="N307" s="431"/>
      <c r="O307" s="844"/>
      <c r="P307" s="840"/>
      <c r="Q307" s="840"/>
      <c r="R307" s="840"/>
      <c r="S307" s="840"/>
      <c r="T307" s="840"/>
      <c r="U307" s="840"/>
      <c r="V307" s="840"/>
      <c r="W307" s="840"/>
      <c r="X307" s="840"/>
      <c r="Y307" s="840"/>
      <c r="Z307" s="840"/>
      <c r="AA307" s="840"/>
      <c r="AB307" s="840"/>
      <c r="AC307" s="840"/>
    </row>
    <row r="308" ht="15.75" customHeight="1">
      <c r="A308" s="876"/>
      <c r="B308" s="321"/>
      <c r="C308" s="321"/>
      <c r="D308" s="321"/>
      <c r="E308" s="321"/>
      <c r="F308" s="848"/>
      <c r="G308" s="429"/>
      <c r="H308" s="849"/>
      <c r="I308" s="428"/>
      <c r="J308" s="429"/>
      <c r="K308" s="428"/>
      <c r="L308" s="430"/>
      <c r="M308" s="431"/>
      <c r="N308" s="431"/>
      <c r="O308" s="844"/>
      <c r="P308" s="840"/>
      <c r="Q308" s="840"/>
      <c r="R308" s="840"/>
      <c r="S308" s="840"/>
      <c r="T308" s="840"/>
      <c r="U308" s="840"/>
      <c r="V308" s="840"/>
      <c r="W308" s="840"/>
      <c r="X308" s="840"/>
      <c r="Y308" s="840"/>
      <c r="Z308" s="840"/>
      <c r="AA308" s="840"/>
      <c r="AB308" s="840"/>
      <c r="AC308" s="840"/>
    </row>
    <row r="309" ht="15.75" customHeight="1">
      <c r="A309" s="876"/>
      <c r="B309" s="321"/>
      <c r="C309" s="321"/>
      <c r="D309" s="321"/>
      <c r="E309" s="321"/>
      <c r="F309" s="848"/>
      <c r="G309" s="429"/>
      <c r="H309" s="849"/>
      <c r="I309" s="428"/>
      <c r="J309" s="429"/>
      <c r="K309" s="428"/>
      <c r="L309" s="430"/>
      <c r="M309" s="431"/>
      <c r="N309" s="431"/>
      <c r="O309" s="844"/>
      <c r="P309" s="840"/>
      <c r="Q309" s="840"/>
      <c r="R309" s="840"/>
      <c r="S309" s="840"/>
      <c r="T309" s="840"/>
      <c r="U309" s="840"/>
      <c r="V309" s="840"/>
      <c r="W309" s="840"/>
      <c r="X309" s="840"/>
      <c r="Y309" s="840"/>
      <c r="Z309" s="840"/>
      <c r="AA309" s="840"/>
      <c r="AB309" s="840"/>
      <c r="AC309" s="840"/>
    </row>
    <row r="310" ht="15.75" customHeight="1">
      <c r="A310" s="876"/>
      <c r="B310" s="321"/>
      <c r="C310" s="321"/>
      <c r="D310" s="321"/>
      <c r="E310" s="321"/>
      <c r="F310" s="848"/>
      <c r="G310" s="429"/>
      <c r="H310" s="849"/>
      <c r="I310" s="428"/>
      <c r="J310" s="429"/>
      <c r="K310" s="428"/>
      <c r="L310" s="430"/>
      <c r="M310" s="431"/>
      <c r="N310" s="431"/>
      <c r="O310" s="844"/>
      <c r="P310" s="840"/>
      <c r="Q310" s="840"/>
      <c r="R310" s="840"/>
      <c r="S310" s="840"/>
      <c r="T310" s="840"/>
      <c r="U310" s="840"/>
      <c r="V310" s="840"/>
      <c r="W310" s="840"/>
      <c r="X310" s="840"/>
      <c r="Y310" s="840"/>
      <c r="Z310" s="840"/>
      <c r="AA310" s="840"/>
      <c r="AB310" s="840"/>
      <c r="AC310" s="840"/>
    </row>
    <row r="311" ht="15.75" customHeight="1">
      <c r="A311" s="876"/>
      <c r="B311" s="321"/>
      <c r="C311" s="321"/>
      <c r="D311" s="321"/>
      <c r="E311" s="321"/>
      <c r="F311" s="848"/>
      <c r="G311" s="429"/>
      <c r="H311" s="849"/>
      <c r="I311" s="428"/>
      <c r="J311" s="429"/>
      <c r="K311" s="428"/>
      <c r="L311" s="430"/>
      <c r="M311" s="431"/>
      <c r="N311" s="431"/>
      <c r="O311" s="844"/>
      <c r="P311" s="840"/>
      <c r="Q311" s="840"/>
      <c r="R311" s="840"/>
      <c r="S311" s="840"/>
      <c r="T311" s="840"/>
      <c r="U311" s="840"/>
      <c r="V311" s="840"/>
      <c r="W311" s="840"/>
      <c r="X311" s="840"/>
      <c r="Y311" s="840"/>
      <c r="Z311" s="840"/>
      <c r="AA311" s="840"/>
      <c r="AB311" s="840"/>
      <c r="AC311" s="840"/>
    </row>
    <row r="312" ht="15.75" customHeight="1">
      <c r="A312" s="876"/>
      <c r="B312" s="321"/>
      <c r="C312" s="321"/>
      <c r="D312" s="321"/>
      <c r="E312" s="321"/>
      <c r="F312" s="848"/>
      <c r="G312" s="429"/>
      <c r="H312" s="849"/>
      <c r="I312" s="428"/>
      <c r="J312" s="429"/>
      <c r="K312" s="428"/>
      <c r="L312" s="430"/>
      <c r="M312" s="431"/>
      <c r="N312" s="431"/>
      <c r="O312" s="844"/>
      <c r="P312" s="840"/>
      <c r="Q312" s="840"/>
      <c r="R312" s="840"/>
      <c r="S312" s="840"/>
      <c r="T312" s="840"/>
      <c r="U312" s="840"/>
      <c r="V312" s="840"/>
      <c r="W312" s="840"/>
      <c r="X312" s="840"/>
      <c r="Y312" s="840"/>
      <c r="Z312" s="840"/>
      <c r="AA312" s="840"/>
      <c r="AB312" s="840"/>
      <c r="AC312" s="840"/>
    </row>
    <row r="313" ht="15.75" customHeight="1">
      <c r="A313" s="876"/>
      <c r="B313" s="321"/>
      <c r="C313" s="321"/>
      <c r="D313" s="321"/>
      <c r="E313" s="321"/>
      <c r="F313" s="848"/>
      <c r="G313" s="429"/>
      <c r="H313" s="849"/>
      <c r="I313" s="428"/>
      <c r="J313" s="429"/>
      <c r="K313" s="428"/>
      <c r="L313" s="430"/>
      <c r="M313" s="431"/>
      <c r="N313" s="431"/>
      <c r="O313" s="844"/>
      <c r="P313" s="840"/>
      <c r="Q313" s="840"/>
      <c r="R313" s="840"/>
      <c r="S313" s="840"/>
      <c r="T313" s="840"/>
      <c r="U313" s="840"/>
      <c r="V313" s="840"/>
      <c r="W313" s="840"/>
      <c r="X313" s="840"/>
      <c r="Y313" s="840"/>
      <c r="Z313" s="840"/>
      <c r="AA313" s="840"/>
      <c r="AB313" s="840"/>
      <c r="AC313" s="840"/>
    </row>
    <row r="314" ht="15.75" customHeight="1">
      <c r="A314" s="876"/>
      <c r="B314" s="321"/>
      <c r="C314" s="321"/>
      <c r="D314" s="321"/>
      <c r="E314" s="321"/>
      <c r="F314" s="848"/>
      <c r="G314" s="429"/>
      <c r="H314" s="849"/>
      <c r="I314" s="428"/>
      <c r="J314" s="429"/>
      <c r="K314" s="428"/>
      <c r="L314" s="430"/>
      <c r="M314" s="431"/>
      <c r="N314" s="431"/>
      <c r="O314" s="844"/>
      <c r="P314" s="840"/>
      <c r="Q314" s="840"/>
      <c r="R314" s="840"/>
      <c r="S314" s="840"/>
      <c r="T314" s="840"/>
      <c r="U314" s="840"/>
      <c r="V314" s="840"/>
      <c r="W314" s="840"/>
      <c r="X314" s="840"/>
      <c r="Y314" s="840"/>
      <c r="Z314" s="840"/>
      <c r="AA314" s="840"/>
      <c r="AB314" s="840"/>
      <c r="AC314" s="840"/>
    </row>
    <row r="315" ht="15.75" customHeight="1">
      <c r="A315" s="876"/>
      <c r="B315" s="321"/>
      <c r="C315" s="321"/>
      <c r="D315" s="321"/>
      <c r="E315" s="321"/>
      <c r="F315" s="848"/>
      <c r="G315" s="429"/>
      <c r="H315" s="849"/>
      <c r="I315" s="428"/>
      <c r="J315" s="429"/>
      <c r="K315" s="428"/>
      <c r="L315" s="430"/>
      <c r="M315" s="431"/>
      <c r="N315" s="431"/>
      <c r="O315" s="844"/>
      <c r="P315" s="840"/>
      <c r="Q315" s="840"/>
      <c r="R315" s="840"/>
      <c r="S315" s="840"/>
      <c r="T315" s="840"/>
      <c r="U315" s="840"/>
      <c r="V315" s="840"/>
      <c r="W315" s="840"/>
      <c r="X315" s="840"/>
      <c r="Y315" s="840"/>
      <c r="Z315" s="840"/>
      <c r="AA315" s="840"/>
      <c r="AB315" s="840"/>
      <c r="AC315" s="840"/>
    </row>
    <row r="316" ht="15.75" customHeight="1">
      <c r="A316" s="876"/>
      <c r="B316" s="321"/>
      <c r="C316" s="321"/>
      <c r="D316" s="321"/>
      <c r="E316" s="321"/>
      <c r="F316" s="848"/>
      <c r="G316" s="429"/>
      <c r="H316" s="849"/>
      <c r="I316" s="428"/>
      <c r="J316" s="429"/>
      <c r="K316" s="428"/>
      <c r="L316" s="430"/>
      <c r="M316" s="431"/>
      <c r="N316" s="431"/>
      <c r="O316" s="844"/>
      <c r="P316" s="840"/>
      <c r="Q316" s="840"/>
      <c r="R316" s="840"/>
      <c r="S316" s="840"/>
      <c r="T316" s="840"/>
      <c r="U316" s="840"/>
      <c r="V316" s="840"/>
      <c r="W316" s="840"/>
      <c r="X316" s="840"/>
      <c r="Y316" s="840"/>
      <c r="Z316" s="840"/>
      <c r="AA316" s="840"/>
      <c r="AB316" s="840"/>
      <c r="AC316" s="840"/>
    </row>
    <row r="317" ht="15.75" customHeight="1">
      <c r="A317" s="876"/>
      <c r="B317" s="321"/>
      <c r="C317" s="321"/>
      <c r="D317" s="321"/>
      <c r="E317" s="321"/>
      <c r="F317" s="848"/>
      <c r="G317" s="429"/>
      <c r="H317" s="849"/>
      <c r="I317" s="428"/>
      <c r="J317" s="429"/>
      <c r="K317" s="428"/>
      <c r="L317" s="430"/>
      <c r="M317" s="431"/>
      <c r="N317" s="431"/>
      <c r="O317" s="844"/>
      <c r="P317" s="840"/>
      <c r="Q317" s="840"/>
      <c r="R317" s="840"/>
      <c r="S317" s="840"/>
      <c r="T317" s="840"/>
      <c r="U317" s="840"/>
      <c r="V317" s="840"/>
      <c r="W317" s="840"/>
      <c r="X317" s="840"/>
      <c r="Y317" s="840"/>
      <c r="Z317" s="840"/>
      <c r="AA317" s="840"/>
      <c r="AB317" s="840"/>
      <c r="AC317" s="840"/>
    </row>
    <row r="318" ht="15.75" customHeight="1">
      <c r="A318" s="876"/>
      <c r="B318" s="321"/>
      <c r="C318" s="321"/>
      <c r="D318" s="321"/>
      <c r="E318" s="321"/>
      <c r="F318" s="848"/>
      <c r="G318" s="429"/>
      <c r="H318" s="849"/>
      <c r="I318" s="428"/>
      <c r="J318" s="429"/>
      <c r="K318" s="428"/>
      <c r="L318" s="430"/>
      <c r="M318" s="431"/>
      <c r="N318" s="431"/>
      <c r="O318" s="844"/>
      <c r="P318" s="840"/>
      <c r="Q318" s="840"/>
      <c r="R318" s="840"/>
      <c r="S318" s="840"/>
      <c r="T318" s="840"/>
      <c r="U318" s="840"/>
      <c r="V318" s="840"/>
      <c r="W318" s="840"/>
      <c r="X318" s="840"/>
      <c r="Y318" s="840"/>
      <c r="Z318" s="840"/>
      <c r="AA318" s="840"/>
      <c r="AB318" s="840"/>
      <c r="AC318" s="840"/>
    </row>
    <row r="319" ht="15.75" customHeight="1">
      <c r="A319" s="876"/>
      <c r="B319" s="321"/>
      <c r="C319" s="321"/>
      <c r="D319" s="321"/>
      <c r="E319" s="321"/>
      <c r="F319" s="848"/>
      <c r="G319" s="429"/>
      <c r="H319" s="849"/>
      <c r="I319" s="428"/>
      <c r="J319" s="429"/>
      <c r="K319" s="428"/>
      <c r="L319" s="430"/>
      <c r="M319" s="431"/>
      <c r="N319" s="431"/>
      <c r="O319" s="844"/>
      <c r="P319" s="840"/>
      <c r="Q319" s="840"/>
      <c r="R319" s="840"/>
      <c r="S319" s="840"/>
      <c r="T319" s="840"/>
      <c r="U319" s="840"/>
      <c r="V319" s="840"/>
      <c r="W319" s="840"/>
      <c r="X319" s="840"/>
      <c r="Y319" s="840"/>
      <c r="Z319" s="840"/>
      <c r="AA319" s="840"/>
      <c r="AB319" s="840"/>
      <c r="AC319" s="840"/>
    </row>
    <row r="320" ht="15.75" customHeight="1">
      <c r="A320" s="876"/>
      <c r="B320" s="321"/>
      <c r="C320" s="321"/>
      <c r="D320" s="321"/>
      <c r="E320" s="321"/>
      <c r="F320" s="848"/>
      <c r="G320" s="429"/>
      <c r="H320" s="849"/>
      <c r="I320" s="428"/>
      <c r="J320" s="429"/>
      <c r="K320" s="428"/>
      <c r="L320" s="430"/>
      <c r="M320" s="431"/>
      <c r="N320" s="431"/>
      <c r="O320" s="844"/>
      <c r="P320" s="840"/>
      <c r="Q320" s="840"/>
      <c r="R320" s="840"/>
      <c r="S320" s="840"/>
      <c r="T320" s="840"/>
      <c r="U320" s="840"/>
      <c r="V320" s="840"/>
      <c r="W320" s="840"/>
      <c r="X320" s="840"/>
      <c r="Y320" s="840"/>
      <c r="Z320" s="840"/>
      <c r="AA320" s="840"/>
      <c r="AB320" s="840"/>
      <c r="AC320" s="840"/>
    </row>
    <row r="321" ht="15.75" customHeight="1">
      <c r="A321" s="876"/>
      <c r="B321" s="321"/>
      <c r="C321" s="321"/>
      <c r="D321" s="321"/>
      <c r="E321" s="321"/>
      <c r="F321" s="848"/>
      <c r="G321" s="429"/>
      <c r="H321" s="849"/>
      <c r="I321" s="428"/>
      <c r="J321" s="429"/>
      <c r="K321" s="428"/>
      <c r="L321" s="430"/>
      <c r="M321" s="431"/>
      <c r="N321" s="431"/>
      <c r="O321" s="844"/>
      <c r="P321" s="840"/>
      <c r="Q321" s="840"/>
      <c r="R321" s="840"/>
      <c r="S321" s="840"/>
      <c r="T321" s="840"/>
      <c r="U321" s="840"/>
      <c r="V321" s="840"/>
      <c r="W321" s="840"/>
      <c r="X321" s="840"/>
      <c r="Y321" s="840"/>
      <c r="Z321" s="840"/>
      <c r="AA321" s="840"/>
      <c r="AB321" s="840"/>
      <c r="AC321" s="840"/>
    </row>
    <row r="322" ht="15.75" customHeight="1">
      <c r="A322" s="876"/>
      <c r="B322" s="321"/>
      <c r="C322" s="321"/>
      <c r="D322" s="321"/>
      <c r="E322" s="321"/>
      <c r="F322" s="848"/>
      <c r="G322" s="429"/>
      <c r="H322" s="849"/>
      <c r="I322" s="428"/>
      <c r="J322" s="429"/>
      <c r="K322" s="428"/>
      <c r="L322" s="430"/>
      <c r="M322" s="431"/>
      <c r="N322" s="431"/>
      <c r="O322" s="844"/>
      <c r="P322" s="840"/>
      <c r="Q322" s="840"/>
      <c r="R322" s="840"/>
      <c r="S322" s="840"/>
      <c r="T322" s="840"/>
      <c r="U322" s="840"/>
      <c r="V322" s="840"/>
      <c r="W322" s="840"/>
      <c r="X322" s="840"/>
      <c r="Y322" s="840"/>
      <c r="Z322" s="840"/>
      <c r="AA322" s="840"/>
      <c r="AB322" s="840"/>
      <c r="AC322" s="840"/>
    </row>
    <row r="323" ht="15.75" customHeight="1">
      <c r="A323" s="876"/>
      <c r="B323" s="321"/>
      <c r="C323" s="321"/>
      <c r="D323" s="321"/>
      <c r="E323" s="321"/>
      <c r="F323" s="848"/>
      <c r="G323" s="429"/>
      <c r="H323" s="849"/>
      <c r="I323" s="428"/>
      <c r="J323" s="429"/>
      <c r="K323" s="428"/>
      <c r="L323" s="430"/>
      <c r="M323" s="431"/>
      <c r="N323" s="431"/>
      <c r="O323" s="844"/>
      <c r="P323" s="840"/>
      <c r="Q323" s="840"/>
      <c r="R323" s="840"/>
      <c r="S323" s="840"/>
      <c r="T323" s="840"/>
      <c r="U323" s="840"/>
      <c r="V323" s="840"/>
      <c r="W323" s="840"/>
      <c r="X323" s="840"/>
      <c r="Y323" s="840"/>
      <c r="Z323" s="840"/>
      <c r="AA323" s="840"/>
      <c r="AB323" s="840"/>
      <c r="AC323" s="840"/>
    </row>
    <row r="324" ht="15.75" customHeight="1">
      <c r="A324" s="876"/>
      <c r="B324" s="321"/>
      <c r="C324" s="321"/>
      <c r="D324" s="321"/>
      <c r="E324" s="321"/>
      <c r="F324" s="848"/>
      <c r="G324" s="429"/>
      <c r="H324" s="849"/>
      <c r="I324" s="428"/>
      <c r="J324" s="429"/>
      <c r="K324" s="428"/>
      <c r="L324" s="430"/>
      <c r="M324" s="431"/>
      <c r="N324" s="431"/>
      <c r="O324" s="844"/>
      <c r="P324" s="840"/>
      <c r="Q324" s="840"/>
      <c r="R324" s="840"/>
      <c r="S324" s="840"/>
      <c r="T324" s="840"/>
      <c r="U324" s="840"/>
      <c r="V324" s="840"/>
      <c r="W324" s="840"/>
      <c r="X324" s="840"/>
      <c r="Y324" s="840"/>
      <c r="Z324" s="840"/>
      <c r="AA324" s="840"/>
      <c r="AB324" s="840"/>
      <c r="AC324" s="840"/>
    </row>
    <row r="325" ht="15.75" customHeight="1">
      <c r="A325" s="876"/>
      <c r="B325" s="321"/>
      <c r="C325" s="321"/>
      <c r="D325" s="321"/>
      <c r="E325" s="321"/>
      <c r="F325" s="848"/>
      <c r="G325" s="429"/>
      <c r="H325" s="849"/>
      <c r="I325" s="428"/>
      <c r="J325" s="429"/>
      <c r="K325" s="428"/>
      <c r="L325" s="430"/>
      <c r="M325" s="431"/>
      <c r="N325" s="431"/>
      <c r="O325" s="844"/>
      <c r="P325" s="840"/>
      <c r="Q325" s="840"/>
      <c r="R325" s="840"/>
      <c r="S325" s="840"/>
      <c r="T325" s="840"/>
      <c r="U325" s="840"/>
      <c r="V325" s="840"/>
      <c r="W325" s="840"/>
      <c r="X325" s="840"/>
      <c r="Y325" s="840"/>
      <c r="Z325" s="840"/>
      <c r="AA325" s="840"/>
      <c r="AB325" s="840"/>
      <c r="AC325" s="840"/>
    </row>
    <row r="326" ht="15.75" customHeight="1">
      <c r="A326" s="876"/>
      <c r="B326" s="321"/>
      <c r="C326" s="321"/>
      <c r="D326" s="321"/>
      <c r="E326" s="321"/>
      <c r="F326" s="848"/>
      <c r="G326" s="429"/>
      <c r="H326" s="849"/>
      <c r="I326" s="428"/>
      <c r="J326" s="429"/>
      <c r="K326" s="428"/>
      <c r="L326" s="430"/>
      <c r="M326" s="431"/>
      <c r="N326" s="431"/>
      <c r="O326" s="844"/>
      <c r="P326" s="840"/>
      <c r="Q326" s="840"/>
      <c r="R326" s="840"/>
      <c r="S326" s="840"/>
      <c r="T326" s="840"/>
      <c r="U326" s="840"/>
      <c r="V326" s="840"/>
      <c r="W326" s="840"/>
      <c r="X326" s="840"/>
      <c r="Y326" s="840"/>
      <c r="Z326" s="840"/>
      <c r="AA326" s="840"/>
      <c r="AB326" s="840"/>
      <c r="AC326" s="840"/>
    </row>
    <row r="327" ht="15.75" customHeight="1">
      <c r="A327" s="876"/>
      <c r="B327" s="321"/>
      <c r="C327" s="321"/>
      <c r="D327" s="321"/>
      <c r="E327" s="321"/>
      <c r="F327" s="848"/>
      <c r="G327" s="429"/>
      <c r="H327" s="849"/>
      <c r="I327" s="428"/>
      <c r="J327" s="429"/>
      <c r="K327" s="428"/>
      <c r="L327" s="430"/>
      <c r="M327" s="431"/>
      <c r="N327" s="431"/>
      <c r="O327" s="844"/>
      <c r="P327" s="840"/>
      <c r="Q327" s="840"/>
      <c r="R327" s="840"/>
      <c r="S327" s="840"/>
      <c r="T327" s="840"/>
      <c r="U327" s="840"/>
      <c r="V327" s="840"/>
      <c r="W327" s="840"/>
      <c r="X327" s="840"/>
      <c r="Y327" s="840"/>
      <c r="Z327" s="840"/>
      <c r="AA327" s="840"/>
      <c r="AB327" s="840"/>
      <c r="AC327" s="840"/>
    </row>
    <row r="328" ht="15.75" customHeight="1">
      <c r="A328" s="876"/>
      <c r="B328" s="321"/>
      <c r="C328" s="321"/>
      <c r="D328" s="321"/>
      <c r="E328" s="321"/>
      <c r="F328" s="848"/>
      <c r="G328" s="429"/>
      <c r="H328" s="849"/>
      <c r="I328" s="428"/>
      <c r="J328" s="429"/>
      <c r="K328" s="428"/>
      <c r="L328" s="430"/>
      <c r="M328" s="431"/>
      <c r="N328" s="431"/>
      <c r="O328" s="844"/>
      <c r="P328" s="840"/>
      <c r="Q328" s="840"/>
      <c r="R328" s="840"/>
      <c r="S328" s="840"/>
      <c r="T328" s="840"/>
      <c r="U328" s="840"/>
      <c r="V328" s="840"/>
      <c r="W328" s="840"/>
      <c r="X328" s="840"/>
      <c r="Y328" s="840"/>
      <c r="Z328" s="840"/>
      <c r="AA328" s="840"/>
      <c r="AB328" s="840"/>
      <c r="AC328" s="840"/>
    </row>
    <row r="329" ht="15.75" customHeight="1">
      <c r="A329" s="876"/>
      <c r="B329" s="321"/>
      <c r="C329" s="321"/>
      <c r="D329" s="321"/>
      <c r="E329" s="321"/>
      <c r="F329" s="848"/>
      <c r="G329" s="429"/>
      <c r="H329" s="849"/>
      <c r="I329" s="428"/>
      <c r="J329" s="429"/>
      <c r="K329" s="428"/>
      <c r="L329" s="430"/>
      <c r="M329" s="431"/>
      <c r="N329" s="431"/>
      <c r="O329" s="844"/>
      <c r="P329" s="840"/>
      <c r="Q329" s="840"/>
      <c r="R329" s="840"/>
      <c r="S329" s="840"/>
      <c r="T329" s="840"/>
      <c r="U329" s="840"/>
      <c r="V329" s="840"/>
      <c r="W329" s="840"/>
      <c r="X329" s="840"/>
      <c r="Y329" s="840"/>
      <c r="Z329" s="840"/>
      <c r="AA329" s="840"/>
      <c r="AB329" s="840"/>
      <c r="AC329" s="840"/>
    </row>
    <row r="330" ht="15.75" customHeight="1">
      <c r="A330" s="876"/>
      <c r="B330" s="321"/>
      <c r="C330" s="321"/>
      <c r="D330" s="321"/>
      <c r="E330" s="321"/>
      <c r="F330" s="848"/>
      <c r="G330" s="429"/>
      <c r="H330" s="849"/>
      <c r="I330" s="428"/>
      <c r="J330" s="429"/>
      <c r="K330" s="428"/>
      <c r="L330" s="430"/>
      <c r="M330" s="431"/>
      <c r="N330" s="431"/>
      <c r="O330" s="844"/>
      <c r="P330" s="840"/>
      <c r="Q330" s="840"/>
      <c r="R330" s="840"/>
      <c r="S330" s="840"/>
      <c r="T330" s="840"/>
      <c r="U330" s="840"/>
      <c r="V330" s="840"/>
      <c r="W330" s="840"/>
      <c r="X330" s="840"/>
      <c r="Y330" s="840"/>
      <c r="Z330" s="840"/>
      <c r="AA330" s="840"/>
      <c r="AB330" s="840"/>
      <c r="AC330" s="840"/>
    </row>
    <row r="331" ht="15.75" customHeight="1">
      <c r="A331" s="876"/>
      <c r="B331" s="321"/>
      <c r="C331" s="321"/>
      <c r="D331" s="321"/>
      <c r="E331" s="321"/>
      <c r="F331" s="848"/>
      <c r="G331" s="429"/>
      <c r="H331" s="849"/>
      <c r="I331" s="428"/>
      <c r="J331" s="429"/>
      <c r="K331" s="428"/>
      <c r="L331" s="430"/>
      <c r="M331" s="431"/>
      <c r="N331" s="431"/>
      <c r="O331" s="844"/>
      <c r="P331" s="840"/>
      <c r="Q331" s="840"/>
      <c r="R331" s="840"/>
      <c r="S331" s="840"/>
      <c r="T331" s="840"/>
      <c r="U331" s="840"/>
      <c r="V331" s="840"/>
      <c r="W331" s="840"/>
      <c r="X331" s="840"/>
      <c r="Y331" s="840"/>
      <c r="Z331" s="840"/>
      <c r="AA331" s="840"/>
      <c r="AB331" s="840"/>
      <c r="AC331" s="840"/>
    </row>
    <row r="332" ht="15.75" customHeight="1">
      <c r="A332" s="876"/>
      <c r="B332" s="321"/>
      <c r="C332" s="321"/>
      <c r="D332" s="321"/>
      <c r="E332" s="321"/>
      <c r="F332" s="848"/>
      <c r="G332" s="429"/>
      <c r="H332" s="849"/>
      <c r="I332" s="428"/>
      <c r="J332" s="429"/>
      <c r="K332" s="428"/>
      <c r="L332" s="430"/>
      <c r="M332" s="431"/>
      <c r="N332" s="431"/>
      <c r="O332" s="844"/>
      <c r="P332" s="840"/>
      <c r="Q332" s="840"/>
      <c r="R332" s="840"/>
      <c r="S332" s="840"/>
      <c r="T332" s="840"/>
      <c r="U332" s="840"/>
      <c r="V332" s="840"/>
      <c r="W332" s="840"/>
      <c r="X332" s="840"/>
      <c r="Y332" s="840"/>
      <c r="Z332" s="840"/>
      <c r="AA332" s="840"/>
      <c r="AB332" s="840"/>
      <c r="AC332" s="840"/>
    </row>
    <row r="333" ht="15.75" customHeight="1">
      <c r="A333" s="876"/>
      <c r="B333" s="321"/>
      <c r="C333" s="321"/>
      <c r="D333" s="321"/>
      <c r="E333" s="321"/>
      <c r="F333" s="848"/>
      <c r="G333" s="429"/>
      <c r="H333" s="849"/>
      <c r="I333" s="428"/>
      <c r="J333" s="429"/>
      <c r="K333" s="428"/>
      <c r="L333" s="430"/>
      <c r="M333" s="431"/>
      <c r="N333" s="431"/>
      <c r="O333" s="844"/>
      <c r="P333" s="840"/>
      <c r="Q333" s="840"/>
      <c r="R333" s="840"/>
      <c r="S333" s="840"/>
      <c r="T333" s="840"/>
      <c r="U333" s="840"/>
      <c r="V333" s="840"/>
      <c r="W333" s="840"/>
      <c r="X333" s="840"/>
      <c r="Y333" s="840"/>
      <c r="Z333" s="840"/>
      <c r="AA333" s="840"/>
      <c r="AB333" s="840"/>
      <c r="AC333" s="840"/>
    </row>
    <row r="334" ht="15.75" customHeight="1">
      <c r="A334" s="876"/>
      <c r="B334" s="321"/>
      <c r="C334" s="321"/>
      <c r="D334" s="321"/>
      <c r="E334" s="321"/>
      <c r="F334" s="848"/>
      <c r="G334" s="429"/>
      <c r="H334" s="849"/>
      <c r="I334" s="428"/>
      <c r="J334" s="429"/>
      <c r="K334" s="428"/>
      <c r="L334" s="430"/>
      <c r="M334" s="431"/>
      <c r="N334" s="431"/>
      <c r="O334" s="844"/>
      <c r="P334" s="840"/>
      <c r="Q334" s="840"/>
      <c r="R334" s="840"/>
      <c r="S334" s="840"/>
      <c r="T334" s="840"/>
      <c r="U334" s="840"/>
      <c r="V334" s="840"/>
      <c r="W334" s="840"/>
      <c r="X334" s="840"/>
      <c r="Y334" s="840"/>
      <c r="Z334" s="840"/>
      <c r="AA334" s="840"/>
      <c r="AB334" s="840"/>
      <c r="AC334" s="840"/>
    </row>
    <row r="335" ht="15.75" customHeight="1">
      <c r="A335" s="876"/>
      <c r="B335" s="321"/>
      <c r="C335" s="321"/>
      <c r="D335" s="321"/>
      <c r="E335" s="321"/>
      <c r="F335" s="848"/>
      <c r="G335" s="429"/>
      <c r="H335" s="849"/>
      <c r="I335" s="428"/>
      <c r="J335" s="429"/>
      <c r="K335" s="428"/>
      <c r="L335" s="430"/>
      <c r="M335" s="431"/>
      <c r="N335" s="431"/>
      <c r="O335" s="844"/>
      <c r="P335" s="840"/>
      <c r="Q335" s="840"/>
      <c r="R335" s="840"/>
      <c r="S335" s="840"/>
      <c r="T335" s="840"/>
      <c r="U335" s="840"/>
      <c r="V335" s="840"/>
      <c r="W335" s="840"/>
      <c r="X335" s="840"/>
      <c r="Y335" s="840"/>
      <c r="Z335" s="840"/>
      <c r="AA335" s="840"/>
      <c r="AB335" s="840"/>
      <c r="AC335" s="840"/>
    </row>
    <row r="336" ht="15.75" customHeight="1">
      <c r="A336" s="876"/>
      <c r="B336" s="321"/>
      <c r="C336" s="321"/>
      <c r="D336" s="321"/>
      <c r="E336" s="321"/>
      <c r="F336" s="848"/>
      <c r="G336" s="429"/>
      <c r="H336" s="849"/>
      <c r="I336" s="428"/>
      <c r="J336" s="429"/>
      <c r="K336" s="428"/>
      <c r="L336" s="430"/>
      <c r="M336" s="431"/>
      <c r="N336" s="431"/>
      <c r="O336" s="844"/>
      <c r="P336" s="840"/>
      <c r="Q336" s="840"/>
      <c r="R336" s="840"/>
      <c r="S336" s="840"/>
      <c r="T336" s="840"/>
      <c r="U336" s="840"/>
      <c r="V336" s="840"/>
      <c r="W336" s="840"/>
      <c r="X336" s="840"/>
      <c r="Y336" s="840"/>
      <c r="Z336" s="840"/>
      <c r="AA336" s="840"/>
      <c r="AB336" s="840"/>
      <c r="AC336" s="840"/>
    </row>
    <row r="337" ht="15.75" customHeight="1">
      <c r="A337" s="876"/>
      <c r="B337" s="321"/>
      <c r="C337" s="321"/>
      <c r="D337" s="321"/>
      <c r="E337" s="321"/>
      <c r="F337" s="848"/>
      <c r="G337" s="429"/>
      <c r="H337" s="849"/>
      <c r="I337" s="428"/>
      <c r="J337" s="429"/>
      <c r="K337" s="428"/>
      <c r="L337" s="430"/>
      <c r="M337" s="431"/>
      <c r="N337" s="431"/>
      <c r="O337" s="844"/>
      <c r="P337" s="840"/>
      <c r="Q337" s="840"/>
      <c r="R337" s="840"/>
      <c r="S337" s="840"/>
      <c r="T337" s="840"/>
      <c r="U337" s="840"/>
      <c r="V337" s="840"/>
      <c r="W337" s="840"/>
      <c r="X337" s="840"/>
      <c r="Y337" s="840"/>
      <c r="Z337" s="840"/>
      <c r="AA337" s="840"/>
      <c r="AB337" s="840"/>
      <c r="AC337" s="840"/>
    </row>
    <row r="338" ht="15.75" customHeight="1">
      <c r="A338" s="876"/>
      <c r="B338" s="321"/>
      <c r="C338" s="321"/>
      <c r="D338" s="321"/>
      <c r="E338" s="321"/>
      <c r="F338" s="848"/>
      <c r="G338" s="429"/>
      <c r="H338" s="849"/>
      <c r="I338" s="428"/>
      <c r="J338" s="429"/>
      <c r="K338" s="428"/>
      <c r="L338" s="430"/>
      <c r="M338" s="431"/>
      <c r="N338" s="431"/>
      <c r="O338" s="844"/>
      <c r="P338" s="840"/>
      <c r="Q338" s="840"/>
      <c r="R338" s="840"/>
      <c r="S338" s="840"/>
      <c r="T338" s="840"/>
      <c r="U338" s="840"/>
      <c r="V338" s="840"/>
      <c r="W338" s="840"/>
      <c r="X338" s="840"/>
      <c r="Y338" s="840"/>
      <c r="Z338" s="840"/>
      <c r="AA338" s="840"/>
      <c r="AB338" s="840"/>
      <c r="AC338" s="840"/>
    </row>
    <row r="339" ht="15.75" customHeight="1">
      <c r="A339" s="876"/>
      <c r="B339" s="321"/>
      <c r="C339" s="321"/>
      <c r="D339" s="321"/>
      <c r="E339" s="321"/>
      <c r="F339" s="848"/>
      <c r="G339" s="429"/>
      <c r="H339" s="849"/>
      <c r="I339" s="428"/>
      <c r="J339" s="429"/>
      <c r="K339" s="428"/>
      <c r="L339" s="430"/>
      <c r="M339" s="431"/>
      <c r="N339" s="431"/>
      <c r="O339" s="844"/>
      <c r="P339" s="840"/>
      <c r="Q339" s="840"/>
      <c r="R339" s="840"/>
      <c r="S339" s="840"/>
      <c r="T339" s="840"/>
      <c r="U339" s="840"/>
      <c r="V339" s="840"/>
      <c r="W339" s="840"/>
      <c r="X339" s="840"/>
      <c r="Y339" s="840"/>
      <c r="Z339" s="840"/>
      <c r="AA339" s="840"/>
      <c r="AB339" s="840"/>
      <c r="AC339" s="840"/>
    </row>
    <row r="340" ht="15.75" customHeight="1">
      <c r="A340" s="876"/>
      <c r="B340" s="321"/>
      <c r="C340" s="321"/>
      <c r="D340" s="321"/>
      <c r="E340" s="321"/>
      <c r="F340" s="848"/>
      <c r="G340" s="429"/>
      <c r="H340" s="849"/>
      <c r="I340" s="428"/>
      <c r="J340" s="429"/>
      <c r="K340" s="428"/>
      <c r="L340" s="430"/>
      <c r="M340" s="431"/>
      <c r="N340" s="431"/>
      <c r="O340" s="844"/>
      <c r="P340" s="840"/>
      <c r="Q340" s="840"/>
      <c r="R340" s="840"/>
      <c r="S340" s="840"/>
      <c r="T340" s="840"/>
      <c r="U340" s="840"/>
      <c r="V340" s="840"/>
      <c r="W340" s="840"/>
      <c r="X340" s="840"/>
      <c r="Y340" s="840"/>
      <c r="Z340" s="840"/>
      <c r="AA340" s="840"/>
      <c r="AB340" s="840"/>
      <c r="AC340" s="840"/>
    </row>
    <row r="341" ht="15.75" customHeight="1">
      <c r="A341" s="876"/>
      <c r="B341" s="321"/>
      <c r="C341" s="321"/>
      <c r="D341" s="321"/>
      <c r="E341" s="321"/>
      <c r="F341" s="848"/>
      <c r="G341" s="429"/>
      <c r="H341" s="849"/>
      <c r="I341" s="428"/>
      <c r="J341" s="429"/>
      <c r="K341" s="428"/>
      <c r="L341" s="430"/>
      <c r="M341" s="431"/>
      <c r="N341" s="431"/>
      <c r="O341" s="844"/>
      <c r="P341" s="840"/>
      <c r="Q341" s="840"/>
      <c r="R341" s="840"/>
      <c r="S341" s="840"/>
      <c r="T341" s="840"/>
      <c r="U341" s="840"/>
      <c r="V341" s="840"/>
      <c r="W341" s="840"/>
      <c r="X341" s="840"/>
      <c r="Y341" s="840"/>
      <c r="Z341" s="840"/>
      <c r="AA341" s="840"/>
      <c r="AB341" s="840"/>
      <c r="AC341" s="840"/>
    </row>
    <row r="342" ht="15.75" customHeight="1">
      <c r="A342" s="876"/>
      <c r="B342" s="321"/>
      <c r="C342" s="321"/>
      <c r="D342" s="321"/>
      <c r="E342" s="321"/>
      <c r="F342" s="848"/>
      <c r="G342" s="429"/>
      <c r="H342" s="849"/>
      <c r="I342" s="428"/>
      <c r="J342" s="429"/>
      <c r="K342" s="428"/>
      <c r="L342" s="430"/>
      <c r="M342" s="431"/>
      <c r="N342" s="431"/>
      <c r="O342" s="844"/>
      <c r="P342" s="840"/>
      <c r="Q342" s="840"/>
      <c r="R342" s="840"/>
      <c r="S342" s="840"/>
      <c r="T342" s="840"/>
      <c r="U342" s="840"/>
      <c r="V342" s="840"/>
      <c r="W342" s="840"/>
      <c r="X342" s="840"/>
      <c r="Y342" s="840"/>
      <c r="Z342" s="840"/>
      <c r="AA342" s="840"/>
      <c r="AB342" s="840"/>
      <c r="AC342" s="840"/>
    </row>
    <row r="343" ht="15.75" customHeight="1">
      <c r="A343" s="876"/>
      <c r="B343" s="321"/>
      <c r="C343" s="321"/>
      <c r="D343" s="321"/>
      <c r="E343" s="321"/>
      <c r="F343" s="848"/>
      <c r="G343" s="429"/>
      <c r="H343" s="849"/>
      <c r="I343" s="428"/>
      <c r="J343" s="429"/>
      <c r="K343" s="428"/>
      <c r="L343" s="430"/>
      <c r="M343" s="431"/>
      <c r="N343" s="431"/>
      <c r="O343" s="844"/>
      <c r="P343" s="840"/>
      <c r="Q343" s="840"/>
      <c r="R343" s="840"/>
      <c r="S343" s="840"/>
      <c r="T343" s="840"/>
      <c r="U343" s="840"/>
      <c r="V343" s="840"/>
      <c r="W343" s="840"/>
      <c r="X343" s="840"/>
      <c r="Y343" s="840"/>
      <c r="Z343" s="840"/>
      <c r="AA343" s="840"/>
      <c r="AB343" s="840"/>
      <c r="AC343" s="840"/>
    </row>
    <row r="344" ht="15.75" customHeight="1">
      <c r="A344" s="876"/>
      <c r="B344" s="321"/>
      <c r="C344" s="321"/>
      <c r="D344" s="321"/>
      <c r="E344" s="321"/>
      <c r="F344" s="848"/>
      <c r="G344" s="429"/>
      <c r="H344" s="849"/>
      <c r="I344" s="428"/>
      <c r="J344" s="429"/>
      <c r="K344" s="428"/>
      <c r="L344" s="430"/>
      <c r="M344" s="431"/>
      <c r="N344" s="431"/>
      <c r="O344" s="844"/>
      <c r="P344" s="840"/>
      <c r="Q344" s="840"/>
      <c r="R344" s="840"/>
      <c r="S344" s="840"/>
      <c r="T344" s="840"/>
      <c r="U344" s="840"/>
      <c r="V344" s="840"/>
      <c r="W344" s="840"/>
      <c r="X344" s="840"/>
      <c r="Y344" s="840"/>
      <c r="Z344" s="840"/>
      <c r="AA344" s="840"/>
      <c r="AB344" s="840"/>
      <c r="AC344" s="840"/>
    </row>
    <row r="345" ht="15.75" customHeight="1">
      <c r="A345" s="876"/>
      <c r="B345" s="321"/>
      <c r="C345" s="321"/>
      <c r="D345" s="321"/>
      <c r="E345" s="321"/>
      <c r="F345" s="848"/>
      <c r="G345" s="429"/>
      <c r="H345" s="849"/>
      <c r="I345" s="428"/>
      <c r="J345" s="429"/>
      <c r="K345" s="428"/>
      <c r="L345" s="430"/>
      <c r="M345" s="431"/>
      <c r="N345" s="431"/>
      <c r="O345" s="844"/>
      <c r="P345" s="840"/>
      <c r="Q345" s="840"/>
      <c r="R345" s="840"/>
      <c r="S345" s="840"/>
      <c r="T345" s="840"/>
      <c r="U345" s="840"/>
      <c r="V345" s="840"/>
      <c r="W345" s="840"/>
      <c r="X345" s="840"/>
      <c r="Y345" s="840"/>
      <c r="Z345" s="840"/>
      <c r="AA345" s="840"/>
      <c r="AB345" s="840"/>
      <c r="AC345" s="840"/>
    </row>
    <row r="346" ht="15.75" customHeight="1">
      <c r="A346" s="876"/>
      <c r="B346" s="321"/>
      <c r="C346" s="321"/>
      <c r="D346" s="321"/>
      <c r="E346" s="321"/>
      <c r="F346" s="848"/>
      <c r="G346" s="429"/>
      <c r="H346" s="849"/>
      <c r="I346" s="428"/>
      <c r="J346" s="429"/>
      <c r="K346" s="428"/>
      <c r="L346" s="430"/>
      <c r="M346" s="431"/>
      <c r="N346" s="431"/>
      <c r="O346" s="844"/>
      <c r="P346" s="840"/>
      <c r="Q346" s="840"/>
      <c r="R346" s="840"/>
      <c r="S346" s="840"/>
      <c r="T346" s="840"/>
      <c r="U346" s="840"/>
      <c r="V346" s="840"/>
      <c r="W346" s="840"/>
      <c r="X346" s="840"/>
      <c r="Y346" s="840"/>
      <c r="Z346" s="840"/>
      <c r="AA346" s="840"/>
      <c r="AB346" s="840"/>
      <c r="AC346" s="840"/>
    </row>
    <row r="347" ht="15.75" customHeight="1">
      <c r="A347" s="876"/>
      <c r="B347" s="321"/>
      <c r="C347" s="321"/>
      <c r="D347" s="321"/>
      <c r="E347" s="321"/>
      <c r="F347" s="848"/>
      <c r="G347" s="429"/>
      <c r="H347" s="849"/>
      <c r="I347" s="428"/>
      <c r="J347" s="429"/>
      <c r="K347" s="428"/>
      <c r="L347" s="430"/>
      <c r="M347" s="431"/>
      <c r="N347" s="431"/>
      <c r="O347" s="844"/>
      <c r="P347" s="840"/>
      <c r="Q347" s="840"/>
      <c r="R347" s="840"/>
      <c r="S347" s="840"/>
      <c r="T347" s="840"/>
      <c r="U347" s="840"/>
      <c r="V347" s="840"/>
      <c r="W347" s="840"/>
      <c r="X347" s="840"/>
      <c r="Y347" s="840"/>
      <c r="Z347" s="840"/>
      <c r="AA347" s="840"/>
      <c r="AB347" s="840"/>
      <c r="AC347" s="840"/>
    </row>
    <row r="348" ht="15.75" customHeight="1">
      <c r="A348" s="876"/>
      <c r="B348" s="321"/>
      <c r="C348" s="321"/>
      <c r="D348" s="321"/>
      <c r="E348" s="321"/>
      <c r="F348" s="848"/>
      <c r="G348" s="429"/>
      <c r="H348" s="849"/>
      <c r="I348" s="428"/>
      <c r="J348" s="429"/>
      <c r="K348" s="428"/>
      <c r="L348" s="430"/>
      <c r="M348" s="431"/>
      <c r="N348" s="431"/>
      <c r="O348" s="844"/>
      <c r="P348" s="840"/>
      <c r="Q348" s="840"/>
      <c r="R348" s="840"/>
      <c r="S348" s="840"/>
      <c r="T348" s="840"/>
      <c r="U348" s="840"/>
      <c r="V348" s="840"/>
      <c r="W348" s="840"/>
      <c r="X348" s="840"/>
      <c r="Y348" s="840"/>
      <c r="Z348" s="840"/>
      <c r="AA348" s="840"/>
      <c r="AB348" s="840"/>
      <c r="AC348" s="840"/>
    </row>
    <row r="349" ht="15.75" customHeight="1">
      <c r="A349" s="876"/>
      <c r="B349" s="321"/>
      <c r="C349" s="321"/>
      <c r="D349" s="321"/>
      <c r="E349" s="321"/>
      <c r="F349" s="848"/>
      <c r="G349" s="429"/>
      <c r="H349" s="849"/>
      <c r="I349" s="428"/>
      <c r="J349" s="429"/>
      <c r="K349" s="428"/>
      <c r="L349" s="430"/>
      <c r="M349" s="431"/>
      <c r="N349" s="431"/>
      <c r="O349" s="844"/>
      <c r="P349" s="840"/>
      <c r="Q349" s="840"/>
      <c r="R349" s="840"/>
      <c r="S349" s="840"/>
      <c r="T349" s="840"/>
      <c r="U349" s="840"/>
      <c r="V349" s="840"/>
      <c r="W349" s="840"/>
      <c r="X349" s="840"/>
      <c r="Y349" s="840"/>
      <c r="Z349" s="840"/>
      <c r="AA349" s="840"/>
      <c r="AB349" s="840"/>
      <c r="AC349" s="840"/>
    </row>
    <row r="350" ht="15.75" customHeight="1">
      <c r="A350" s="876"/>
      <c r="B350" s="321"/>
      <c r="C350" s="321"/>
      <c r="D350" s="321"/>
      <c r="E350" s="321"/>
      <c r="F350" s="848"/>
      <c r="G350" s="429"/>
      <c r="H350" s="849"/>
      <c r="I350" s="428"/>
      <c r="J350" s="429"/>
      <c r="K350" s="428"/>
      <c r="L350" s="430"/>
      <c r="M350" s="431"/>
      <c r="N350" s="431"/>
      <c r="O350" s="844"/>
      <c r="P350" s="840"/>
      <c r="Q350" s="840"/>
      <c r="R350" s="840"/>
      <c r="S350" s="840"/>
      <c r="T350" s="840"/>
      <c r="U350" s="840"/>
      <c r="V350" s="840"/>
      <c r="W350" s="840"/>
      <c r="X350" s="840"/>
      <c r="Y350" s="840"/>
      <c r="Z350" s="840"/>
      <c r="AA350" s="840"/>
      <c r="AB350" s="840"/>
      <c r="AC350" s="840"/>
    </row>
    <row r="351" ht="15.75" customHeight="1">
      <c r="A351" s="876"/>
      <c r="B351" s="321"/>
      <c r="C351" s="321"/>
      <c r="D351" s="321"/>
      <c r="E351" s="321"/>
      <c r="F351" s="848"/>
      <c r="G351" s="429"/>
      <c r="H351" s="849"/>
      <c r="I351" s="428"/>
      <c r="J351" s="429"/>
      <c r="K351" s="428"/>
      <c r="L351" s="430"/>
      <c r="M351" s="431"/>
      <c r="N351" s="431"/>
      <c r="O351" s="844"/>
      <c r="P351" s="840"/>
      <c r="Q351" s="840"/>
      <c r="R351" s="840"/>
      <c r="S351" s="840"/>
      <c r="T351" s="840"/>
      <c r="U351" s="840"/>
      <c r="V351" s="840"/>
      <c r="W351" s="840"/>
      <c r="X351" s="840"/>
      <c r="Y351" s="840"/>
      <c r="Z351" s="840"/>
      <c r="AA351" s="840"/>
      <c r="AB351" s="840"/>
      <c r="AC351" s="840"/>
    </row>
    <row r="352" ht="15.75" customHeight="1">
      <c r="A352" s="876"/>
      <c r="B352" s="321"/>
      <c r="C352" s="321"/>
      <c r="D352" s="321"/>
      <c r="E352" s="321"/>
      <c r="F352" s="848"/>
      <c r="G352" s="429"/>
      <c r="H352" s="849"/>
      <c r="I352" s="428"/>
      <c r="J352" s="429"/>
      <c r="K352" s="428"/>
      <c r="L352" s="430"/>
      <c r="M352" s="431"/>
      <c r="N352" s="431"/>
      <c r="O352" s="844"/>
      <c r="P352" s="840"/>
      <c r="Q352" s="840"/>
      <c r="R352" s="840"/>
      <c r="S352" s="840"/>
      <c r="T352" s="840"/>
      <c r="U352" s="840"/>
      <c r="V352" s="840"/>
      <c r="W352" s="840"/>
      <c r="X352" s="840"/>
      <c r="Y352" s="840"/>
      <c r="Z352" s="840"/>
      <c r="AA352" s="840"/>
      <c r="AB352" s="840"/>
      <c r="AC352" s="840"/>
    </row>
    <row r="353" ht="15.75" customHeight="1">
      <c r="A353" s="876"/>
      <c r="B353" s="321"/>
      <c r="C353" s="321"/>
      <c r="D353" s="321"/>
      <c r="E353" s="321"/>
      <c r="F353" s="848"/>
      <c r="G353" s="429"/>
      <c r="H353" s="849"/>
      <c r="I353" s="428"/>
      <c r="J353" s="429"/>
      <c r="K353" s="428"/>
      <c r="L353" s="430"/>
      <c r="M353" s="431"/>
      <c r="N353" s="431"/>
      <c r="O353" s="844"/>
      <c r="P353" s="840"/>
      <c r="Q353" s="840"/>
      <c r="R353" s="840"/>
      <c r="S353" s="840"/>
      <c r="T353" s="840"/>
      <c r="U353" s="840"/>
      <c r="V353" s="840"/>
      <c r="W353" s="840"/>
      <c r="X353" s="840"/>
      <c r="Y353" s="840"/>
      <c r="Z353" s="840"/>
      <c r="AA353" s="840"/>
      <c r="AB353" s="840"/>
      <c r="AC353" s="840"/>
    </row>
    <row r="354" ht="15.75" customHeight="1">
      <c r="A354" s="876"/>
      <c r="B354" s="321"/>
      <c r="C354" s="321"/>
      <c r="D354" s="321"/>
      <c r="E354" s="321"/>
      <c r="F354" s="848"/>
      <c r="G354" s="429"/>
      <c r="H354" s="849"/>
      <c r="I354" s="428"/>
      <c r="J354" s="429"/>
      <c r="K354" s="428"/>
      <c r="L354" s="430"/>
      <c r="M354" s="431"/>
      <c r="N354" s="431"/>
      <c r="O354" s="844"/>
      <c r="P354" s="840"/>
      <c r="Q354" s="840"/>
      <c r="R354" s="840"/>
      <c r="S354" s="840"/>
      <c r="T354" s="840"/>
      <c r="U354" s="840"/>
      <c r="V354" s="840"/>
      <c r="W354" s="840"/>
      <c r="X354" s="840"/>
      <c r="Y354" s="840"/>
      <c r="Z354" s="840"/>
      <c r="AA354" s="840"/>
      <c r="AB354" s="840"/>
      <c r="AC354" s="840"/>
    </row>
    <row r="355" ht="15.75" customHeight="1">
      <c r="A355" s="876"/>
      <c r="B355" s="321"/>
      <c r="C355" s="321"/>
      <c r="D355" s="321"/>
      <c r="E355" s="321"/>
      <c r="F355" s="848"/>
      <c r="G355" s="429"/>
      <c r="H355" s="849"/>
      <c r="I355" s="428"/>
      <c r="J355" s="429"/>
      <c r="K355" s="428"/>
      <c r="L355" s="430"/>
      <c r="M355" s="431"/>
      <c r="N355" s="431"/>
      <c r="O355" s="844"/>
      <c r="P355" s="840"/>
      <c r="Q355" s="840"/>
      <c r="R355" s="840"/>
      <c r="S355" s="840"/>
      <c r="T355" s="840"/>
      <c r="U355" s="840"/>
      <c r="V355" s="840"/>
      <c r="W355" s="840"/>
      <c r="X355" s="840"/>
      <c r="Y355" s="840"/>
      <c r="Z355" s="840"/>
      <c r="AA355" s="840"/>
      <c r="AB355" s="840"/>
      <c r="AC355" s="840"/>
    </row>
    <row r="356" ht="15.75" customHeight="1">
      <c r="A356" s="876"/>
      <c r="B356" s="321"/>
      <c r="C356" s="321"/>
      <c r="D356" s="321"/>
      <c r="E356" s="321"/>
      <c r="F356" s="848"/>
      <c r="G356" s="429"/>
      <c r="H356" s="849"/>
      <c r="I356" s="428"/>
      <c r="J356" s="429"/>
      <c r="K356" s="428"/>
      <c r="L356" s="430"/>
      <c r="M356" s="431"/>
      <c r="N356" s="431"/>
      <c r="O356" s="844"/>
      <c r="P356" s="840"/>
      <c r="Q356" s="840"/>
      <c r="R356" s="840"/>
      <c r="S356" s="840"/>
      <c r="T356" s="840"/>
      <c r="U356" s="840"/>
      <c r="V356" s="840"/>
      <c r="W356" s="840"/>
      <c r="X356" s="840"/>
      <c r="Y356" s="840"/>
      <c r="Z356" s="840"/>
      <c r="AA356" s="840"/>
      <c r="AB356" s="840"/>
      <c r="AC356" s="840"/>
    </row>
    <row r="357" ht="15.75" customHeight="1">
      <c r="A357" s="876"/>
      <c r="B357" s="321"/>
      <c r="C357" s="321"/>
      <c r="D357" s="321"/>
      <c r="E357" s="321"/>
      <c r="F357" s="848"/>
      <c r="G357" s="429"/>
      <c r="H357" s="849"/>
      <c r="I357" s="428"/>
      <c r="J357" s="429"/>
      <c r="K357" s="428"/>
      <c r="L357" s="430"/>
      <c r="M357" s="431"/>
      <c r="N357" s="431"/>
      <c r="O357" s="844"/>
      <c r="P357" s="840"/>
      <c r="Q357" s="840"/>
      <c r="R357" s="840"/>
      <c r="S357" s="840"/>
      <c r="T357" s="840"/>
      <c r="U357" s="840"/>
      <c r="V357" s="840"/>
      <c r="W357" s="840"/>
      <c r="X357" s="840"/>
      <c r="Y357" s="840"/>
      <c r="Z357" s="840"/>
      <c r="AA357" s="840"/>
      <c r="AB357" s="840"/>
      <c r="AC357" s="840"/>
    </row>
    <row r="358" ht="15.75" customHeight="1">
      <c r="A358" s="876"/>
      <c r="B358" s="321"/>
      <c r="C358" s="321"/>
      <c r="D358" s="321"/>
      <c r="E358" s="321"/>
      <c r="F358" s="848"/>
      <c r="G358" s="429"/>
      <c r="H358" s="849"/>
      <c r="I358" s="428"/>
      <c r="J358" s="429"/>
      <c r="K358" s="428"/>
      <c r="L358" s="430"/>
      <c r="M358" s="431"/>
      <c r="N358" s="431"/>
      <c r="O358" s="844"/>
      <c r="P358" s="840"/>
      <c r="Q358" s="840"/>
      <c r="R358" s="840"/>
      <c r="S358" s="840"/>
      <c r="T358" s="840"/>
      <c r="U358" s="840"/>
      <c r="V358" s="840"/>
      <c r="W358" s="840"/>
      <c r="X358" s="840"/>
      <c r="Y358" s="840"/>
      <c r="Z358" s="840"/>
      <c r="AA358" s="840"/>
      <c r="AB358" s="840"/>
      <c r="AC358" s="840"/>
    </row>
    <row r="359" ht="15.75" customHeight="1">
      <c r="A359" s="876"/>
      <c r="B359" s="321"/>
      <c r="C359" s="321"/>
      <c r="D359" s="321"/>
      <c r="E359" s="321"/>
      <c r="F359" s="848"/>
      <c r="G359" s="429"/>
      <c r="H359" s="849"/>
      <c r="I359" s="428"/>
      <c r="J359" s="429"/>
      <c r="K359" s="428"/>
      <c r="L359" s="430"/>
      <c r="M359" s="431"/>
      <c r="N359" s="431"/>
      <c r="O359" s="844"/>
      <c r="P359" s="840"/>
      <c r="Q359" s="840"/>
      <c r="R359" s="840"/>
      <c r="S359" s="840"/>
      <c r="T359" s="840"/>
      <c r="U359" s="840"/>
      <c r="V359" s="840"/>
      <c r="W359" s="840"/>
      <c r="X359" s="840"/>
      <c r="Y359" s="840"/>
      <c r="Z359" s="840"/>
      <c r="AA359" s="840"/>
      <c r="AB359" s="840"/>
      <c r="AC359" s="840"/>
    </row>
    <row r="360" ht="15.75" customHeight="1">
      <c r="A360" s="876"/>
      <c r="B360" s="321"/>
      <c r="C360" s="321"/>
      <c r="D360" s="321"/>
      <c r="E360" s="321"/>
      <c r="F360" s="848"/>
      <c r="G360" s="429"/>
      <c r="H360" s="849"/>
      <c r="I360" s="428"/>
      <c r="J360" s="429"/>
      <c r="K360" s="428"/>
      <c r="L360" s="430"/>
      <c r="M360" s="431"/>
      <c r="N360" s="431"/>
      <c r="O360" s="844"/>
      <c r="P360" s="840"/>
      <c r="Q360" s="840"/>
      <c r="R360" s="840"/>
      <c r="S360" s="840"/>
      <c r="T360" s="840"/>
      <c r="U360" s="840"/>
      <c r="V360" s="840"/>
      <c r="W360" s="840"/>
      <c r="X360" s="840"/>
      <c r="Y360" s="840"/>
      <c r="Z360" s="840"/>
      <c r="AA360" s="840"/>
      <c r="AB360" s="840"/>
      <c r="AC360" s="840"/>
    </row>
    <row r="361" ht="15.75" customHeight="1">
      <c r="A361" s="876"/>
      <c r="B361" s="321"/>
      <c r="C361" s="321"/>
      <c r="D361" s="321"/>
      <c r="E361" s="321"/>
      <c r="F361" s="848"/>
      <c r="G361" s="429"/>
      <c r="H361" s="849"/>
      <c r="I361" s="428"/>
      <c r="J361" s="429"/>
      <c r="K361" s="428"/>
      <c r="L361" s="430"/>
      <c r="M361" s="431"/>
      <c r="N361" s="431"/>
      <c r="O361" s="844"/>
      <c r="P361" s="840"/>
      <c r="Q361" s="840"/>
      <c r="R361" s="840"/>
      <c r="S361" s="840"/>
      <c r="T361" s="840"/>
      <c r="U361" s="840"/>
      <c r="V361" s="840"/>
      <c r="W361" s="840"/>
      <c r="X361" s="840"/>
      <c r="Y361" s="840"/>
      <c r="Z361" s="840"/>
      <c r="AA361" s="840"/>
      <c r="AB361" s="840"/>
      <c r="AC361" s="840"/>
    </row>
    <row r="362" ht="15.75" customHeight="1">
      <c r="A362" s="876"/>
      <c r="B362" s="321"/>
      <c r="C362" s="321"/>
      <c r="D362" s="321"/>
      <c r="E362" s="321"/>
      <c r="F362" s="848"/>
      <c r="G362" s="429"/>
      <c r="H362" s="849"/>
      <c r="I362" s="428"/>
      <c r="J362" s="429"/>
      <c r="K362" s="428"/>
      <c r="L362" s="430"/>
      <c r="M362" s="431"/>
      <c r="N362" s="431"/>
      <c r="O362" s="844"/>
      <c r="P362" s="840"/>
      <c r="Q362" s="840"/>
      <c r="R362" s="840"/>
      <c r="S362" s="840"/>
      <c r="T362" s="840"/>
      <c r="U362" s="840"/>
      <c r="V362" s="840"/>
      <c r="W362" s="840"/>
      <c r="X362" s="840"/>
      <c r="Y362" s="840"/>
      <c r="Z362" s="840"/>
      <c r="AA362" s="840"/>
      <c r="AB362" s="840"/>
      <c r="AC362" s="840"/>
    </row>
    <row r="363" ht="15.75" customHeight="1">
      <c r="A363" s="876"/>
      <c r="B363" s="321"/>
      <c r="C363" s="321"/>
      <c r="D363" s="321"/>
      <c r="E363" s="321"/>
      <c r="F363" s="848"/>
      <c r="G363" s="429"/>
      <c r="H363" s="849"/>
      <c r="I363" s="428"/>
      <c r="J363" s="429"/>
      <c r="K363" s="428"/>
      <c r="L363" s="430"/>
      <c r="M363" s="431"/>
      <c r="N363" s="431"/>
      <c r="O363" s="844"/>
      <c r="P363" s="840"/>
      <c r="Q363" s="840"/>
      <c r="R363" s="840"/>
      <c r="S363" s="840"/>
      <c r="T363" s="840"/>
      <c r="U363" s="840"/>
      <c r="V363" s="840"/>
      <c r="W363" s="840"/>
      <c r="X363" s="840"/>
      <c r="Y363" s="840"/>
      <c r="Z363" s="840"/>
      <c r="AA363" s="840"/>
      <c r="AB363" s="840"/>
      <c r="AC363" s="840"/>
    </row>
    <row r="364" ht="15.75" customHeight="1">
      <c r="A364" s="876"/>
      <c r="B364" s="321"/>
      <c r="C364" s="321"/>
      <c r="D364" s="321"/>
      <c r="E364" s="321"/>
      <c r="F364" s="848"/>
      <c r="G364" s="429"/>
      <c r="H364" s="849"/>
      <c r="I364" s="428"/>
      <c r="J364" s="429"/>
      <c r="K364" s="428"/>
      <c r="L364" s="430"/>
      <c r="M364" s="431"/>
      <c r="N364" s="431"/>
      <c r="O364" s="844"/>
      <c r="P364" s="840"/>
      <c r="Q364" s="840"/>
      <c r="R364" s="840"/>
      <c r="S364" s="840"/>
      <c r="T364" s="840"/>
      <c r="U364" s="840"/>
      <c r="V364" s="840"/>
      <c r="W364" s="840"/>
      <c r="X364" s="840"/>
      <c r="Y364" s="840"/>
      <c r="Z364" s="840"/>
      <c r="AA364" s="840"/>
      <c r="AB364" s="840"/>
      <c r="AC364" s="840"/>
    </row>
    <row r="365" ht="15.75" customHeight="1">
      <c r="A365" s="876"/>
      <c r="B365" s="321"/>
      <c r="C365" s="321"/>
      <c r="D365" s="321"/>
      <c r="E365" s="321"/>
      <c r="F365" s="848"/>
      <c r="G365" s="429"/>
      <c r="H365" s="849"/>
      <c r="I365" s="428"/>
      <c r="J365" s="429"/>
      <c r="K365" s="428"/>
      <c r="L365" s="430"/>
      <c r="M365" s="431"/>
      <c r="N365" s="431"/>
      <c r="O365" s="844"/>
      <c r="P365" s="840"/>
      <c r="Q365" s="840"/>
      <c r="R365" s="840"/>
      <c r="S365" s="840"/>
      <c r="T365" s="840"/>
      <c r="U365" s="840"/>
      <c r="V365" s="840"/>
      <c r="W365" s="840"/>
      <c r="X365" s="840"/>
      <c r="Y365" s="840"/>
      <c r="Z365" s="840"/>
      <c r="AA365" s="840"/>
      <c r="AB365" s="840"/>
      <c r="AC365" s="840"/>
    </row>
    <row r="366" ht="15.75" customHeight="1">
      <c r="A366" s="876"/>
      <c r="B366" s="321"/>
      <c r="C366" s="321"/>
      <c r="D366" s="321"/>
      <c r="E366" s="321"/>
      <c r="F366" s="848"/>
      <c r="G366" s="429"/>
      <c r="H366" s="849"/>
      <c r="I366" s="428"/>
      <c r="J366" s="429"/>
      <c r="K366" s="428"/>
      <c r="L366" s="430"/>
      <c r="M366" s="431"/>
      <c r="N366" s="431"/>
      <c r="O366" s="844"/>
      <c r="P366" s="840"/>
      <c r="Q366" s="840"/>
      <c r="R366" s="840"/>
      <c r="S366" s="840"/>
      <c r="T366" s="840"/>
      <c r="U366" s="840"/>
      <c r="V366" s="840"/>
      <c r="W366" s="840"/>
      <c r="X366" s="840"/>
      <c r="Y366" s="840"/>
      <c r="Z366" s="840"/>
      <c r="AA366" s="840"/>
      <c r="AB366" s="840"/>
      <c r="AC366" s="840"/>
    </row>
    <row r="367" ht="15.75" customHeight="1">
      <c r="A367" s="876"/>
      <c r="B367" s="321"/>
      <c r="C367" s="321"/>
      <c r="D367" s="321"/>
      <c r="E367" s="321"/>
      <c r="F367" s="848"/>
      <c r="G367" s="429"/>
      <c r="H367" s="849"/>
      <c r="I367" s="428"/>
      <c r="J367" s="429"/>
      <c r="K367" s="428"/>
      <c r="L367" s="430"/>
      <c r="M367" s="431"/>
      <c r="N367" s="431"/>
      <c r="O367" s="844"/>
      <c r="P367" s="840"/>
      <c r="Q367" s="840"/>
      <c r="R367" s="840"/>
      <c r="S367" s="840"/>
      <c r="T367" s="840"/>
      <c r="U367" s="840"/>
      <c r="V367" s="840"/>
      <c r="W367" s="840"/>
      <c r="X367" s="840"/>
      <c r="Y367" s="840"/>
      <c r="Z367" s="840"/>
      <c r="AA367" s="840"/>
      <c r="AB367" s="840"/>
      <c r="AC367" s="840"/>
    </row>
    <row r="368" ht="15.75" customHeight="1">
      <c r="A368" s="876"/>
      <c r="B368" s="321"/>
      <c r="C368" s="321"/>
      <c r="D368" s="321"/>
      <c r="E368" s="321"/>
      <c r="F368" s="848"/>
      <c r="G368" s="429"/>
      <c r="H368" s="849"/>
      <c r="I368" s="428"/>
      <c r="J368" s="429"/>
      <c r="K368" s="428"/>
      <c r="L368" s="430"/>
      <c r="M368" s="431"/>
      <c r="N368" s="431"/>
      <c r="O368" s="844"/>
      <c r="P368" s="840"/>
      <c r="Q368" s="840"/>
      <c r="R368" s="840"/>
      <c r="S368" s="840"/>
      <c r="T368" s="840"/>
      <c r="U368" s="840"/>
      <c r="V368" s="840"/>
      <c r="W368" s="840"/>
      <c r="X368" s="840"/>
      <c r="Y368" s="840"/>
      <c r="Z368" s="840"/>
      <c r="AA368" s="840"/>
      <c r="AB368" s="840"/>
      <c r="AC368" s="840"/>
    </row>
    <row r="369" ht="15.75" customHeight="1">
      <c r="A369" s="876"/>
      <c r="B369" s="321"/>
      <c r="C369" s="321"/>
      <c r="D369" s="321"/>
      <c r="E369" s="321"/>
      <c r="F369" s="848"/>
      <c r="G369" s="429"/>
      <c r="H369" s="849"/>
      <c r="I369" s="428"/>
      <c r="J369" s="429"/>
      <c r="K369" s="428"/>
      <c r="L369" s="430"/>
      <c r="M369" s="431"/>
      <c r="N369" s="431"/>
      <c r="O369" s="844"/>
      <c r="P369" s="840"/>
      <c r="Q369" s="840"/>
      <c r="R369" s="840"/>
      <c r="S369" s="840"/>
      <c r="T369" s="840"/>
      <c r="U369" s="840"/>
      <c r="V369" s="840"/>
      <c r="W369" s="840"/>
      <c r="X369" s="840"/>
      <c r="Y369" s="840"/>
      <c r="Z369" s="840"/>
      <c r="AA369" s="840"/>
      <c r="AB369" s="840"/>
      <c r="AC369" s="840"/>
    </row>
    <row r="370" ht="15.75" customHeight="1">
      <c r="A370" s="876"/>
      <c r="B370" s="321"/>
      <c r="C370" s="321"/>
      <c r="D370" s="321"/>
      <c r="E370" s="321"/>
      <c r="F370" s="848"/>
      <c r="G370" s="429"/>
      <c r="H370" s="849"/>
      <c r="I370" s="428"/>
      <c r="J370" s="429"/>
      <c r="K370" s="428"/>
      <c r="L370" s="430"/>
      <c r="M370" s="431"/>
      <c r="N370" s="431"/>
      <c r="O370" s="844"/>
      <c r="P370" s="840"/>
      <c r="Q370" s="840"/>
      <c r="R370" s="840"/>
      <c r="S370" s="840"/>
      <c r="T370" s="840"/>
      <c r="U370" s="840"/>
      <c r="V370" s="840"/>
      <c r="W370" s="840"/>
      <c r="X370" s="840"/>
      <c r="Y370" s="840"/>
      <c r="Z370" s="840"/>
      <c r="AA370" s="840"/>
      <c r="AB370" s="840"/>
      <c r="AC370" s="840"/>
    </row>
    <row r="371" ht="15.75" customHeight="1">
      <c r="A371" s="876"/>
      <c r="B371" s="321"/>
      <c r="C371" s="321"/>
      <c r="D371" s="321"/>
      <c r="E371" s="321"/>
      <c r="F371" s="848"/>
      <c r="G371" s="429"/>
      <c r="H371" s="849"/>
      <c r="I371" s="428"/>
      <c r="J371" s="429"/>
      <c r="K371" s="428"/>
      <c r="L371" s="430"/>
      <c r="M371" s="431"/>
      <c r="N371" s="431"/>
      <c r="O371" s="844"/>
      <c r="P371" s="840"/>
      <c r="Q371" s="840"/>
      <c r="R371" s="840"/>
      <c r="S371" s="840"/>
      <c r="T371" s="840"/>
      <c r="U371" s="840"/>
      <c r="V371" s="840"/>
      <c r="W371" s="840"/>
      <c r="X371" s="840"/>
      <c r="Y371" s="840"/>
      <c r="Z371" s="840"/>
      <c r="AA371" s="840"/>
      <c r="AB371" s="840"/>
      <c r="AC371" s="840"/>
    </row>
    <row r="372" ht="15.75" customHeight="1">
      <c r="A372" s="876"/>
      <c r="B372" s="321"/>
      <c r="C372" s="321"/>
      <c r="D372" s="321"/>
      <c r="E372" s="321"/>
      <c r="F372" s="848"/>
      <c r="G372" s="429"/>
      <c r="H372" s="849"/>
      <c r="I372" s="428"/>
      <c r="J372" s="429"/>
      <c r="K372" s="428"/>
      <c r="L372" s="430"/>
      <c r="M372" s="431"/>
      <c r="N372" s="431"/>
      <c r="O372" s="844"/>
      <c r="P372" s="840"/>
      <c r="Q372" s="840"/>
      <c r="R372" s="840"/>
      <c r="S372" s="840"/>
      <c r="T372" s="840"/>
      <c r="U372" s="840"/>
      <c r="V372" s="840"/>
      <c r="W372" s="840"/>
      <c r="X372" s="840"/>
      <c r="Y372" s="840"/>
      <c r="Z372" s="840"/>
      <c r="AA372" s="840"/>
      <c r="AB372" s="840"/>
      <c r="AC372" s="840"/>
    </row>
    <row r="373" ht="15.75" customHeight="1">
      <c r="A373" s="876"/>
      <c r="B373" s="321"/>
      <c r="C373" s="321"/>
      <c r="D373" s="321"/>
      <c r="E373" s="321"/>
      <c r="F373" s="848"/>
      <c r="G373" s="429"/>
      <c r="H373" s="849"/>
      <c r="I373" s="428"/>
      <c r="J373" s="429"/>
      <c r="K373" s="428"/>
      <c r="L373" s="430"/>
      <c r="M373" s="431"/>
      <c r="N373" s="431"/>
      <c r="O373" s="844"/>
      <c r="P373" s="840"/>
      <c r="Q373" s="840"/>
      <c r="R373" s="840"/>
      <c r="S373" s="840"/>
      <c r="T373" s="840"/>
      <c r="U373" s="840"/>
      <c r="V373" s="840"/>
      <c r="W373" s="840"/>
      <c r="X373" s="840"/>
      <c r="Y373" s="840"/>
      <c r="Z373" s="840"/>
      <c r="AA373" s="840"/>
      <c r="AB373" s="840"/>
      <c r="AC373" s="840"/>
    </row>
    <row r="374" ht="15.75" customHeight="1">
      <c r="A374" s="876"/>
      <c r="B374" s="321"/>
      <c r="C374" s="321"/>
      <c r="D374" s="321"/>
      <c r="E374" s="321"/>
      <c r="F374" s="848"/>
      <c r="G374" s="429"/>
      <c r="H374" s="849"/>
      <c r="I374" s="428"/>
      <c r="J374" s="429"/>
      <c r="K374" s="428"/>
      <c r="L374" s="430"/>
      <c r="M374" s="431"/>
      <c r="N374" s="431"/>
      <c r="O374" s="844"/>
      <c r="P374" s="840"/>
      <c r="Q374" s="840"/>
      <c r="R374" s="840"/>
      <c r="S374" s="840"/>
      <c r="T374" s="840"/>
      <c r="U374" s="840"/>
      <c r="V374" s="840"/>
      <c r="W374" s="840"/>
      <c r="X374" s="840"/>
      <c r="Y374" s="840"/>
      <c r="Z374" s="840"/>
      <c r="AA374" s="840"/>
      <c r="AB374" s="840"/>
      <c r="AC374" s="840"/>
    </row>
    <row r="375" ht="15.75" customHeight="1">
      <c r="A375" s="876"/>
      <c r="B375" s="321"/>
      <c r="C375" s="321"/>
      <c r="D375" s="321"/>
      <c r="E375" s="321"/>
      <c r="F375" s="848"/>
      <c r="G375" s="429"/>
      <c r="H375" s="849"/>
      <c r="I375" s="428"/>
      <c r="J375" s="429"/>
      <c r="K375" s="428"/>
      <c r="L375" s="430"/>
      <c r="M375" s="431"/>
      <c r="N375" s="431"/>
      <c r="O375" s="844"/>
      <c r="P375" s="840"/>
      <c r="Q375" s="840"/>
      <c r="R375" s="840"/>
      <c r="S375" s="840"/>
      <c r="T375" s="840"/>
      <c r="U375" s="840"/>
      <c r="V375" s="840"/>
      <c r="W375" s="840"/>
      <c r="X375" s="840"/>
      <c r="Y375" s="840"/>
      <c r="Z375" s="840"/>
      <c r="AA375" s="840"/>
      <c r="AB375" s="840"/>
      <c r="AC375" s="840"/>
    </row>
    <row r="376" ht="15.75" customHeight="1">
      <c r="A376" s="876"/>
      <c r="B376" s="321"/>
      <c r="C376" s="321"/>
      <c r="D376" s="321"/>
      <c r="E376" s="321"/>
      <c r="F376" s="848"/>
      <c r="G376" s="429"/>
      <c r="H376" s="849"/>
      <c r="I376" s="428"/>
      <c r="J376" s="429"/>
      <c r="K376" s="428"/>
      <c r="L376" s="430"/>
      <c r="M376" s="431"/>
      <c r="N376" s="431"/>
      <c r="O376" s="844"/>
      <c r="P376" s="840"/>
      <c r="Q376" s="840"/>
      <c r="R376" s="840"/>
      <c r="S376" s="840"/>
      <c r="T376" s="840"/>
      <c r="U376" s="840"/>
      <c r="V376" s="840"/>
      <c r="W376" s="840"/>
      <c r="X376" s="840"/>
      <c r="Y376" s="840"/>
      <c r="Z376" s="840"/>
      <c r="AA376" s="840"/>
      <c r="AB376" s="840"/>
      <c r="AC376" s="840"/>
    </row>
    <row r="377" ht="15.75" customHeight="1">
      <c r="A377" s="876"/>
      <c r="B377" s="321"/>
      <c r="C377" s="321"/>
      <c r="D377" s="321"/>
      <c r="E377" s="321"/>
      <c r="F377" s="848"/>
      <c r="G377" s="429"/>
      <c r="H377" s="849"/>
      <c r="I377" s="428"/>
      <c r="J377" s="429"/>
      <c r="K377" s="428"/>
      <c r="L377" s="430"/>
      <c r="M377" s="431"/>
      <c r="N377" s="431"/>
      <c r="O377" s="844"/>
      <c r="P377" s="840"/>
      <c r="Q377" s="840"/>
      <c r="R377" s="840"/>
      <c r="S377" s="840"/>
      <c r="T377" s="840"/>
      <c r="U377" s="840"/>
      <c r="V377" s="840"/>
      <c r="W377" s="840"/>
      <c r="X377" s="840"/>
      <c r="Y377" s="840"/>
      <c r="Z377" s="840"/>
      <c r="AA377" s="840"/>
      <c r="AB377" s="840"/>
      <c r="AC377" s="840"/>
    </row>
    <row r="378" ht="15.75" customHeight="1">
      <c r="M378" s="877"/>
      <c r="N378" s="877"/>
    </row>
    <row r="379" ht="15.75" customHeight="1">
      <c r="M379" s="877"/>
      <c r="N379" s="877"/>
    </row>
    <row r="380" ht="15.75" customHeight="1">
      <c r="M380" s="877"/>
      <c r="N380" s="877"/>
    </row>
    <row r="381" ht="15.75" customHeight="1">
      <c r="M381" s="877"/>
      <c r="N381" s="877"/>
    </row>
    <row r="382" ht="15.75" customHeight="1">
      <c r="M382" s="877"/>
      <c r="N382" s="877"/>
    </row>
    <row r="383" ht="15.75" customHeight="1">
      <c r="M383" s="877"/>
      <c r="N383" s="877"/>
    </row>
    <row r="384" ht="15.75" customHeight="1">
      <c r="M384" s="877"/>
      <c r="N384" s="877"/>
    </row>
    <row r="385" ht="15.75" customHeight="1">
      <c r="M385" s="877"/>
      <c r="N385" s="877"/>
    </row>
    <row r="386" ht="15.75" customHeight="1">
      <c r="M386" s="877"/>
      <c r="N386" s="877"/>
    </row>
    <row r="387" ht="15.75" customHeight="1">
      <c r="M387" s="877"/>
      <c r="N387" s="877"/>
    </row>
    <row r="388" ht="15.75" customHeight="1">
      <c r="M388" s="877"/>
      <c r="N388" s="877"/>
    </row>
    <row r="389" ht="15.75" customHeight="1">
      <c r="M389" s="877"/>
      <c r="N389" s="877"/>
    </row>
    <row r="390" ht="15.75" customHeight="1">
      <c r="M390" s="877"/>
      <c r="N390" s="877"/>
    </row>
    <row r="391" ht="15.75" customHeight="1">
      <c r="M391" s="877"/>
      <c r="N391" s="877"/>
    </row>
    <row r="392" ht="15.75" customHeight="1">
      <c r="M392" s="877"/>
      <c r="N392" s="877"/>
    </row>
    <row r="393" ht="15.75" customHeight="1">
      <c r="M393" s="877"/>
      <c r="N393" s="877"/>
    </row>
    <row r="394" ht="15.75" customHeight="1">
      <c r="M394" s="877"/>
      <c r="N394" s="877"/>
    </row>
    <row r="395" ht="15.75" customHeight="1">
      <c r="M395" s="877"/>
      <c r="N395" s="877"/>
    </row>
    <row r="396" ht="15.75" customHeight="1">
      <c r="M396" s="877"/>
      <c r="N396" s="877"/>
    </row>
    <row r="397" ht="15.75" customHeight="1">
      <c r="M397" s="877"/>
      <c r="N397" s="877"/>
    </row>
    <row r="398" ht="15.75" customHeight="1">
      <c r="M398" s="877"/>
      <c r="N398" s="877"/>
    </row>
    <row r="399" ht="15.75" customHeight="1">
      <c r="M399" s="877"/>
      <c r="N399" s="877"/>
    </row>
    <row r="400" ht="15.75" customHeight="1">
      <c r="M400" s="877"/>
      <c r="N400" s="877"/>
    </row>
    <row r="401" ht="15.75" customHeight="1">
      <c r="M401" s="877"/>
      <c r="N401" s="877"/>
    </row>
    <row r="402" ht="15.75" customHeight="1">
      <c r="M402" s="877"/>
      <c r="N402" s="877"/>
    </row>
    <row r="403" ht="15.75" customHeight="1">
      <c r="M403" s="877"/>
      <c r="N403" s="877"/>
    </row>
    <row r="404" ht="15.75" customHeight="1">
      <c r="M404" s="877"/>
      <c r="N404" s="877"/>
    </row>
    <row r="405" ht="15.75" customHeight="1">
      <c r="M405" s="877"/>
      <c r="N405" s="877"/>
    </row>
    <row r="406" ht="15.75" customHeight="1">
      <c r="M406" s="877"/>
      <c r="N406" s="877"/>
    </row>
    <row r="407" ht="15.75" customHeight="1">
      <c r="M407" s="877"/>
      <c r="N407" s="877"/>
    </row>
    <row r="408" ht="15.75" customHeight="1">
      <c r="M408" s="877"/>
      <c r="N408" s="877"/>
    </row>
    <row r="409" ht="15.75" customHeight="1">
      <c r="M409" s="877"/>
      <c r="N409" s="877"/>
    </row>
    <row r="410" ht="15.75" customHeight="1">
      <c r="M410" s="877"/>
      <c r="N410" s="877"/>
    </row>
    <row r="411" ht="15.75" customHeight="1">
      <c r="M411" s="877"/>
      <c r="N411" s="877"/>
    </row>
    <row r="412" ht="15.75" customHeight="1">
      <c r="M412" s="877"/>
      <c r="N412" s="877"/>
    </row>
    <row r="413" ht="15.75" customHeight="1">
      <c r="M413" s="877"/>
      <c r="N413" s="877"/>
    </row>
    <row r="414" ht="15.75" customHeight="1">
      <c r="M414" s="877"/>
      <c r="N414" s="877"/>
    </row>
    <row r="415" ht="15.75" customHeight="1">
      <c r="M415" s="877"/>
      <c r="N415" s="877"/>
    </row>
    <row r="416" ht="15.75" customHeight="1">
      <c r="M416" s="877"/>
      <c r="N416" s="877"/>
    </row>
    <row r="417" ht="15.75" customHeight="1">
      <c r="M417" s="877"/>
      <c r="N417" s="877"/>
    </row>
    <row r="418" ht="15.75" customHeight="1">
      <c r="M418" s="877"/>
      <c r="N418" s="877"/>
    </row>
    <row r="419" ht="15.75" customHeight="1">
      <c r="M419" s="877"/>
      <c r="N419" s="877"/>
    </row>
    <row r="420" ht="15.75" customHeight="1">
      <c r="M420" s="877"/>
      <c r="N420" s="877"/>
    </row>
    <row r="421" ht="15.75" customHeight="1">
      <c r="M421" s="877"/>
      <c r="N421" s="877"/>
    </row>
    <row r="422" ht="15.75" customHeight="1">
      <c r="M422" s="877"/>
      <c r="N422" s="877"/>
    </row>
    <row r="423" ht="15.75" customHeight="1">
      <c r="M423" s="877"/>
      <c r="N423" s="877"/>
    </row>
    <row r="424" ht="15.75" customHeight="1">
      <c r="M424" s="877"/>
      <c r="N424" s="877"/>
    </row>
    <row r="425" ht="15.75" customHeight="1">
      <c r="M425" s="877"/>
      <c r="N425" s="877"/>
    </row>
    <row r="426" ht="15.75" customHeight="1">
      <c r="M426" s="877"/>
      <c r="N426" s="877"/>
    </row>
    <row r="427" ht="15.75" customHeight="1">
      <c r="M427" s="877"/>
      <c r="N427" s="877"/>
    </row>
    <row r="428" ht="15.75" customHeight="1">
      <c r="M428" s="877"/>
      <c r="N428" s="877"/>
    </row>
    <row r="429" ht="15.75" customHeight="1">
      <c r="M429" s="877"/>
      <c r="N429" s="877"/>
    </row>
    <row r="430" ht="15.75" customHeight="1">
      <c r="M430" s="877"/>
      <c r="N430" s="877"/>
    </row>
    <row r="431" ht="15.75" customHeight="1">
      <c r="M431" s="877"/>
      <c r="N431" s="877"/>
    </row>
    <row r="432" ht="15.75" customHeight="1">
      <c r="M432" s="877"/>
      <c r="N432" s="877"/>
    </row>
    <row r="433" ht="15.75" customHeight="1">
      <c r="M433" s="877"/>
      <c r="N433" s="877"/>
    </row>
    <row r="434" ht="15.75" customHeight="1">
      <c r="M434" s="877"/>
      <c r="N434" s="877"/>
    </row>
    <row r="435" ht="15.75" customHeight="1">
      <c r="M435" s="877"/>
      <c r="N435" s="877"/>
    </row>
    <row r="436" ht="15.75" customHeight="1">
      <c r="M436" s="877"/>
      <c r="N436" s="877"/>
    </row>
    <row r="437" ht="15.75" customHeight="1">
      <c r="M437" s="877"/>
      <c r="N437" s="877"/>
    </row>
    <row r="438" ht="15.75" customHeight="1">
      <c r="M438" s="877"/>
      <c r="N438" s="877"/>
    </row>
    <row r="439" ht="15.75" customHeight="1">
      <c r="M439" s="877"/>
      <c r="N439" s="877"/>
    </row>
    <row r="440" ht="15.75" customHeight="1">
      <c r="M440" s="877"/>
      <c r="N440" s="877"/>
    </row>
    <row r="441" ht="15.75" customHeight="1">
      <c r="M441" s="877"/>
      <c r="N441" s="877"/>
    </row>
    <row r="442" ht="15.75" customHeight="1">
      <c r="M442" s="877"/>
      <c r="N442" s="877"/>
    </row>
    <row r="443" ht="15.75" customHeight="1">
      <c r="M443" s="877"/>
      <c r="N443" s="877"/>
    </row>
    <row r="444" ht="15.75" customHeight="1">
      <c r="M444" s="877"/>
      <c r="N444" s="877"/>
    </row>
    <row r="445" ht="15.75" customHeight="1">
      <c r="M445" s="877"/>
      <c r="N445" s="877"/>
    </row>
    <row r="446" ht="15.75" customHeight="1">
      <c r="M446" s="877"/>
      <c r="N446" s="877"/>
    </row>
    <row r="447" ht="15.75" customHeight="1">
      <c r="M447" s="877"/>
      <c r="N447" s="877"/>
    </row>
    <row r="448" ht="15.75" customHeight="1">
      <c r="M448" s="877"/>
      <c r="N448" s="877"/>
    </row>
    <row r="449" ht="15.75" customHeight="1">
      <c r="M449" s="877"/>
      <c r="N449" s="877"/>
    </row>
    <row r="450" ht="15.75" customHeight="1">
      <c r="M450" s="877"/>
      <c r="N450" s="877"/>
    </row>
    <row r="451" ht="15.75" customHeight="1">
      <c r="M451" s="877"/>
      <c r="N451" s="877"/>
    </row>
    <row r="452" ht="15.75" customHeight="1">
      <c r="M452" s="877"/>
      <c r="N452" s="877"/>
    </row>
    <row r="453" ht="15.75" customHeight="1">
      <c r="M453" s="877"/>
      <c r="N453" s="877"/>
    </row>
    <row r="454" ht="15.75" customHeight="1">
      <c r="M454" s="877"/>
      <c r="N454" s="877"/>
    </row>
    <row r="455" ht="15.75" customHeight="1">
      <c r="M455" s="877"/>
      <c r="N455" s="877"/>
    </row>
    <row r="456" ht="15.75" customHeight="1">
      <c r="M456" s="877"/>
      <c r="N456" s="877"/>
    </row>
    <row r="457" ht="15.75" customHeight="1">
      <c r="M457" s="877"/>
      <c r="N457" s="877"/>
    </row>
    <row r="458" ht="15.75" customHeight="1">
      <c r="M458" s="877"/>
      <c r="N458" s="877"/>
    </row>
    <row r="459" ht="15.75" customHeight="1">
      <c r="M459" s="877"/>
      <c r="N459" s="877"/>
    </row>
    <row r="460" ht="15.75" customHeight="1">
      <c r="M460" s="877"/>
      <c r="N460" s="877"/>
    </row>
    <row r="461" ht="15.75" customHeight="1">
      <c r="M461" s="877"/>
      <c r="N461" s="877"/>
    </row>
    <row r="462" ht="15.75" customHeight="1">
      <c r="M462" s="877"/>
      <c r="N462" s="877"/>
    </row>
    <row r="463" ht="15.75" customHeight="1">
      <c r="M463" s="877"/>
      <c r="N463" s="877"/>
    </row>
    <row r="464" ht="15.75" customHeight="1">
      <c r="M464" s="877"/>
      <c r="N464" s="877"/>
    </row>
    <row r="465" ht="15.75" customHeight="1">
      <c r="M465" s="877"/>
      <c r="N465" s="877"/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conditionalFormatting sqref="K52:K53 L11:L12 M3:M10 M13:M51 M54:M1000 N11:N12 N14:N21 N41:N45 N65:N70 N84:N90 N98 N107:N109 N111:N112 N114:N115 N117:N122 P52:P53">
    <cfRule type="containsText" dxfId="1" priority="1" operator="containsText" text="да">
      <formula>NOT(ISERROR(SEARCH(("да"),(K52))))</formula>
    </cfRule>
  </conditionalFormatting>
  <conditionalFormatting sqref="G11 H11:J12 I1:I2 I5:I9 I14:I21 I23:I26 I28:I39 I41:I45 I47:I53 I55:I74 I76:I91 I94:I98 I100:I1000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52:K53 L11:L12 M1:M51 M54:M1000 N1:N1000 O11:O12 O52:P53">
    <cfRule type="containsText" dxfId="0" priority="3" operator="containsText" text="нет">
      <formula>NOT(ISERROR(SEARCH(("нет"),(K52))))</formula>
    </cfRule>
  </conditionalFormatting>
  <conditionalFormatting sqref="M11:M12 N1:N10 N13:N1000">
    <cfRule type="containsText" dxfId="1" priority="4" operator="containsText" text="да">
      <formula>NOT(ISERROR(SEARCH(("да"),(M11))))</formula>
    </cfRule>
  </conditionalFormatting>
  <dataValidations>
    <dataValidation type="list" allowBlank="1" showErrorMessage="1" sqref="M3:N51 M52:P53 M54:N465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6.43"/>
    <col customWidth="1" min="2" max="6" width="14.43"/>
  </cols>
  <sheetData>
    <row r="1">
      <c r="A1" s="878" t="s">
        <v>1014</v>
      </c>
      <c r="B1" s="878" t="s">
        <v>1654</v>
      </c>
      <c r="C1" s="878" t="s">
        <v>1655</v>
      </c>
      <c r="D1" s="878" t="s">
        <v>1656</v>
      </c>
      <c r="E1" s="878" t="s">
        <v>1657</v>
      </c>
      <c r="F1" s="878" t="s">
        <v>1658</v>
      </c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  <c r="U1" s="840"/>
      <c r="V1" s="840"/>
      <c r="W1" s="840"/>
      <c r="X1" s="840"/>
      <c r="Y1" s="840"/>
    </row>
    <row r="2">
      <c r="A2" s="879" t="s">
        <v>1659</v>
      </c>
      <c r="B2" s="880"/>
      <c r="C2" s="880"/>
      <c r="D2" s="880"/>
      <c r="E2" s="880"/>
      <c r="F2" s="88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</row>
    <row r="3">
      <c r="A3" s="814" t="s">
        <v>161</v>
      </c>
      <c r="B3" s="881" t="s">
        <v>1660</v>
      </c>
      <c r="C3" s="881" t="s">
        <v>1661</v>
      </c>
      <c r="D3" s="881" t="s">
        <v>1662</v>
      </c>
      <c r="E3" s="881" t="s">
        <v>1663</v>
      </c>
      <c r="F3" s="881">
        <v>1928.36</v>
      </c>
      <c r="G3" s="840"/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840"/>
      <c r="U3" s="840"/>
      <c r="V3" s="840"/>
      <c r="W3" s="840"/>
      <c r="X3" s="840"/>
      <c r="Y3" s="840"/>
    </row>
    <row r="4">
      <c r="A4" s="814" t="s">
        <v>157</v>
      </c>
      <c r="B4" s="881" t="s">
        <v>1664</v>
      </c>
      <c r="C4" s="881" t="s">
        <v>1665</v>
      </c>
      <c r="D4" s="881" t="s">
        <v>1666</v>
      </c>
      <c r="E4" s="881" t="s">
        <v>1667</v>
      </c>
      <c r="F4" s="881">
        <v>3377.81</v>
      </c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</row>
    <row r="5">
      <c r="A5" s="814" t="s">
        <v>1668</v>
      </c>
      <c r="B5" s="881" t="s">
        <v>1669</v>
      </c>
      <c r="C5" s="881" t="s">
        <v>1670</v>
      </c>
      <c r="D5" s="881" t="s">
        <v>1671</v>
      </c>
      <c r="E5" s="881" t="s">
        <v>1672</v>
      </c>
      <c r="F5" s="881">
        <v>490.8</v>
      </c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</row>
    <row r="6">
      <c r="A6" s="814" t="s">
        <v>169</v>
      </c>
      <c r="B6" s="881" t="s">
        <v>1673</v>
      </c>
      <c r="C6" s="881" t="s">
        <v>1674</v>
      </c>
      <c r="D6" s="881" t="s">
        <v>1675</v>
      </c>
      <c r="E6" s="881" t="s">
        <v>1676</v>
      </c>
      <c r="F6" s="881">
        <v>441.43</v>
      </c>
      <c r="G6" s="840"/>
      <c r="H6" s="840"/>
      <c r="I6" s="840"/>
      <c r="J6" s="840"/>
      <c r="K6" s="840"/>
      <c r="L6" s="840"/>
      <c r="M6" s="840"/>
      <c r="N6" s="840"/>
      <c r="O6" s="840"/>
      <c r="P6" s="840"/>
      <c r="Q6" s="840"/>
      <c r="R6" s="840"/>
      <c r="S6" s="840"/>
      <c r="T6" s="840"/>
      <c r="U6" s="840"/>
      <c r="V6" s="840"/>
      <c r="W6" s="840"/>
      <c r="X6" s="840"/>
      <c r="Y6" s="840"/>
    </row>
    <row r="7">
      <c r="A7" s="814" t="s">
        <v>1677</v>
      </c>
      <c r="B7" s="881" t="s">
        <v>1678</v>
      </c>
      <c r="C7" s="881" t="s">
        <v>1679</v>
      </c>
      <c r="D7" s="881" t="s">
        <v>1680</v>
      </c>
      <c r="E7" s="881" t="s">
        <v>1681</v>
      </c>
      <c r="F7" s="881">
        <v>416.78</v>
      </c>
      <c r="G7" s="840"/>
      <c r="H7" s="840"/>
      <c r="I7" s="840"/>
      <c r="J7" s="840"/>
      <c r="K7" s="840"/>
      <c r="L7" s="840"/>
      <c r="M7" s="840"/>
      <c r="N7" s="840"/>
      <c r="O7" s="840"/>
      <c r="P7" s="840"/>
      <c r="Q7" s="840"/>
      <c r="R7" s="840"/>
      <c r="S7" s="840"/>
      <c r="T7" s="840"/>
      <c r="U7" s="840"/>
      <c r="V7" s="840"/>
      <c r="W7" s="840"/>
      <c r="X7" s="840"/>
      <c r="Y7" s="840"/>
    </row>
    <row r="8">
      <c r="A8" s="814" t="s">
        <v>173</v>
      </c>
      <c r="B8" s="881" t="s">
        <v>1682</v>
      </c>
      <c r="C8" s="881" t="s">
        <v>1683</v>
      </c>
      <c r="D8" s="881" t="s">
        <v>1684</v>
      </c>
      <c r="E8" s="881" t="s">
        <v>1685</v>
      </c>
      <c r="F8" s="881">
        <v>601.91</v>
      </c>
      <c r="G8" s="840"/>
      <c r="H8" s="840"/>
      <c r="I8" s="840"/>
      <c r="J8" s="840"/>
      <c r="K8" s="840"/>
      <c r="L8" s="840"/>
      <c r="M8" s="840"/>
      <c r="N8" s="840"/>
      <c r="O8" s="840"/>
      <c r="P8" s="840"/>
      <c r="Q8" s="840"/>
      <c r="R8" s="840"/>
      <c r="S8" s="840"/>
      <c r="T8" s="840"/>
      <c r="U8" s="840"/>
      <c r="V8" s="840"/>
      <c r="W8" s="840"/>
      <c r="X8" s="840"/>
      <c r="Y8" s="840"/>
    </row>
    <row r="9">
      <c r="A9" s="814" t="s">
        <v>1686</v>
      </c>
      <c r="B9" s="881" t="s">
        <v>1687</v>
      </c>
      <c r="C9" s="881" t="s">
        <v>1688</v>
      </c>
      <c r="D9" s="881" t="s">
        <v>1689</v>
      </c>
      <c r="E9" s="881" t="s">
        <v>1690</v>
      </c>
      <c r="F9" s="881">
        <v>725.45</v>
      </c>
      <c r="G9" s="840"/>
      <c r="H9" s="840"/>
      <c r="I9" s="840"/>
      <c r="J9" s="840"/>
      <c r="K9" s="840"/>
      <c r="L9" s="840"/>
      <c r="M9" s="840"/>
      <c r="N9" s="840"/>
      <c r="O9" s="840"/>
      <c r="P9" s="840"/>
      <c r="Q9" s="840"/>
      <c r="R9" s="840"/>
      <c r="S9" s="840"/>
      <c r="T9" s="840"/>
      <c r="U9" s="840"/>
      <c r="V9" s="840"/>
      <c r="W9" s="840"/>
      <c r="X9" s="840"/>
      <c r="Y9" s="840"/>
    </row>
    <row r="10">
      <c r="A10" s="814" t="s">
        <v>1691</v>
      </c>
      <c r="B10" s="881" t="s">
        <v>1669</v>
      </c>
      <c r="C10" s="881" t="s">
        <v>1692</v>
      </c>
      <c r="D10" s="881" t="s">
        <v>1693</v>
      </c>
      <c r="E10" s="881" t="s">
        <v>1694</v>
      </c>
      <c r="F10" s="881">
        <v>578.52</v>
      </c>
      <c r="G10" s="840"/>
      <c r="H10" s="840"/>
      <c r="I10" s="840"/>
      <c r="J10" s="840"/>
      <c r="K10" s="840"/>
      <c r="L10" s="840"/>
      <c r="M10" s="840"/>
      <c r="N10" s="840"/>
      <c r="O10" s="840"/>
      <c r="P10" s="840"/>
      <c r="Q10" s="840"/>
      <c r="R10" s="840"/>
      <c r="S10" s="840"/>
      <c r="T10" s="840"/>
      <c r="U10" s="840"/>
      <c r="V10" s="840"/>
      <c r="W10" s="840"/>
      <c r="X10" s="840"/>
      <c r="Y10" s="840"/>
    </row>
    <row r="11">
      <c r="A11" s="882" t="s">
        <v>1695</v>
      </c>
      <c r="B11" s="880"/>
      <c r="C11" s="880"/>
      <c r="D11" s="880"/>
      <c r="E11" s="880"/>
      <c r="F11" s="880"/>
      <c r="G11" s="840"/>
      <c r="H11" s="840"/>
      <c r="I11" s="840"/>
      <c r="J11" s="840"/>
      <c r="K11" s="840"/>
      <c r="L11" s="840"/>
      <c r="M11" s="840"/>
      <c r="N11" s="840"/>
      <c r="O11" s="840"/>
      <c r="P11" s="840"/>
      <c r="Q11" s="840"/>
      <c r="R11" s="840"/>
      <c r="S11" s="840"/>
      <c r="T11" s="840"/>
      <c r="U11" s="840"/>
      <c r="V11" s="840"/>
      <c r="W11" s="840"/>
      <c r="X11" s="840"/>
      <c r="Y11" s="840"/>
    </row>
    <row r="12">
      <c r="A12" s="814" t="s">
        <v>177</v>
      </c>
      <c r="B12" s="881" t="s">
        <v>1678</v>
      </c>
      <c r="C12" s="881" t="s">
        <v>1696</v>
      </c>
      <c r="D12" s="881" t="s">
        <v>1680</v>
      </c>
      <c r="E12" s="881" t="s">
        <v>1697</v>
      </c>
      <c r="F12" s="881">
        <v>347.15</v>
      </c>
      <c r="G12" s="840"/>
      <c r="H12" s="840"/>
      <c r="I12" s="840"/>
      <c r="J12" s="840"/>
      <c r="K12" s="840"/>
      <c r="L12" s="840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</row>
    <row r="13">
      <c r="A13" s="814" t="s">
        <v>184</v>
      </c>
      <c r="B13" s="881" t="s">
        <v>1698</v>
      </c>
      <c r="C13" s="881" t="s">
        <v>1699</v>
      </c>
      <c r="D13" s="881" t="s">
        <v>1680</v>
      </c>
      <c r="E13" s="881" t="s">
        <v>1700</v>
      </c>
      <c r="F13" s="881">
        <v>393.1</v>
      </c>
      <c r="G13" s="840"/>
      <c r="H13" s="840"/>
      <c r="I13" s="840"/>
      <c r="J13" s="840"/>
      <c r="K13" s="840"/>
      <c r="L13" s="840"/>
      <c r="M13" s="840"/>
      <c r="N13" s="840"/>
      <c r="O13" s="840"/>
      <c r="P13" s="840"/>
      <c r="Q13" s="840"/>
      <c r="R13" s="840"/>
      <c r="S13" s="840"/>
      <c r="T13" s="840"/>
      <c r="U13" s="840"/>
      <c r="V13" s="840"/>
      <c r="W13" s="840"/>
      <c r="X13" s="840"/>
      <c r="Y13" s="840"/>
    </row>
    <row r="14">
      <c r="A14" s="814" t="s">
        <v>188</v>
      </c>
      <c r="B14" s="881" t="s">
        <v>1698</v>
      </c>
      <c r="C14" s="881" t="s">
        <v>1701</v>
      </c>
      <c r="D14" s="881" t="s">
        <v>1702</v>
      </c>
      <c r="E14" s="881" t="s">
        <v>1703</v>
      </c>
      <c r="F14" s="881">
        <v>507.09</v>
      </c>
      <c r="G14" s="840"/>
      <c r="H14" s="840"/>
      <c r="I14" s="840"/>
      <c r="J14" s="840"/>
      <c r="K14" s="840"/>
      <c r="L14" s="840"/>
      <c r="M14" s="840"/>
      <c r="N14" s="840"/>
      <c r="O14" s="840"/>
      <c r="P14" s="840"/>
      <c r="Q14" s="840"/>
      <c r="R14" s="840"/>
      <c r="S14" s="840"/>
      <c r="T14" s="840"/>
      <c r="U14" s="840"/>
      <c r="V14" s="840"/>
      <c r="W14" s="840"/>
      <c r="X14" s="840"/>
      <c r="Y14" s="840"/>
    </row>
    <row r="15">
      <c r="A15" s="814" t="s">
        <v>479</v>
      </c>
      <c r="B15" s="881" t="s">
        <v>1698</v>
      </c>
      <c r="C15" s="881" t="s">
        <v>1704</v>
      </c>
      <c r="D15" s="881" t="s">
        <v>1705</v>
      </c>
      <c r="E15" s="881" t="s">
        <v>1706</v>
      </c>
      <c r="F15" s="881">
        <v>419.49</v>
      </c>
      <c r="G15" s="840"/>
      <c r="H15" s="840"/>
      <c r="I15" s="840"/>
      <c r="J15" s="840"/>
      <c r="K15" s="840"/>
      <c r="L15" s="840"/>
      <c r="M15" s="840"/>
      <c r="N15" s="840"/>
      <c r="O15" s="840"/>
      <c r="P15" s="840"/>
      <c r="Q15" s="840"/>
      <c r="R15" s="840"/>
      <c r="S15" s="840"/>
      <c r="T15" s="840"/>
      <c r="U15" s="840"/>
      <c r="V15" s="840"/>
      <c r="W15" s="840"/>
      <c r="X15" s="840"/>
      <c r="Y15" s="840"/>
    </row>
    <row r="16">
      <c r="A16" s="814" t="s">
        <v>180</v>
      </c>
      <c r="B16" s="881" t="s">
        <v>1678</v>
      </c>
      <c r="C16" s="881" t="s">
        <v>1707</v>
      </c>
      <c r="D16" s="881" t="s">
        <v>1708</v>
      </c>
      <c r="E16" s="881" t="s">
        <v>1709</v>
      </c>
      <c r="F16" s="881">
        <v>250.14</v>
      </c>
      <c r="G16" s="840"/>
      <c r="H16" s="840"/>
      <c r="I16" s="840"/>
      <c r="J16" s="840"/>
      <c r="K16" s="840"/>
      <c r="L16" s="840"/>
      <c r="M16" s="840"/>
      <c r="N16" s="840"/>
      <c r="O16" s="840"/>
      <c r="P16" s="840"/>
      <c r="Q16" s="840"/>
      <c r="R16" s="840"/>
      <c r="S16" s="840"/>
      <c r="T16" s="840"/>
      <c r="U16" s="840"/>
      <c r="V16" s="840"/>
      <c r="W16" s="840"/>
      <c r="X16" s="840"/>
      <c r="Y16" s="840"/>
    </row>
    <row r="17">
      <c r="A17" s="883" t="s">
        <v>1710</v>
      </c>
      <c r="B17" s="880"/>
      <c r="C17" s="880"/>
      <c r="D17" s="880"/>
      <c r="E17" s="880"/>
      <c r="F17" s="880"/>
      <c r="G17" s="840"/>
      <c r="H17" s="840"/>
      <c r="I17" s="840"/>
      <c r="J17" s="840"/>
      <c r="K17" s="840"/>
      <c r="L17" s="840"/>
      <c r="M17" s="840"/>
      <c r="N17" s="840"/>
      <c r="O17" s="840"/>
      <c r="P17" s="840"/>
      <c r="Q17" s="840"/>
      <c r="R17" s="840"/>
      <c r="S17" s="840"/>
      <c r="T17" s="840"/>
      <c r="U17" s="840"/>
      <c r="V17" s="840"/>
      <c r="W17" s="840"/>
      <c r="X17" s="840"/>
      <c r="Y17" s="840"/>
    </row>
    <row r="18">
      <c r="A18" s="814" t="s">
        <v>204</v>
      </c>
      <c r="B18" s="881" t="s">
        <v>1711</v>
      </c>
      <c r="C18" s="881" t="s">
        <v>1712</v>
      </c>
      <c r="D18" s="881" t="s">
        <v>1713</v>
      </c>
      <c r="E18" s="881" t="s">
        <v>1714</v>
      </c>
      <c r="F18" s="884">
        <v>239.64</v>
      </c>
      <c r="G18" s="840"/>
      <c r="H18" s="840"/>
      <c r="I18" s="840"/>
      <c r="J18" s="840"/>
      <c r="K18" s="840"/>
      <c r="L18" s="840"/>
      <c r="M18" s="840"/>
      <c r="N18" s="840"/>
      <c r="O18" s="840"/>
      <c r="P18" s="840"/>
      <c r="Q18" s="840"/>
      <c r="R18" s="840"/>
      <c r="S18" s="840"/>
      <c r="T18" s="840"/>
      <c r="U18" s="840"/>
      <c r="V18" s="840"/>
      <c r="W18" s="840"/>
      <c r="X18" s="840"/>
      <c r="Y18" s="840"/>
    </row>
    <row r="19">
      <c r="A19" s="814" t="s">
        <v>474</v>
      </c>
      <c r="B19" s="881" t="s">
        <v>1715</v>
      </c>
      <c r="C19" s="881" t="s">
        <v>1716</v>
      </c>
      <c r="D19" s="881" t="s">
        <v>1717</v>
      </c>
      <c r="E19" s="881" t="s">
        <v>1718</v>
      </c>
      <c r="F19" s="881">
        <v>239.91</v>
      </c>
      <c r="G19" s="840"/>
      <c r="H19" s="840"/>
      <c r="I19" s="840"/>
      <c r="J19" s="840"/>
      <c r="K19" s="840"/>
      <c r="L19" s="840"/>
      <c r="M19" s="840"/>
      <c r="N19" s="840"/>
      <c r="O19" s="840"/>
      <c r="P19" s="840"/>
      <c r="Q19" s="840"/>
      <c r="R19" s="840"/>
      <c r="S19" s="840"/>
      <c r="T19" s="840"/>
      <c r="U19" s="840"/>
      <c r="V19" s="840"/>
      <c r="W19" s="840"/>
      <c r="X19" s="840"/>
      <c r="Y19" s="840"/>
    </row>
    <row r="20">
      <c r="A20" s="814" t="s">
        <v>1719</v>
      </c>
      <c r="B20" s="881" t="s">
        <v>1720</v>
      </c>
      <c r="C20" s="881" t="s">
        <v>1721</v>
      </c>
      <c r="D20" s="881" t="s">
        <v>1722</v>
      </c>
      <c r="E20" s="881" t="s">
        <v>1723</v>
      </c>
      <c r="F20" s="884">
        <v>215.03</v>
      </c>
      <c r="G20" s="840"/>
      <c r="H20" s="840"/>
      <c r="I20" s="840"/>
      <c r="J20" s="840"/>
      <c r="K20" s="840"/>
      <c r="L20" s="840"/>
      <c r="M20" s="840"/>
      <c r="N20" s="840"/>
      <c r="O20" s="840"/>
      <c r="P20" s="840"/>
      <c r="Q20" s="840"/>
      <c r="R20" s="840"/>
      <c r="S20" s="840"/>
      <c r="T20" s="840"/>
      <c r="U20" s="840"/>
      <c r="V20" s="840"/>
      <c r="W20" s="840"/>
      <c r="X20" s="840"/>
      <c r="Y20" s="840"/>
    </row>
    <row r="21" ht="15.75" customHeight="1">
      <c r="A21" s="814" t="s">
        <v>1724</v>
      </c>
      <c r="B21" s="881" t="s">
        <v>1669</v>
      </c>
      <c r="C21" s="881" t="s">
        <v>1725</v>
      </c>
      <c r="D21" s="881" t="s">
        <v>1726</v>
      </c>
      <c r="E21" s="881" t="s">
        <v>1727</v>
      </c>
      <c r="F21" s="884">
        <v>159.08</v>
      </c>
      <c r="G21" s="840"/>
      <c r="H21" s="840"/>
      <c r="I21" s="840"/>
      <c r="J21" s="840"/>
      <c r="K21" s="840"/>
      <c r="L21" s="840"/>
      <c r="M21" s="840"/>
      <c r="N21" s="840"/>
      <c r="O21" s="840"/>
      <c r="P21" s="840"/>
      <c r="Q21" s="840"/>
      <c r="R21" s="840"/>
      <c r="S21" s="840"/>
      <c r="T21" s="840"/>
      <c r="U21" s="840"/>
      <c r="V21" s="840"/>
      <c r="W21" s="840"/>
      <c r="X21" s="840"/>
      <c r="Y21" s="840"/>
    </row>
    <row r="22" ht="15.75" customHeight="1">
      <c r="A22" s="814" t="s">
        <v>206</v>
      </c>
      <c r="B22" s="881" t="s">
        <v>1669</v>
      </c>
      <c r="C22" s="881" t="s">
        <v>1728</v>
      </c>
      <c r="D22" s="881" t="s">
        <v>1729</v>
      </c>
      <c r="E22" s="881" t="s">
        <v>1730</v>
      </c>
      <c r="F22" s="884">
        <v>159.7</v>
      </c>
      <c r="G22" s="840"/>
      <c r="H22" s="840"/>
      <c r="I22" s="840"/>
      <c r="J22" s="840"/>
      <c r="K22" s="840"/>
      <c r="L22" s="840"/>
      <c r="M22" s="840"/>
      <c r="N22" s="840"/>
      <c r="O22" s="840"/>
      <c r="P22" s="840"/>
      <c r="Q22" s="840"/>
      <c r="R22" s="840"/>
      <c r="S22" s="840"/>
      <c r="T22" s="840"/>
      <c r="U22" s="840"/>
      <c r="V22" s="840"/>
      <c r="W22" s="840"/>
      <c r="X22" s="840"/>
      <c r="Y22" s="840"/>
    </row>
    <row r="23" ht="15.75" customHeight="1">
      <c r="A23" s="814" t="s">
        <v>1731</v>
      </c>
      <c r="B23" s="881" t="s">
        <v>1720</v>
      </c>
      <c r="C23" s="881" t="s">
        <v>1732</v>
      </c>
      <c r="D23" s="881" t="s">
        <v>1733</v>
      </c>
      <c r="E23" s="881" t="s">
        <v>1734</v>
      </c>
      <c r="F23" s="884">
        <v>258.68</v>
      </c>
      <c r="G23" s="840"/>
      <c r="H23" s="840"/>
      <c r="I23" s="840"/>
      <c r="J23" s="840"/>
      <c r="K23" s="840"/>
      <c r="L23" s="840"/>
      <c r="M23" s="840"/>
      <c r="N23" s="840"/>
      <c r="O23" s="840"/>
      <c r="P23" s="840"/>
      <c r="Q23" s="840"/>
      <c r="R23" s="840"/>
      <c r="S23" s="840"/>
      <c r="T23" s="840"/>
      <c r="U23" s="840"/>
      <c r="V23" s="840"/>
      <c r="W23" s="840"/>
      <c r="X23" s="840"/>
      <c r="Y23" s="840"/>
    </row>
    <row r="24" ht="15.75" customHeight="1">
      <c r="A24" s="814" t="s">
        <v>201</v>
      </c>
      <c r="B24" s="881" t="s">
        <v>1735</v>
      </c>
      <c r="C24" s="881" t="s">
        <v>1736</v>
      </c>
      <c r="D24" s="881" t="s">
        <v>1737</v>
      </c>
      <c r="E24" s="881" t="s">
        <v>1738</v>
      </c>
      <c r="F24" s="884">
        <v>279.57</v>
      </c>
      <c r="G24" s="840"/>
      <c r="H24" s="840"/>
      <c r="I24" s="840"/>
      <c r="J24" s="840"/>
      <c r="K24" s="840"/>
      <c r="L24" s="840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</row>
    <row r="25" ht="15.75" customHeight="1">
      <c r="A25" s="814" t="s">
        <v>1739</v>
      </c>
      <c r="B25" s="881" t="s">
        <v>1740</v>
      </c>
      <c r="C25" s="881" t="s">
        <v>1741</v>
      </c>
      <c r="D25" s="881" t="s">
        <v>1742</v>
      </c>
      <c r="E25" s="881" t="s">
        <v>1729</v>
      </c>
      <c r="F25" s="884">
        <v>101.0</v>
      </c>
      <c r="G25" s="840"/>
      <c r="H25" s="840"/>
      <c r="I25" s="840"/>
      <c r="J25" s="840"/>
      <c r="K25" s="840"/>
      <c r="L25" s="840"/>
      <c r="M25" s="840"/>
      <c r="N25" s="840"/>
      <c r="O25" s="840"/>
      <c r="P25" s="840"/>
      <c r="Q25" s="840"/>
      <c r="R25" s="840"/>
      <c r="S25" s="840"/>
      <c r="T25" s="840"/>
      <c r="U25" s="840"/>
      <c r="V25" s="840"/>
      <c r="W25" s="840"/>
      <c r="X25" s="840"/>
      <c r="Y25" s="840"/>
    </row>
    <row r="26" ht="15.75" customHeight="1">
      <c r="A26" s="814" t="s">
        <v>1743</v>
      </c>
      <c r="B26" s="881" t="s">
        <v>1744</v>
      </c>
      <c r="C26" s="881" t="s">
        <v>1745</v>
      </c>
      <c r="D26" s="881" t="s">
        <v>1746</v>
      </c>
      <c r="E26" s="881" t="s">
        <v>1747</v>
      </c>
      <c r="F26" s="884">
        <v>686.66</v>
      </c>
      <c r="G26" s="840"/>
      <c r="H26" s="840"/>
      <c r="I26" s="840"/>
      <c r="J26" s="840"/>
      <c r="K26" s="840"/>
      <c r="L26" s="840"/>
      <c r="M26" s="840"/>
      <c r="N26" s="840"/>
      <c r="O26" s="840"/>
      <c r="P26" s="840"/>
      <c r="Q26" s="840"/>
      <c r="R26" s="840"/>
      <c r="S26" s="840"/>
      <c r="T26" s="840"/>
      <c r="U26" s="840"/>
      <c r="V26" s="840"/>
      <c r="W26" s="840"/>
      <c r="X26" s="840"/>
      <c r="Y26" s="840"/>
    </row>
    <row r="27" ht="15.75" customHeight="1">
      <c r="A27" s="883" t="s">
        <v>1748</v>
      </c>
      <c r="B27" s="880"/>
      <c r="C27" s="880"/>
      <c r="D27" s="880"/>
      <c r="E27" s="880"/>
      <c r="F27" s="880"/>
      <c r="G27" s="840"/>
      <c r="H27" s="840"/>
      <c r="I27" s="840"/>
      <c r="J27" s="840"/>
      <c r="K27" s="840"/>
      <c r="L27" s="840"/>
      <c r="M27" s="840"/>
      <c r="N27" s="840"/>
      <c r="O27" s="840"/>
      <c r="P27" s="840"/>
      <c r="Q27" s="840"/>
      <c r="R27" s="840"/>
      <c r="S27" s="840"/>
      <c r="T27" s="840"/>
      <c r="U27" s="840"/>
      <c r="V27" s="840"/>
      <c r="W27" s="840"/>
      <c r="X27" s="840"/>
      <c r="Y27" s="840"/>
    </row>
    <row r="28" ht="15.75" customHeight="1">
      <c r="A28" s="814" t="s">
        <v>108</v>
      </c>
      <c r="B28" s="881" t="s">
        <v>1749</v>
      </c>
      <c r="C28" s="881">
        <v>18.75</v>
      </c>
      <c r="D28" s="881">
        <v>18.79</v>
      </c>
      <c r="E28" s="881">
        <v>11.95</v>
      </c>
      <c r="F28" s="884">
        <v>291.8</v>
      </c>
      <c r="G28" s="840">
        <f>(D28*4)+(E28*4)+(C28*9)</f>
        <v>291.71</v>
      </c>
      <c r="H28" s="840"/>
      <c r="I28" s="840"/>
      <c r="J28" s="840"/>
      <c r="K28" s="840"/>
      <c r="L28" s="840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</row>
    <row r="29" ht="15.75" customHeight="1">
      <c r="A29" s="814" t="s">
        <v>1041</v>
      </c>
      <c r="B29" s="881" t="s">
        <v>1750</v>
      </c>
      <c r="C29" s="881" t="s">
        <v>1751</v>
      </c>
      <c r="D29" s="881" t="s">
        <v>1752</v>
      </c>
      <c r="E29" s="881" t="s">
        <v>1753</v>
      </c>
      <c r="F29" s="881">
        <v>186.4</v>
      </c>
      <c r="G29" s="840"/>
      <c r="H29" s="840"/>
      <c r="I29" s="840"/>
      <c r="J29" s="840"/>
      <c r="K29" s="840"/>
      <c r="L29" s="840"/>
      <c r="M29" s="840"/>
      <c r="N29" s="840"/>
      <c r="O29" s="840"/>
      <c r="P29" s="840"/>
      <c r="Q29" s="840"/>
      <c r="R29" s="840"/>
      <c r="S29" s="840"/>
      <c r="T29" s="840"/>
      <c r="U29" s="840"/>
      <c r="V29" s="840"/>
      <c r="W29" s="840"/>
      <c r="X29" s="840"/>
      <c r="Y29" s="840"/>
    </row>
    <row r="30" ht="15.75" customHeight="1">
      <c r="A30" s="814" t="s">
        <v>1754</v>
      </c>
      <c r="B30" s="881" t="s">
        <v>1755</v>
      </c>
      <c r="C30" s="881" t="s">
        <v>1756</v>
      </c>
      <c r="D30" s="881" t="s">
        <v>1757</v>
      </c>
      <c r="E30" s="881" t="s">
        <v>1758</v>
      </c>
      <c r="F30" s="884">
        <v>255.55</v>
      </c>
      <c r="G30" s="840"/>
      <c r="H30" s="840"/>
      <c r="I30" s="840"/>
      <c r="J30" s="840"/>
      <c r="K30" s="840"/>
      <c r="L30" s="840"/>
      <c r="M30" s="840"/>
      <c r="N30" s="840"/>
      <c r="O30" s="840"/>
      <c r="P30" s="840"/>
      <c r="Q30" s="840"/>
      <c r="R30" s="840"/>
      <c r="S30" s="840"/>
      <c r="T30" s="840"/>
      <c r="U30" s="840"/>
      <c r="V30" s="840"/>
      <c r="W30" s="840"/>
      <c r="X30" s="840"/>
      <c r="Y30" s="840"/>
    </row>
    <row r="31" ht="15.75" customHeight="1">
      <c r="A31" s="814" t="s">
        <v>1759</v>
      </c>
      <c r="B31" s="881" t="s">
        <v>1755</v>
      </c>
      <c r="C31" s="881" t="s">
        <v>1760</v>
      </c>
      <c r="D31" s="881" t="s">
        <v>1761</v>
      </c>
      <c r="E31" s="881" t="s">
        <v>1762</v>
      </c>
      <c r="F31" s="884">
        <v>240.59</v>
      </c>
      <c r="G31" s="840"/>
      <c r="H31" s="840"/>
      <c r="I31" s="840"/>
      <c r="J31" s="840"/>
      <c r="K31" s="840"/>
      <c r="L31" s="840"/>
      <c r="M31" s="840"/>
      <c r="N31" s="840"/>
      <c r="O31" s="840"/>
      <c r="P31" s="840"/>
      <c r="Q31" s="840"/>
      <c r="R31" s="840"/>
      <c r="S31" s="840"/>
      <c r="T31" s="840"/>
      <c r="U31" s="840"/>
      <c r="V31" s="840"/>
      <c r="W31" s="840"/>
      <c r="X31" s="840"/>
      <c r="Y31" s="840"/>
    </row>
    <row r="32" ht="15.75" customHeight="1">
      <c r="A32" s="814" t="s">
        <v>140</v>
      </c>
      <c r="B32" s="881" t="s">
        <v>1763</v>
      </c>
      <c r="C32" s="881" t="s">
        <v>1764</v>
      </c>
      <c r="D32" s="881" t="s">
        <v>1765</v>
      </c>
      <c r="E32" s="881" t="s">
        <v>1766</v>
      </c>
      <c r="F32" s="884">
        <v>268.43</v>
      </c>
      <c r="G32" s="840"/>
      <c r="H32" s="840"/>
      <c r="I32" s="840"/>
      <c r="J32" s="840"/>
      <c r="K32" s="840"/>
      <c r="L32" s="840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</row>
    <row r="33" ht="15.75" customHeight="1">
      <c r="A33" s="814" t="s">
        <v>1767</v>
      </c>
      <c r="B33" s="881" t="s">
        <v>1763</v>
      </c>
      <c r="C33" s="881" t="s">
        <v>1768</v>
      </c>
      <c r="D33" s="881" t="s">
        <v>1769</v>
      </c>
      <c r="E33" s="881" t="s">
        <v>1770</v>
      </c>
      <c r="F33" s="884">
        <v>214.93</v>
      </c>
      <c r="G33" s="840"/>
      <c r="H33" s="840"/>
      <c r="I33" s="840"/>
      <c r="J33" s="840"/>
      <c r="K33" s="840"/>
      <c r="L33" s="840"/>
      <c r="M33" s="840"/>
      <c r="N33" s="840"/>
      <c r="O33" s="840"/>
      <c r="P33" s="840"/>
      <c r="Q33" s="840"/>
      <c r="R33" s="840"/>
      <c r="S33" s="840"/>
      <c r="T33" s="840"/>
      <c r="U33" s="840"/>
      <c r="V33" s="840"/>
      <c r="W33" s="840"/>
      <c r="X33" s="840"/>
      <c r="Y33" s="840"/>
    </row>
    <row r="34" ht="15.75" customHeight="1">
      <c r="A34" s="814" t="s">
        <v>1771</v>
      </c>
      <c r="B34" s="881" t="s">
        <v>1772</v>
      </c>
      <c r="C34" s="881" t="s">
        <v>1773</v>
      </c>
      <c r="D34" s="881" t="s">
        <v>1774</v>
      </c>
      <c r="E34" s="881" t="s">
        <v>1775</v>
      </c>
      <c r="F34" s="884">
        <v>233.53</v>
      </c>
      <c r="G34" s="840"/>
      <c r="H34" s="840"/>
      <c r="I34" s="840"/>
      <c r="J34" s="840"/>
      <c r="K34" s="840"/>
      <c r="L34" s="840"/>
      <c r="M34" s="840"/>
      <c r="N34" s="840"/>
      <c r="O34" s="840"/>
      <c r="P34" s="840"/>
      <c r="Q34" s="840"/>
      <c r="R34" s="840"/>
      <c r="S34" s="840"/>
      <c r="T34" s="840"/>
      <c r="U34" s="840"/>
      <c r="V34" s="840"/>
      <c r="W34" s="840"/>
      <c r="X34" s="840"/>
      <c r="Y34" s="840"/>
    </row>
    <row r="35" ht="15.75" customHeight="1">
      <c r="A35" s="814" t="s">
        <v>1776</v>
      </c>
      <c r="B35" s="881" t="s">
        <v>1777</v>
      </c>
      <c r="C35" s="881" t="s">
        <v>1778</v>
      </c>
      <c r="D35" s="881" t="s">
        <v>1779</v>
      </c>
      <c r="E35" s="881" t="s">
        <v>1780</v>
      </c>
      <c r="F35" s="884">
        <v>170.07</v>
      </c>
      <c r="G35" s="840"/>
      <c r="H35" s="840"/>
      <c r="I35" s="840"/>
      <c r="J35" s="840"/>
      <c r="K35" s="840"/>
      <c r="L35" s="840"/>
      <c r="M35" s="840"/>
      <c r="N35" s="840"/>
      <c r="O35" s="840"/>
      <c r="P35" s="840"/>
      <c r="Q35" s="840"/>
      <c r="R35" s="840"/>
      <c r="S35" s="840"/>
      <c r="T35" s="840"/>
      <c r="U35" s="840"/>
      <c r="V35" s="840"/>
      <c r="W35" s="840"/>
      <c r="X35" s="840"/>
      <c r="Y35" s="840"/>
    </row>
    <row r="36" ht="15.75" customHeight="1">
      <c r="A36" s="814" t="s">
        <v>1781</v>
      </c>
      <c r="B36" s="881" t="s">
        <v>1782</v>
      </c>
      <c r="C36" s="881" t="s">
        <v>1783</v>
      </c>
      <c r="D36" s="881" t="s">
        <v>1784</v>
      </c>
      <c r="E36" s="881" t="s">
        <v>1785</v>
      </c>
      <c r="F36" s="884">
        <v>373.34</v>
      </c>
      <c r="G36" s="840"/>
      <c r="H36" s="840"/>
      <c r="I36" s="840"/>
      <c r="J36" s="840"/>
      <c r="K36" s="840"/>
      <c r="L36" s="840"/>
      <c r="M36" s="840"/>
      <c r="N36" s="840"/>
      <c r="O36" s="840"/>
      <c r="P36" s="840"/>
      <c r="Q36" s="840"/>
      <c r="R36" s="840"/>
      <c r="S36" s="840"/>
      <c r="T36" s="840"/>
      <c r="U36" s="840"/>
      <c r="V36" s="840"/>
      <c r="W36" s="840"/>
      <c r="X36" s="840"/>
      <c r="Y36" s="840"/>
    </row>
    <row r="37" ht="15.75" customHeight="1">
      <c r="A37" s="814" t="s">
        <v>1786</v>
      </c>
      <c r="B37" s="881" t="s">
        <v>1787</v>
      </c>
      <c r="C37" s="881" t="s">
        <v>1788</v>
      </c>
      <c r="D37" s="881" t="s">
        <v>1789</v>
      </c>
      <c r="E37" s="881" t="s">
        <v>1790</v>
      </c>
      <c r="F37" s="884">
        <v>87.16</v>
      </c>
      <c r="G37" s="840"/>
      <c r="H37" s="840"/>
      <c r="I37" s="840"/>
      <c r="J37" s="840"/>
      <c r="K37" s="840"/>
      <c r="L37" s="840"/>
      <c r="M37" s="840"/>
      <c r="N37" s="840"/>
      <c r="O37" s="840"/>
      <c r="P37" s="840"/>
      <c r="Q37" s="840"/>
      <c r="R37" s="840"/>
      <c r="S37" s="840"/>
      <c r="T37" s="840"/>
      <c r="U37" s="840"/>
      <c r="V37" s="840"/>
      <c r="W37" s="840"/>
      <c r="X37" s="840"/>
      <c r="Y37" s="840"/>
    </row>
    <row r="38" ht="15.75" customHeight="1">
      <c r="A38" s="814" t="s">
        <v>1791</v>
      </c>
      <c r="B38" s="881" t="s">
        <v>1792</v>
      </c>
      <c r="C38" s="881" t="s">
        <v>1793</v>
      </c>
      <c r="D38" s="881" t="s">
        <v>1794</v>
      </c>
      <c r="E38" s="881" t="s">
        <v>1795</v>
      </c>
      <c r="F38" s="884">
        <v>33.96</v>
      </c>
      <c r="G38" s="840"/>
      <c r="H38" s="840"/>
      <c r="I38" s="840"/>
      <c r="J38" s="840"/>
      <c r="K38" s="840"/>
      <c r="L38" s="840"/>
      <c r="M38" s="840"/>
      <c r="N38" s="840"/>
      <c r="O38" s="840"/>
      <c r="P38" s="840"/>
      <c r="Q38" s="840"/>
      <c r="R38" s="840"/>
      <c r="S38" s="840"/>
      <c r="T38" s="840"/>
      <c r="U38" s="840"/>
      <c r="V38" s="840"/>
      <c r="W38" s="840"/>
      <c r="X38" s="840"/>
      <c r="Y38" s="840"/>
    </row>
    <row r="39" ht="15.75" customHeight="1">
      <c r="A39" s="879" t="s">
        <v>1796</v>
      </c>
      <c r="B39" s="880"/>
      <c r="C39" s="880"/>
      <c r="D39" s="880"/>
      <c r="E39" s="880"/>
      <c r="F39" s="880"/>
      <c r="G39" s="840"/>
      <c r="H39" s="840"/>
      <c r="I39" s="840"/>
      <c r="J39" s="840"/>
      <c r="K39" s="840"/>
      <c r="L39" s="840"/>
      <c r="M39" s="840"/>
      <c r="N39" s="840"/>
      <c r="O39" s="840"/>
      <c r="P39" s="840"/>
      <c r="Q39" s="840"/>
      <c r="R39" s="840"/>
      <c r="S39" s="840"/>
      <c r="T39" s="840"/>
      <c r="U39" s="840"/>
      <c r="V39" s="840"/>
      <c r="W39" s="840"/>
      <c r="X39" s="840"/>
      <c r="Y39" s="840"/>
    </row>
    <row r="40" ht="15.75" customHeight="1">
      <c r="A40" s="814" t="s">
        <v>1797</v>
      </c>
      <c r="B40" s="881" t="s">
        <v>1798</v>
      </c>
      <c r="C40" s="881" t="s">
        <v>1799</v>
      </c>
      <c r="D40" s="881" t="s">
        <v>1800</v>
      </c>
      <c r="E40" s="881" t="s">
        <v>1801</v>
      </c>
      <c r="F40" s="881">
        <v>116.35</v>
      </c>
      <c r="G40" s="840"/>
      <c r="H40" s="840"/>
      <c r="I40" s="840"/>
      <c r="J40" s="840"/>
      <c r="K40" s="840"/>
      <c r="L40" s="840"/>
      <c r="M40" s="840"/>
      <c r="N40" s="840"/>
      <c r="O40" s="840"/>
      <c r="P40" s="840"/>
      <c r="Q40" s="840"/>
      <c r="R40" s="840"/>
      <c r="S40" s="840"/>
      <c r="T40" s="840"/>
      <c r="U40" s="840"/>
      <c r="V40" s="840"/>
      <c r="W40" s="840"/>
      <c r="X40" s="840"/>
      <c r="Y40" s="840"/>
    </row>
    <row r="41" ht="15.75" customHeight="1">
      <c r="A41" s="814" t="s">
        <v>1802</v>
      </c>
      <c r="B41" s="881" t="s">
        <v>1803</v>
      </c>
      <c r="C41" s="881" t="s">
        <v>1804</v>
      </c>
      <c r="D41" s="881" t="s">
        <v>1805</v>
      </c>
      <c r="E41" s="881" t="s">
        <v>1806</v>
      </c>
      <c r="F41" s="881">
        <v>159.76</v>
      </c>
      <c r="G41" s="840"/>
      <c r="H41" s="840"/>
      <c r="I41" s="840"/>
      <c r="J41" s="840"/>
      <c r="K41" s="840"/>
      <c r="L41" s="840"/>
      <c r="M41" s="840"/>
      <c r="N41" s="840"/>
      <c r="O41" s="840"/>
      <c r="P41" s="840"/>
      <c r="Q41" s="840"/>
      <c r="R41" s="840"/>
      <c r="S41" s="840"/>
      <c r="T41" s="840"/>
      <c r="U41" s="840"/>
      <c r="V41" s="840"/>
      <c r="W41" s="840"/>
      <c r="X41" s="840"/>
      <c r="Y41" s="840"/>
    </row>
    <row r="42" ht="15.75" customHeight="1">
      <c r="A42" s="814" t="s">
        <v>1080</v>
      </c>
      <c r="B42" s="881" t="s">
        <v>1787</v>
      </c>
      <c r="C42" s="881" t="s">
        <v>1807</v>
      </c>
      <c r="D42" s="881" t="s">
        <v>1808</v>
      </c>
      <c r="E42" s="881" t="s">
        <v>1809</v>
      </c>
      <c r="F42" s="881" t="s">
        <v>1810</v>
      </c>
      <c r="G42" s="840"/>
      <c r="H42" s="840"/>
      <c r="I42" s="840"/>
      <c r="J42" s="840"/>
      <c r="K42" s="840"/>
      <c r="L42" s="840"/>
      <c r="M42" s="840"/>
      <c r="N42" s="840"/>
      <c r="O42" s="840"/>
      <c r="P42" s="840"/>
      <c r="Q42" s="840"/>
      <c r="R42" s="840"/>
      <c r="S42" s="840"/>
      <c r="T42" s="840"/>
      <c r="U42" s="840"/>
      <c r="V42" s="840"/>
      <c r="W42" s="840"/>
      <c r="X42" s="840"/>
      <c r="Y42" s="840"/>
    </row>
    <row r="43" ht="15.75" customHeight="1">
      <c r="A43" s="814" t="s">
        <v>219</v>
      </c>
      <c r="B43" s="881" t="s">
        <v>1787</v>
      </c>
      <c r="C43" s="881" t="s">
        <v>1811</v>
      </c>
      <c r="D43" s="881" t="s">
        <v>1785</v>
      </c>
      <c r="E43" s="881" t="s">
        <v>1812</v>
      </c>
      <c r="F43" s="881">
        <v>134.22</v>
      </c>
      <c r="G43" s="840"/>
      <c r="H43" s="840"/>
      <c r="I43" s="840"/>
      <c r="J43" s="840"/>
      <c r="K43" s="840"/>
      <c r="L43" s="840"/>
      <c r="M43" s="840"/>
      <c r="N43" s="840"/>
      <c r="O43" s="840"/>
      <c r="P43" s="840"/>
      <c r="Q43" s="840"/>
      <c r="R43" s="840"/>
      <c r="S43" s="840"/>
      <c r="T43" s="840"/>
      <c r="U43" s="840"/>
      <c r="V43" s="840"/>
      <c r="W43" s="840"/>
      <c r="X43" s="840"/>
      <c r="Y43" s="840"/>
    </row>
    <row r="44" ht="15.75" customHeight="1">
      <c r="A44" s="879" t="s">
        <v>1813</v>
      </c>
      <c r="B44" s="880"/>
      <c r="C44" s="880"/>
      <c r="D44" s="880"/>
      <c r="E44" s="880"/>
      <c r="F44" s="880"/>
      <c r="G44" s="840"/>
      <c r="H44" s="840"/>
      <c r="I44" s="840"/>
      <c r="J44" s="840"/>
      <c r="K44" s="840"/>
      <c r="L44" s="840"/>
      <c r="M44" s="840"/>
      <c r="N44" s="840"/>
      <c r="O44" s="840"/>
      <c r="P44" s="840"/>
      <c r="Q44" s="840"/>
      <c r="R44" s="840"/>
      <c r="S44" s="840"/>
      <c r="T44" s="840"/>
      <c r="U44" s="840"/>
      <c r="V44" s="840"/>
      <c r="W44" s="840"/>
      <c r="X44" s="840"/>
      <c r="Y44" s="840"/>
    </row>
    <row r="45" ht="15.75" customHeight="1">
      <c r="A45" s="814" t="s">
        <v>277</v>
      </c>
      <c r="B45" s="881" t="s">
        <v>1814</v>
      </c>
      <c r="C45" s="881" t="s">
        <v>1815</v>
      </c>
      <c r="D45" s="881" t="s">
        <v>1816</v>
      </c>
      <c r="E45" s="881" t="s">
        <v>1817</v>
      </c>
      <c r="F45" s="881">
        <v>189.18</v>
      </c>
      <c r="G45" s="840"/>
      <c r="H45" s="840"/>
      <c r="I45" s="840"/>
      <c r="J45" s="840"/>
      <c r="K45" s="840"/>
      <c r="L45" s="840"/>
      <c r="M45" s="840"/>
      <c r="N45" s="840"/>
      <c r="O45" s="840"/>
      <c r="P45" s="840"/>
      <c r="Q45" s="840"/>
      <c r="R45" s="840"/>
      <c r="S45" s="840"/>
      <c r="T45" s="840"/>
      <c r="U45" s="840"/>
      <c r="V45" s="840"/>
      <c r="W45" s="840"/>
      <c r="X45" s="840"/>
      <c r="Y45" s="840"/>
    </row>
    <row r="46" ht="15.75" customHeight="1">
      <c r="A46" s="814" t="s">
        <v>1818</v>
      </c>
      <c r="B46" s="881" t="s">
        <v>1819</v>
      </c>
      <c r="C46" s="881" t="s">
        <v>1820</v>
      </c>
      <c r="D46" s="881" t="s">
        <v>1821</v>
      </c>
      <c r="E46" s="881" t="s">
        <v>1822</v>
      </c>
      <c r="F46" s="881">
        <v>252.17</v>
      </c>
      <c r="G46" s="840"/>
      <c r="H46" s="840"/>
      <c r="I46" s="840"/>
      <c r="J46" s="840"/>
      <c r="K46" s="840"/>
      <c r="L46" s="840"/>
      <c r="M46" s="840"/>
      <c r="N46" s="840"/>
      <c r="O46" s="840"/>
      <c r="P46" s="840"/>
      <c r="Q46" s="840"/>
      <c r="R46" s="840"/>
      <c r="S46" s="840"/>
      <c r="T46" s="840"/>
      <c r="U46" s="840"/>
      <c r="V46" s="840"/>
      <c r="W46" s="840"/>
      <c r="X46" s="840"/>
      <c r="Y46" s="840"/>
    </row>
    <row r="47" ht="15.75" customHeight="1">
      <c r="A47" s="814" t="s">
        <v>1823</v>
      </c>
      <c r="B47" s="881" t="s">
        <v>1819</v>
      </c>
      <c r="C47" s="881" t="s">
        <v>1824</v>
      </c>
      <c r="D47" s="881" t="s">
        <v>1825</v>
      </c>
      <c r="E47" s="881" t="s">
        <v>1826</v>
      </c>
      <c r="F47" s="881">
        <v>177.13</v>
      </c>
      <c r="G47" s="840"/>
      <c r="H47" s="840"/>
      <c r="I47" s="840"/>
      <c r="J47" s="840"/>
      <c r="K47" s="840"/>
      <c r="L47" s="840"/>
      <c r="M47" s="840"/>
      <c r="N47" s="840"/>
      <c r="O47" s="840"/>
      <c r="P47" s="840"/>
      <c r="Q47" s="840"/>
      <c r="R47" s="840"/>
      <c r="S47" s="840"/>
      <c r="T47" s="840"/>
      <c r="U47" s="840"/>
      <c r="V47" s="840"/>
      <c r="W47" s="840"/>
      <c r="X47" s="840"/>
      <c r="Y47" s="840"/>
    </row>
    <row r="48" ht="15.75" customHeight="1">
      <c r="A48" s="814" t="s">
        <v>300</v>
      </c>
      <c r="B48" s="881" t="s">
        <v>1827</v>
      </c>
      <c r="C48" s="881" t="s">
        <v>1828</v>
      </c>
      <c r="D48" s="881" t="s">
        <v>1829</v>
      </c>
      <c r="E48" s="881" t="s">
        <v>1830</v>
      </c>
      <c r="F48" s="881">
        <v>168.79</v>
      </c>
      <c r="G48" s="840"/>
      <c r="H48" s="840"/>
      <c r="I48" s="840"/>
      <c r="J48" s="840"/>
      <c r="K48" s="840"/>
      <c r="L48" s="840"/>
      <c r="M48" s="840"/>
      <c r="N48" s="840"/>
      <c r="O48" s="840"/>
      <c r="P48" s="840"/>
      <c r="Q48" s="840"/>
      <c r="R48" s="840"/>
      <c r="S48" s="840"/>
      <c r="T48" s="840"/>
      <c r="U48" s="840"/>
      <c r="V48" s="840"/>
      <c r="W48" s="840"/>
      <c r="X48" s="840"/>
      <c r="Y48" s="840"/>
    </row>
    <row r="49" ht="15.75" customHeight="1">
      <c r="A49" s="814" t="s">
        <v>1831</v>
      </c>
      <c r="B49" s="881" t="s">
        <v>1819</v>
      </c>
      <c r="C49" s="881" t="s">
        <v>1832</v>
      </c>
      <c r="D49" s="881" t="s">
        <v>1833</v>
      </c>
      <c r="E49" s="881" t="s">
        <v>1834</v>
      </c>
      <c r="F49" s="881">
        <v>151.52</v>
      </c>
      <c r="G49" s="840"/>
      <c r="H49" s="840"/>
      <c r="I49" s="840"/>
      <c r="J49" s="840"/>
      <c r="K49" s="840"/>
      <c r="L49" s="840"/>
      <c r="M49" s="840"/>
      <c r="N49" s="840"/>
      <c r="O49" s="840"/>
      <c r="P49" s="840"/>
      <c r="Q49" s="840"/>
      <c r="R49" s="840"/>
      <c r="S49" s="840"/>
      <c r="T49" s="840"/>
      <c r="U49" s="840"/>
      <c r="V49" s="840"/>
      <c r="W49" s="840"/>
      <c r="X49" s="840"/>
      <c r="Y49" s="840"/>
    </row>
    <row r="50" ht="15.75" customHeight="1">
      <c r="A50" s="814" t="s">
        <v>290</v>
      </c>
      <c r="B50" s="881" t="s">
        <v>1492</v>
      </c>
      <c r="C50" s="881" t="s">
        <v>1835</v>
      </c>
      <c r="D50" s="881" t="s">
        <v>1836</v>
      </c>
      <c r="E50" s="881" t="s">
        <v>1837</v>
      </c>
      <c r="F50" s="881">
        <v>181.63</v>
      </c>
      <c r="G50" s="840"/>
      <c r="H50" s="840"/>
      <c r="I50" s="840"/>
      <c r="J50" s="840"/>
      <c r="K50" s="840"/>
      <c r="L50" s="840"/>
      <c r="M50" s="840"/>
      <c r="N50" s="840"/>
      <c r="O50" s="840"/>
      <c r="P50" s="840"/>
      <c r="Q50" s="840"/>
      <c r="R50" s="840"/>
      <c r="S50" s="840"/>
      <c r="T50" s="840"/>
      <c r="U50" s="840"/>
      <c r="V50" s="840"/>
      <c r="W50" s="840"/>
      <c r="X50" s="840"/>
      <c r="Y50" s="840"/>
    </row>
    <row r="51" ht="15.75" customHeight="1">
      <c r="A51" s="814" t="s">
        <v>293</v>
      </c>
      <c r="B51" s="881" t="s">
        <v>1711</v>
      </c>
      <c r="C51" s="881" t="s">
        <v>1838</v>
      </c>
      <c r="D51" s="881" t="s">
        <v>1839</v>
      </c>
      <c r="E51" s="881" t="s">
        <v>1840</v>
      </c>
      <c r="F51" s="881">
        <v>184.93</v>
      </c>
      <c r="G51" s="840"/>
      <c r="H51" s="840"/>
      <c r="I51" s="840"/>
      <c r="J51" s="840"/>
      <c r="K51" s="840"/>
      <c r="L51" s="840"/>
      <c r="M51" s="840"/>
      <c r="N51" s="840"/>
      <c r="O51" s="840"/>
      <c r="P51" s="840"/>
      <c r="Q51" s="840"/>
      <c r="R51" s="840"/>
      <c r="S51" s="840"/>
      <c r="T51" s="840"/>
      <c r="U51" s="840"/>
      <c r="V51" s="840"/>
      <c r="W51" s="840"/>
      <c r="X51" s="840"/>
      <c r="Y51" s="840"/>
    </row>
    <row r="52" ht="15.75" customHeight="1">
      <c r="A52" s="814" t="s">
        <v>297</v>
      </c>
      <c r="B52" s="881" t="s">
        <v>1711</v>
      </c>
      <c r="C52" s="881" t="s">
        <v>1841</v>
      </c>
      <c r="D52" s="881" t="s">
        <v>1842</v>
      </c>
      <c r="E52" s="881" t="s">
        <v>1770</v>
      </c>
      <c r="F52" s="881">
        <v>149.62</v>
      </c>
      <c r="G52" s="840"/>
      <c r="H52" s="840"/>
      <c r="I52" s="840"/>
      <c r="J52" s="840"/>
      <c r="K52" s="840"/>
      <c r="L52" s="840"/>
      <c r="M52" s="840"/>
      <c r="N52" s="840"/>
      <c r="O52" s="840"/>
      <c r="P52" s="840"/>
      <c r="Q52" s="840"/>
      <c r="R52" s="840"/>
      <c r="S52" s="840"/>
      <c r="T52" s="840"/>
      <c r="U52" s="840"/>
      <c r="V52" s="840"/>
      <c r="W52" s="840"/>
      <c r="X52" s="840"/>
      <c r="Y52" s="840"/>
    </row>
    <row r="53" ht="15.75" customHeight="1">
      <c r="A53" s="814" t="s">
        <v>303</v>
      </c>
      <c r="B53" s="881" t="s">
        <v>1843</v>
      </c>
      <c r="C53" s="881" t="s">
        <v>1844</v>
      </c>
      <c r="D53" s="881" t="s">
        <v>1845</v>
      </c>
      <c r="E53" s="881" t="s">
        <v>1846</v>
      </c>
      <c r="F53" s="881">
        <v>61.27</v>
      </c>
      <c r="G53" s="840"/>
      <c r="H53" s="840"/>
      <c r="I53" s="840"/>
      <c r="J53" s="840"/>
      <c r="K53" s="840"/>
      <c r="L53" s="840"/>
      <c r="M53" s="840"/>
      <c r="N53" s="840"/>
      <c r="O53" s="840"/>
      <c r="P53" s="840"/>
      <c r="Q53" s="840"/>
      <c r="R53" s="840"/>
      <c r="S53" s="840"/>
      <c r="T53" s="840"/>
      <c r="U53" s="840"/>
      <c r="V53" s="840"/>
      <c r="W53" s="840"/>
      <c r="X53" s="840"/>
      <c r="Y53" s="840"/>
    </row>
    <row r="54" ht="15.75" customHeight="1">
      <c r="A54" s="814" t="s">
        <v>1847</v>
      </c>
      <c r="B54" s="881" t="s">
        <v>1108</v>
      </c>
      <c r="C54" s="881" t="s">
        <v>1848</v>
      </c>
      <c r="D54" s="881" t="s">
        <v>1849</v>
      </c>
      <c r="E54" s="881" t="s">
        <v>1850</v>
      </c>
      <c r="F54" s="881">
        <v>259.0</v>
      </c>
      <c r="G54" s="840"/>
      <c r="H54" s="840"/>
      <c r="I54" s="840"/>
      <c r="J54" s="840"/>
      <c r="K54" s="840"/>
      <c r="L54" s="840"/>
      <c r="M54" s="840"/>
      <c r="N54" s="840"/>
      <c r="O54" s="840"/>
      <c r="P54" s="840"/>
      <c r="Q54" s="840"/>
      <c r="R54" s="840"/>
      <c r="S54" s="840"/>
      <c r="T54" s="840"/>
      <c r="U54" s="840"/>
      <c r="V54" s="840"/>
      <c r="W54" s="840"/>
      <c r="X54" s="840"/>
      <c r="Y54" s="840"/>
    </row>
    <row r="55" ht="15.75" customHeight="1">
      <c r="A55" s="814" t="s">
        <v>1851</v>
      </c>
      <c r="B55" s="881" t="s">
        <v>1669</v>
      </c>
      <c r="C55" s="881" t="s">
        <v>1852</v>
      </c>
      <c r="D55" s="881" t="s">
        <v>1853</v>
      </c>
      <c r="E55" s="881" t="s">
        <v>1854</v>
      </c>
      <c r="F55" s="881">
        <v>196.87</v>
      </c>
      <c r="G55" s="840"/>
      <c r="H55" s="840"/>
      <c r="I55" s="840"/>
      <c r="J55" s="840"/>
      <c r="K55" s="840"/>
      <c r="L55" s="840"/>
      <c r="M55" s="840"/>
      <c r="N55" s="840"/>
      <c r="O55" s="840"/>
      <c r="P55" s="840"/>
      <c r="Q55" s="840"/>
      <c r="R55" s="840"/>
      <c r="S55" s="840"/>
      <c r="T55" s="840"/>
      <c r="U55" s="840"/>
      <c r="V55" s="840"/>
      <c r="W55" s="840"/>
      <c r="X55" s="840"/>
      <c r="Y55" s="840"/>
    </row>
    <row r="56" ht="15.75" customHeight="1">
      <c r="A56" s="814" t="s">
        <v>1855</v>
      </c>
      <c r="B56" s="881" t="s">
        <v>1856</v>
      </c>
      <c r="C56" s="881" t="s">
        <v>1857</v>
      </c>
      <c r="D56" s="881" t="s">
        <v>1858</v>
      </c>
      <c r="E56" s="881" t="s">
        <v>1859</v>
      </c>
      <c r="F56" s="881">
        <v>227.6</v>
      </c>
      <c r="G56" s="840"/>
      <c r="H56" s="840"/>
      <c r="I56" s="840"/>
      <c r="J56" s="840"/>
      <c r="K56" s="840"/>
      <c r="L56" s="840"/>
      <c r="M56" s="840"/>
      <c r="N56" s="840"/>
      <c r="O56" s="840"/>
      <c r="P56" s="840"/>
      <c r="Q56" s="840"/>
      <c r="R56" s="840"/>
      <c r="S56" s="840"/>
      <c r="T56" s="840"/>
      <c r="U56" s="840"/>
      <c r="V56" s="840"/>
      <c r="W56" s="840"/>
      <c r="X56" s="840"/>
      <c r="Y56" s="840"/>
    </row>
    <row r="57" ht="15.75" customHeight="1">
      <c r="A57" s="814" t="s">
        <v>1860</v>
      </c>
      <c r="B57" s="881" t="s">
        <v>1861</v>
      </c>
      <c r="C57" s="881" t="s">
        <v>1862</v>
      </c>
      <c r="D57" s="881" t="s">
        <v>1863</v>
      </c>
      <c r="E57" s="881" t="s">
        <v>1864</v>
      </c>
      <c r="F57" s="881">
        <v>249.29</v>
      </c>
      <c r="G57" s="840"/>
      <c r="H57" s="840"/>
      <c r="I57" s="840"/>
      <c r="J57" s="840"/>
      <c r="K57" s="840"/>
      <c r="L57" s="840"/>
      <c r="M57" s="840"/>
      <c r="N57" s="840"/>
      <c r="O57" s="840"/>
      <c r="P57" s="840"/>
      <c r="Q57" s="840"/>
      <c r="R57" s="840"/>
      <c r="S57" s="840"/>
      <c r="T57" s="840"/>
      <c r="U57" s="840"/>
      <c r="V57" s="840"/>
      <c r="W57" s="840"/>
      <c r="X57" s="840"/>
      <c r="Y57" s="840"/>
    </row>
    <row r="58" ht="15.75" customHeight="1">
      <c r="A58" s="814" t="s">
        <v>1865</v>
      </c>
      <c r="B58" s="881" t="s">
        <v>1787</v>
      </c>
      <c r="C58" s="881" t="s">
        <v>1866</v>
      </c>
      <c r="D58" s="881" t="s">
        <v>1867</v>
      </c>
      <c r="E58" s="881" t="s">
        <v>1868</v>
      </c>
      <c r="F58" s="881">
        <v>234.19</v>
      </c>
      <c r="G58" s="840"/>
      <c r="H58" s="840"/>
      <c r="I58" s="840"/>
      <c r="J58" s="840"/>
      <c r="K58" s="840"/>
      <c r="L58" s="840"/>
      <c r="M58" s="840"/>
      <c r="N58" s="840"/>
      <c r="O58" s="840"/>
      <c r="P58" s="840"/>
      <c r="Q58" s="840"/>
      <c r="R58" s="840"/>
      <c r="S58" s="840"/>
      <c r="T58" s="840"/>
      <c r="U58" s="840"/>
      <c r="V58" s="840"/>
      <c r="W58" s="840"/>
      <c r="X58" s="840"/>
      <c r="Y58" s="840"/>
    </row>
    <row r="59" ht="15.75" customHeight="1">
      <c r="A59" s="814" t="s">
        <v>1869</v>
      </c>
      <c r="B59" s="881" t="s">
        <v>1861</v>
      </c>
      <c r="C59" s="881" t="s">
        <v>1870</v>
      </c>
      <c r="D59" s="881" t="s">
        <v>1871</v>
      </c>
      <c r="E59" s="881" t="s">
        <v>1872</v>
      </c>
      <c r="F59" s="881">
        <v>201.31</v>
      </c>
      <c r="G59" s="840"/>
      <c r="H59" s="840"/>
      <c r="I59" s="840"/>
      <c r="J59" s="840"/>
      <c r="K59" s="840"/>
      <c r="L59" s="840"/>
      <c r="M59" s="840"/>
      <c r="N59" s="840"/>
      <c r="O59" s="840"/>
      <c r="P59" s="840"/>
      <c r="Q59" s="840"/>
      <c r="R59" s="840"/>
      <c r="S59" s="840"/>
      <c r="T59" s="840"/>
      <c r="U59" s="840"/>
      <c r="V59" s="840"/>
      <c r="W59" s="840"/>
      <c r="X59" s="840"/>
      <c r="Y59" s="840"/>
    </row>
    <row r="60" ht="15.75" customHeight="1">
      <c r="A60" s="814" t="s">
        <v>1873</v>
      </c>
      <c r="B60" s="881" t="s">
        <v>1861</v>
      </c>
      <c r="C60" s="881" t="s">
        <v>1874</v>
      </c>
      <c r="D60" s="881" t="s">
        <v>1875</v>
      </c>
      <c r="E60" s="881" t="s">
        <v>1876</v>
      </c>
      <c r="F60" s="881">
        <v>247.32</v>
      </c>
      <c r="G60" s="840"/>
      <c r="H60" s="840"/>
      <c r="I60" s="840"/>
      <c r="J60" s="840"/>
      <c r="K60" s="840"/>
      <c r="L60" s="840"/>
      <c r="M60" s="840"/>
      <c r="N60" s="840"/>
      <c r="O60" s="840"/>
      <c r="P60" s="840"/>
      <c r="Q60" s="840"/>
      <c r="R60" s="840"/>
      <c r="S60" s="840"/>
      <c r="T60" s="840"/>
      <c r="U60" s="840"/>
      <c r="V60" s="840"/>
      <c r="W60" s="840"/>
      <c r="X60" s="840"/>
      <c r="Y60" s="840"/>
    </row>
    <row r="61" ht="15.75" customHeight="1">
      <c r="A61" s="814" t="s">
        <v>1877</v>
      </c>
      <c r="B61" s="881" t="s">
        <v>1878</v>
      </c>
      <c r="C61" s="881" t="s">
        <v>1879</v>
      </c>
      <c r="D61" s="881" t="s">
        <v>1880</v>
      </c>
      <c r="E61" s="881" t="s">
        <v>1881</v>
      </c>
      <c r="F61" s="881">
        <v>242.58</v>
      </c>
      <c r="G61" s="840"/>
      <c r="H61" s="840"/>
      <c r="I61" s="840"/>
      <c r="J61" s="840"/>
      <c r="K61" s="840"/>
      <c r="L61" s="840"/>
      <c r="M61" s="840"/>
      <c r="N61" s="840"/>
      <c r="O61" s="840"/>
      <c r="P61" s="840"/>
      <c r="Q61" s="840"/>
      <c r="R61" s="840"/>
      <c r="S61" s="840"/>
      <c r="T61" s="840"/>
      <c r="U61" s="840"/>
      <c r="V61" s="840"/>
      <c r="W61" s="840"/>
      <c r="X61" s="840"/>
      <c r="Y61" s="840"/>
    </row>
    <row r="62" ht="15.75" customHeight="1">
      <c r="A62" s="814" t="s">
        <v>1882</v>
      </c>
      <c r="B62" s="881" t="s">
        <v>1861</v>
      </c>
      <c r="C62" s="881" t="s">
        <v>1883</v>
      </c>
      <c r="D62" s="881" t="s">
        <v>1884</v>
      </c>
      <c r="E62" s="881" t="s">
        <v>1885</v>
      </c>
      <c r="F62" s="881">
        <v>246.91</v>
      </c>
      <c r="G62" s="840"/>
      <c r="H62" s="840"/>
      <c r="I62" s="840"/>
      <c r="J62" s="840"/>
      <c r="K62" s="840"/>
      <c r="L62" s="840"/>
      <c r="M62" s="840"/>
      <c r="N62" s="840"/>
      <c r="O62" s="840"/>
      <c r="P62" s="840"/>
      <c r="Q62" s="840"/>
      <c r="R62" s="840"/>
      <c r="S62" s="840"/>
      <c r="T62" s="840"/>
      <c r="U62" s="840"/>
      <c r="V62" s="840"/>
      <c r="W62" s="840"/>
      <c r="X62" s="840"/>
      <c r="Y62" s="840"/>
    </row>
    <row r="63" ht="15.75" customHeight="1">
      <c r="A63" s="814" t="s">
        <v>1886</v>
      </c>
      <c r="B63" s="881" t="s">
        <v>1711</v>
      </c>
      <c r="C63" s="881" t="s">
        <v>1887</v>
      </c>
      <c r="D63" s="881" t="s">
        <v>1888</v>
      </c>
      <c r="E63" s="881" t="s">
        <v>1889</v>
      </c>
      <c r="F63" s="881">
        <v>411.63</v>
      </c>
      <c r="G63" s="840"/>
      <c r="H63" s="840"/>
      <c r="I63" s="840"/>
      <c r="J63" s="840"/>
      <c r="K63" s="840"/>
      <c r="L63" s="840"/>
      <c r="M63" s="840"/>
      <c r="N63" s="840"/>
      <c r="O63" s="840"/>
      <c r="P63" s="840"/>
      <c r="Q63" s="840"/>
      <c r="R63" s="840"/>
      <c r="S63" s="840"/>
      <c r="T63" s="840"/>
      <c r="U63" s="840"/>
      <c r="V63" s="840"/>
      <c r="W63" s="840"/>
      <c r="X63" s="840"/>
      <c r="Y63" s="840"/>
    </row>
    <row r="64" ht="15.75" customHeight="1">
      <c r="A64" s="814" t="s">
        <v>1890</v>
      </c>
      <c r="B64" s="881" t="s">
        <v>1711</v>
      </c>
      <c r="C64" s="881" t="s">
        <v>1891</v>
      </c>
      <c r="D64" s="881" t="s">
        <v>1892</v>
      </c>
      <c r="E64" s="881" t="s">
        <v>1893</v>
      </c>
      <c r="F64" s="881">
        <v>542.66</v>
      </c>
      <c r="G64" s="840"/>
      <c r="H64" s="840"/>
      <c r="I64" s="840"/>
      <c r="J64" s="840"/>
      <c r="K64" s="840"/>
      <c r="L64" s="840"/>
      <c r="M64" s="840"/>
      <c r="N64" s="840"/>
      <c r="O64" s="840"/>
      <c r="P64" s="840"/>
      <c r="Q64" s="840"/>
      <c r="R64" s="840"/>
      <c r="S64" s="840"/>
      <c r="T64" s="840"/>
      <c r="U64" s="840"/>
      <c r="V64" s="840"/>
      <c r="W64" s="840"/>
      <c r="X64" s="840"/>
      <c r="Y64" s="840"/>
    </row>
    <row r="65" ht="15.75" customHeight="1">
      <c r="A65" s="814" t="s">
        <v>270</v>
      </c>
      <c r="B65" s="881" t="s">
        <v>1861</v>
      </c>
      <c r="C65" s="881" t="s">
        <v>1894</v>
      </c>
      <c r="D65" s="881" t="s">
        <v>1895</v>
      </c>
      <c r="E65" s="881" t="s">
        <v>1896</v>
      </c>
      <c r="F65" s="881">
        <v>224.69</v>
      </c>
      <c r="G65" s="840"/>
      <c r="H65" s="840"/>
      <c r="I65" s="840"/>
      <c r="J65" s="840"/>
      <c r="K65" s="840"/>
      <c r="L65" s="840"/>
      <c r="M65" s="840"/>
      <c r="N65" s="840"/>
      <c r="O65" s="840"/>
      <c r="P65" s="840"/>
      <c r="Q65" s="840"/>
      <c r="R65" s="840"/>
      <c r="S65" s="840"/>
      <c r="T65" s="840"/>
      <c r="U65" s="840"/>
      <c r="V65" s="840"/>
      <c r="W65" s="840"/>
      <c r="X65" s="840"/>
      <c r="Y65" s="840"/>
    </row>
    <row r="66" ht="15.75" customHeight="1">
      <c r="A66" s="814" t="s">
        <v>1897</v>
      </c>
      <c r="B66" s="881" t="s">
        <v>1898</v>
      </c>
      <c r="C66" s="881" t="s">
        <v>1899</v>
      </c>
      <c r="D66" s="881" t="s">
        <v>1900</v>
      </c>
      <c r="E66" s="881" t="s">
        <v>1901</v>
      </c>
      <c r="F66" s="881">
        <v>214.45</v>
      </c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0"/>
      <c r="R66" s="840"/>
      <c r="S66" s="840"/>
      <c r="T66" s="840"/>
      <c r="U66" s="840"/>
      <c r="V66" s="840"/>
      <c r="W66" s="840"/>
      <c r="X66" s="840"/>
      <c r="Y66" s="840"/>
    </row>
    <row r="67" ht="15.75" customHeight="1">
      <c r="A67" s="885" t="s">
        <v>1902</v>
      </c>
      <c r="B67" s="880"/>
      <c r="C67" s="880"/>
      <c r="D67" s="880"/>
      <c r="E67" s="880"/>
      <c r="F67" s="880"/>
      <c r="G67" s="840"/>
      <c r="H67" s="840"/>
      <c r="I67" s="840"/>
      <c r="J67" s="840"/>
      <c r="K67" s="840"/>
      <c r="L67" s="840"/>
      <c r="M67" s="840"/>
      <c r="N67" s="840"/>
      <c r="O67" s="840"/>
      <c r="P67" s="840"/>
      <c r="Q67" s="840"/>
      <c r="R67" s="840"/>
      <c r="S67" s="840"/>
      <c r="T67" s="840"/>
      <c r="U67" s="840"/>
      <c r="V67" s="840"/>
      <c r="W67" s="840"/>
      <c r="X67" s="840"/>
      <c r="Y67" s="840"/>
    </row>
    <row r="68" ht="15.75" customHeight="1">
      <c r="A68" s="814" t="s">
        <v>1283</v>
      </c>
      <c r="B68" s="881" t="s">
        <v>1898</v>
      </c>
      <c r="C68" s="881" t="s">
        <v>1903</v>
      </c>
      <c r="D68" s="881" t="s">
        <v>1904</v>
      </c>
      <c r="E68" s="881" t="s">
        <v>1905</v>
      </c>
      <c r="F68" s="881">
        <v>210.6</v>
      </c>
      <c r="G68" s="840"/>
      <c r="H68" s="840"/>
      <c r="I68" s="840"/>
      <c r="J68" s="840"/>
      <c r="K68" s="840"/>
      <c r="L68" s="840"/>
      <c r="M68" s="840"/>
      <c r="N68" s="840"/>
      <c r="O68" s="840"/>
      <c r="P68" s="840"/>
      <c r="Q68" s="840"/>
      <c r="R68" s="840"/>
      <c r="S68" s="840"/>
      <c r="T68" s="840"/>
      <c r="U68" s="840"/>
      <c r="V68" s="840"/>
      <c r="W68" s="840"/>
      <c r="X68" s="840"/>
      <c r="Y68" s="840"/>
    </row>
    <row r="69" ht="15.75" customHeight="1">
      <c r="A69" s="814" t="s">
        <v>1906</v>
      </c>
      <c r="B69" s="881" t="s">
        <v>1898</v>
      </c>
      <c r="C69" s="881" t="s">
        <v>1907</v>
      </c>
      <c r="D69" s="881" t="s">
        <v>1904</v>
      </c>
      <c r="E69" s="881" t="s">
        <v>1908</v>
      </c>
      <c r="F69" s="881">
        <v>275.51</v>
      </c>
      <c r="G69" s="840"/>
      <c r="H69" s="840"/>
      <c r="I69" s="840"/>
      <c r="J69" s="840"/>
      <c r="K69" s="840"/>
      <c r="L69" s="840"/>
      <c r="M69" s="840"/>
      <c r="N69" s="840"/>
      <c r="O69" s="840"/>
      <c r="P69" s="840"/>
      <c r="Q69" s="840"/>
      <c r="R69" s="840"/>
      <c r="S69" s="840"/>
      <c r="T69" s="840"/>
      <c r="U69" s="840"/>
      <c r="V69" s="840"/>
      <c r="W69" s="840"/>
      <c r="X69" s="840"/>
      <c r="Y69" s="840"/>
    </row>
    <row r="70" ht="15.75" customHeight="1">
      <c r="A70" s="814" t="s">
        <v>1909</v>
      </c>
      <c r="B70" s="881" t="s">
        <v>1898</v>
      </c>
      <c r="C70" s="881" t="s">
        <v>1910</v>
      </c>
      <c r="D70" s="881" t="s">
        <v>1911</v>
      </c>
      <c r="E70" s="881" t="s">
        <v>1912</v>
      </c>
      <c r="F70" s="881">
        <v>291.65</v>
      </c>
      <c r="G70" s="840"/>
      <c r="H70" s="840"/>
      <c r="I70" s="840"/>
      <c r="J70" s="840"/>
      <c r="K70" s="840"/>
      <c r="L70" s="840"/>
      <c r="M70" s="840"/>
      <c r="N70" s="840"/>
      <c r="O70" s="840"/>
      <c r="P70" s="840"/>
      <c r="Q70" s="840"/>
      <c r="R70" s="840"/>
      <c r="S70" s="840"/>
      <c r="T70" s="840"/>
      <c r="U70" s="840"/>
      <c r="V70" s="840"/>
      <c r="W70" s="840"/>
      <c r="X70" s="840"/>
      <c r="Y70" s="840"/>
    </row>
    <row r="71" ht="15.75" customHeight="1">
      <c r="A71" s="814" t="s">
        <v>318</v>
      </c>
      <c r="B71" s="881" t="s">
        <v>1913</v>
      </c>
      <c r="C71" s="881" t="s">
        <v>1914</v>
      </c>
      <c r="D71" s="881" t="s">
        <v>1915</v>
      </c>
      <c r="E71" s="881" t="s">
        <v>1916</v>
      </c>
      <c r="F71" s="881">
        <v>313.93</v>
      </c>
      <c r="G71" s="840"/>
      <c r="H71" s="840"/>
      <c r="I71" s="840"/>
      <c r="J71" s="840"/>
      <c r="K71" s="840"/>
      <c r="L71" s="840"/>
      <c r="M71" s="840"/>
      <c r="N71" s="840"/>
      <c r="O71" s="840"/>
      <c r="P71" s="840"/>
      <c r="Q71" s="840"/>
      <c r="R71" s="840"/>
      <c r="S71" s="840"/>
      <c r="T71" s="840"/>
      <c r="U71" s="840"/>
      <c r="V71" s="840"/>
      <c r="W71" s="840"/>
      <c r="X71" s="840"/>
      <c r="Y71" s="840"/>
    </row>
    <row r="72" ht="15.75" customHeight="1">
      <c r="A72" s="814" t="s">
        <v>325</v>
      </c>
      <c r="B72" s="881" t="s">
        <v>1913</v>
      </c>
      <c r="C72" s="881" t="s">
        <v>1917</v>
      </c>
      <c r="D72" s="881" t="s">
        <v>1807</v>
      </c>
      <c r="E72" s="881" t="s">
        <v>1918</v>
      </c>
      <c r="F72" s="881">
        <v>189.71</v>
      </c>
      <c r="G72" s="840"/>
      <c r="H72" s="840"/>
      <c r="I72" s="840"/>
      <c r="J72" s="840"/>
      <c r="K72" s="840"/>
      <c r="L72" s="840"/>
      <c r="M72" s="840"/>
      <c r="N72" s="840"/>
      <c r="O72" s="840"/>
      <c r="P72" s="840"/>
      <c r="Q72" s="840"/>
      <c r="R72" s="840"/>
      <c r="S72" s="840"/>
      <c r="T72" s="840"/>
      <c r="U72" s="840"/>
      <c r="V72" s="840"/>
      <c r="W72" s="840"/>
      <c r="X72" s="840"/>
      <c r="Y72" s="840"/>
    </row>
    <row r="73" ht="15.75" customHeight="1">
      <c r="A73" s="814" t="s">
        <v>1919</v>
      </c>
      <c r="B73" s="881" t="s">
        <v>1787</v>
      </c>
      <c r="C73" s="881" t="s">
        <v>1920</v>
      </c>
      <c r="D73" s="881" t="s">
        <v>1921</v>
      </c>
      <c r="E73" s="881" t="s">
        <v>1922</v>
      </c>
      <c r="F73" s="881">
        <v>219.44</v>
      </c>
      <c r="G73" s="840"/>
      <c r="H73" s="840"/>
      <c r="I73" s="840"/>
      <c r="J73" s="840"/>
      <c r="K73" s="840"/>
      <c r="L73" s="840"/>
      <c r="M73" s="840"/>
      <c r="N73" s="840"/>
      <c r="O73" s="840"/>
      <c r="P73" s="840"/>
      <c r="Q73" s="840"/>
      <c r="R73" s="840"/>
      <c r="S73" s="840"/>
      <c r="T73" s="840"/>
      <c r="U73" s="840"/>
      <c r="V73" s="840"/>
      <c r="W73" s="840"/>
      <c r="X73" s="840"/>
      <c r="Y73" s="840"/>
    </row>
    <row r="74" ht="15.75" customHeight="1">
      <c r="A74" s="885" t="s">
        <v>1923</v>
      </c>
      <c r="B74" s="880"/>
      <c r="C74" s="880"/>
      <c r="D74" s="880"/>
      <c r="E74" s="880"/>
      <c r="F74" s="880"/>
      <c r="G74" s="840"/>
      <c r="H74" s="840"/>
      <c r="I74" s="840"/>
      <c r="J74" s="840"/>
      <c r="K74" s="840"/>
      <c r="L74" s="840"/>
      <c r="M74" s="840"/>
      <c r="N74" s="840"/>
      <c r="O74" s="840"/>
      <c r="P74" s="840"/>
      <c r="Q74" s="840"/>
      <c r="R74" s="840"/>
      <c r="S74" s="840"/>
      <c r="T74" s="840"/>
      <c r="U74" s="840"/>
      <c r="V74" s="840"/>
      <c r="W74" s="840"/>
      <c r="X74" s="840"/>
      <c r="Y74" s="840"/>
    </row>
    <row r="75" ht="15.75" customHeight="1">
      <c r="A75" s="814" t="s">
        <v>332</v>
      </c>
      <c r="B75" s="881" t="s">
        <v>1924</v>
      </c>
      <c r="C75" s="881" t="s">
        <v>1925</v>
      </c>
      <c r="D75" s="881" t="s">
        <v>1926</v>
      </c>
      <c r="E75" s="881" t="s">
        <v>1927</v>
      </c>
      <c r="F75" s="881">
        <v>188.33</v>
      </c>
      <c r="G75" s="840"/>
      <c r="H75" s="840"/>
      <c r="I75" s="840"/>
      <c r="J75" s="840"/>
      <c r="K75" s="840"/>
      <c r="L75" s="840"/>
      <c r="M75" s="840"/>
      <c r="N75" s="840"/>
      <c r="O75" s="840"/>
      <c r="P75" s="840"/>
      <c r="Q75" s="840"/>
      <c r="R75" s="840"/>
      <c r="S75" s="840"/>
      <c r="T75" s="840"/>
      <c r="U75" s="840"/>
      <c r="V75" s="840"/>
      <c r="W75" s="840"/>
      <c r="X75" s="840"/>
      <c r="Y75" s="840"/>
    </row>
    <row r="76" ht="15.75" customHeight="1">
      <c r="A76" s="814" t="s">
        <v>348</v>
      </c>
      <c r="B76" s="881" t="s">
        <v>1928</v>
      </c>
      <c r="C76" s="881" t="s">
        <v>1929</v>
      </c>
      <c r="D76" s="881" t="s">
        <v>1930</v>
      </c>
      <c r="E76" s="881" t="s">
        <v>1931</v>
      </c>
      <c r="F76" s="881">
        <v>200.74</v>
      </c>
      <c r="G76" s="840"/>
      <c r="H76" s="840"/>
      <c r="I76" s="840"/>
      <c r="J76" s="840"/>
      <c r="K76" s="840"/>
      <c r="L76" s="840"/>
      <c r="M76" s="840"/>
      <c r="N76" s="840"/>
      <c r="O76" s="840"/>
      <c r="P76" s="840"/>
      <c r="Q76" s="840"/>
      <c r="R76" s="840"/>
      <c r="S76" s="840"/>
      <c r="T76" s="840"/>
      <c r="U76" s="840"/>
      <c r="V76" s="840"/>
      <c r="W76" s="840"/>
      <c r="X76" s="840"/>
      <c r="Y76" s="840"/>
    </row>
    <row r="77" ht="15.75" customHeight="1">
      <c r="A77" s="814" t="s">
        <v>1259</v>
      </c>
      <c r="B77" s="881" t="s">
        <v>1928</v>
      </c>
      <c r="C77" s="881" t="s">
        <v>1932</v>
      </c>
      <c r="D77" s="881" t="s">
        <v>1933</v>
      </c>
      <c r="E77" s="881" t="s">
        <v>1934</v>
      </c>
      <c r="F77" s="881">
        <v>200.16</v>
      </c>
      <c r="G77" s="840"/>
      <c r="H77" s="840"/>
      <c r="I77" s="840"/>
      <c r="J77" s="840"/>
      <c r="K77" s="840"/>
      <c r="L77" s="840"/>
      <c r="M77" s="840"/>
      <c r="N77" s="840"/>
      <c r="O77" s="840"/>
      <c r="P77" s="840"/>
      <c r="Q77" s="840"/>
      <c r="R77" s="840"/>
      <c r="S77" s="840"/>
      <c r="T77" s="840"/>
      <c r="U77" s="840"/>
      <c r="V77" s="840"/>
      <c r="W77" s="840"/>
      <c r="X77" s="840"/>
      <c r="Y77" s="840"/>
    </row>
    <row r="78" ht="15.75" customHeight="1">
      <c r="A78" s="814" t="s">
        <v>339</v>
      </c>
      <c r="B78" s="881" t="s">
        <v>1928</v>
      </c>
      <c r="C78" s="881" t="s">
        <v>1935</v>
      </c>
      <c r="D78" s="881" t="s">
        <v>1936</v>
      </c>
      <c r="E78" s="881" t="s">
        <v>1937</v>
      </c>
      <c r="F78" s="881">
        <v>229.04</v>
      </c>
      <c r="G78" s="840"/>
      <c r="H78" s="840"/>
      <c r="I78" s="840"/>
      <c r="J78" s="840"/>
      <c r="K78" s="840"/>
      <c r="L78" s="840"/>
      <c r="M78" s="840"/>
      <c r="N78" s="840"/>
      <c r="O78" s="840"/>
      <c r="P78" s="840"/>
      <c r="Q78" s="840"/>
      <c r="R78" s="840"/>
      <c r="S78" s="840"/>
      <c r="T78" s="840"/>
      <c r="U78" s="840"/>
      <c r="V78" s="840"/>
      <c r="W78" s="840"/>
      <c r="X78" s="840"/>
      <c r="Y78" s="840"/>
    </row>
    <row r="79" ht="15.75" customHeight="1">
      <c r="A79" s="814" t="s">
        <v>342</v>
      </c>
      <c r="B79" s="881" t="s">
        <v>1938</v>
      </c>
      <c r="C79" s="881" t="s">
        <v>1939</v>
      </c>
      <c r="D79" s="881" t="s">
        <v>1940</v>
      </c>
      <c r="E79" s="881" t="s">
        <v>1941</v>
      </c>
      <c r="F79" s="881">
        <v>184.91</v>
      </c>
      <c r="G79" s="840"/>
      <c r="H79" s="840"/>
      <c r="I79" s="840"/>
      <c r="J79" s="840"/>
      <c r="K79" s="840"/>
      <c r="L79" s="840"/>
      <c r="M79" s="840"/>
      <c r="N79" s="840"/>
      <c r="O79" s="840"/>
      <c r="P79" s="840"/>
      <c r="Q79" s="840"/>
      <c r="R79" s="840"/>
      <c r="S79" s="840"/>
      <c r="T79" s="840"/>
      <c r="U79" s="840"/>
      <c r="V79" s="840"/>
      <c r="W79" s="840"/>
      <c r="X79" s="840"/>
      <c r="Y79" s="840"/>
    </row>
    <row r="80" ht="15.75" customHeight="1">
      <c r="A80" s="814" t="s">
        <v>344</v>
      </c>
      <c r="B80" s="881" t="s">
        <v>1928</v>
      </c>
      <c r="C80" s="881" t="s">
        <v>1942</v>
      </c>
      <c r="D80" s="881" t="s">
        <v>1930</v>
      </c>
      <c r="E80" s="881" t="s">
        <v>1943</v>
      </c>
      <c r="F80" s="881">
        <v>227.98</v>
      </c>
      <c r="G80" s="840"/>
      <c r="H80" s="840"/>
      <c r="I80" s="840"/>
      <c r="J80" s="840"/>
      <c r="K80" s="840"/>
      <c r="L80" s="840"/>
      <c r="M80" s="840"/>
      <c r="N80" s="840"/>
      <c r="O80" s="840"/>
      <c r="P80" s="840"/>
      <c r="Q80" s="840"/>
      <c r="R80" s="840"/>
      <c r="S80" s="840"/>
      <c r="T80" s="840"/>
      <c r="U80" s="840"/>
      <c r="V80" s="840"/>
      <c r="W80" s="840"/>
      <c r="X80" s="840"/>
      <c r="Y80" s="840"/>
    </row>
    <row r="81" ht="15.75" customHeight="1">
      <c r="A81" s="814" t="s">
        <v>1944</v>
      </c>
      <c r="B81" s="881" t="s">
        <v>1945</v>
      </c>
      <c r="C81" s="881" t="s">
        <v>1946</v>
      </c>
      <c r="D81" s="881" t="s">
        <v>1947</v>
      </c>
      <c r="E81" s="881" t="s">
        <v>1948</v>
      </c>
      <c r="F81" s="881">
        <v>239.56</v>
      </c>
      <c r="G81" s="840"/>
      <c r="H81" s="840"/>
      <c r="I81" s="840"/>
      <c r="J81" s="840"/>
      <c r="K81" s="840"/>
      <c r="L81" s="840"/>
      <c r="M81" s="840"/>
      <c r="N81" s="840"/>
      <c r="O81" s="840"/>
      <c r="P81" s="840"/>
      <c r="Q81" s="840"/>
      <c r="R81" s="840"/>
      <c r="S81" s="840"/>
      <c r="T81" s="840"/>
      <c r="U81" s="840"/>
      <c r="V81" s="840"/>
      <c r="W81" s="840"/>
      <c r="X81" s="840"/>
      <c r="Y81" s="840"/>
    </row>
    <row r="82" ht="15.75" customHeight="1">
      <c r="A82" s="814" t="s">
        <v>155</v>
      </c>
      <c r="B82" s="881" t="s">
        <v>1949</v>
      </c>
      <c r="C82" s="881" t="s">
        <v>1950</v>
      </c>
      <c r="D82" s="881" t="s">
        <v>1951</v>
      </c>
      <c r="E82" s="881" t="s">
        <v>1952</v>
      </c>
      <c r="F82" s="881">
        <v>208.4</v>
      </c>
      <c r="G82" s="840"/>
      <c r="H82" s="840"/>
      <c r="I82" s="840"/>
      <c r="J82" s="840"/>
      <c r="K82" s="840"/>
      <c r="L82" s="840"/>
      <c r="M82" s="840"/>
      <c r="N82" s="840"/>
      <c r="O82" s="840"/>
      <c r="P82" s="840"/>
      <c r="Q82" s="840"/>
      <c r="R82" s="840"/>
      <c r="S82" s="840"/>
      <c r="T82" s="840"/>
      <c r="U82" s="840"/>
      <c r="V82" s="840"/>
      <c r="W82" s="840"/>
      <c r="X82" s="840"/>
      <c r="Y82" s="840"/>
    </row>
    <row r="83" ht="15.75" customHeight="1">
      <c r="A83" s="885" t="s">
        <v>1953</v>
      </c>
      <c r="B83" s="880"/>
      <c r="C83" s="880"/>
      <c r="D83" s="880"/>
      <c r="E83" s="880"/>
      <c r="F83" s="880"/>
      <c r="G83" s="840"/>
      <c r="H83" s="840"/>
      <c r="I83" s="840"/>
      <c r="J83" s="840"/>
      <c r="K83" s="840"/>
      <c r="L83" s="840"/>
      <c r="M83" s="840"/>
      <c r="N83" s="840"/>
      <c r="O83" s="840"/>
      <c r="P83" s="840"/>
      <c r="Q83" s="840"/>
      <c r="R83" s="840"/>
      <c r="S83" s="840"/>
      <c r="T83" s="840"/>
      <c r="U83" s="840"/>
      <c r="V83" s="840"/>
      <c r="W83" s="840"/>
      <c r="X83" s="840"/>
      <c r="Y83" s="840"/>
    </row>
    <row r="84" ht="15.75" customHeight="1">
      <c r="A84" s="814" t="s">
        <v>377</v>
      </c>
      <c r="B84" s="881" t="s">
        <v>1492</v>
      </c>
      <c r="C84" s="881" t="s">
        <v>1954</v>
      </c>
      <c r="D84" s="881" t="s">
        <v>1955</v>
      </c>
      <c r="E84" s="881" t="s">
        <v>1956</v>
      </c>
      <c r="F84" s="881">
        <v>435.94</v>
      </c>
      <c r="G84" s="840"/>
      <c r="H84" s="840"/>
      <c r="I84" s="840"/>
      <c r="J84" s="840"/>
      <c r="K84" s="840"/>
      <c r="L84" s="840"/>
      <c r="M84" s="840"/>
      <c r="N84" s="840"/>
      <c r="O84" s="840"/>
      <c r="P84" s="840"/>
      <c r="Q84" s="840"/>
      <c r="R84" s="840"/>
      <c r="S84" s="840"/>
      <c r="T84" s="840"/>
      <c r="U84" s="840"/>
      <c r="V84" s="840"/>
      <c r="W84" s="840"/>
      <c r="X84" s="840"/>
      <c r="Y84" s="840"/>
    </row>
    <row r="85" ht="15.75" customHeight="1">
      <c r="A85" s="814" t="s">
        <v>373</v>
      </c>
      <c r="B85" s="881" t="s">
        <v>1827</v>
      </c>
      <c r="C85" s="881" t="s">
        <v>1957</v>
      </c>
      <c r="D85" s="881" t="s">
        <v>1958</v>
      </c>
      <c r="E85" s="881" t="s">
        <v>1959</v>
      </c>
      <c r="F85" s="881">
        <v>242.65</v>
      </c>
      <c r="G85" s="840"/>
      <c r="H85" s="840"/>
      <c r="I85" s="840"/>
      <c r="J85" s="840"/>
      <c r="K85" s="840"/>
      <c r="L85" s="840"/>
      <c r="M85" s="840"/>
      <c r="N85" s="840"/>
      <c r="O85" s="840"/>
      <c r="P85" s="840"/>
      <c r="Q85" s="840"/>
      <c r="R85" s="840"/>
      <c r="S85" s="840"/>
      <c r="T85" s="840"/>
      <c r="U85" s="840"/>
      <c r="V85" s="840"/>
      <c r="W85" s="840"/>
      <c r="X85" s="840"/>
      <c r="Y85" s="840"/>
    </row>
    <row r="86" ht="15.75" customHeight="1">
      <c r="A86" s="814" t="s">
        <v>375</v>
      </c>
      <c r="B86" s="881" t="s">
        <v>1960</v>
      </c>
      <c r="C86" s="881" t="s">
        <v>1961</v>
      </c>
      <c r="D86" s="881" t="s">
        <v>1721</v>
      </c>
      <c r="E86" s="881" t="s">
        <v>1920</v>
      </c>
      <c r="F86" s="881">
        <v>289.52</v>
      </c>
      <c r="G86" s="840"/>
      <c r="H86" s="840"/>
      <c r="I86" s="840"/>
      <c r="J86" s="840"/>
      <c r="K86" s="840"/>
      <c r="L86" s="840"/>
      <c r="M86" s="840"/>
      <c r="N86" s="840"/>
      <c r="O86" s="840"/>
      <c r="P86" s="840"/>
      <c r="Q86" s="840"/>
      <c r="R86" s="840"/>
      <c r="S86" s="840"/>
      <c r="T86" s="840"/>
      <c r="U86" s="840"/>
      <c r="V86" s="840"/>
      <c r="W86" s="840"/>
      <c r="X86" s="840"/>
      <c r="Y86" s="840"/>
    </row>
    <row r="87" ht="15.75" customHeight="1">
      <c r="A87" s="814" t="s">
        <v>1962</v>
      </c>
      <c r="B87" s="881" t="s">
        <v>1960</v>
      </c>
      <c r="C87" s="881" t="s">
        <v>1963</v>
      </c>
      <c r="D87" s="881" t="s">
        <v>1964</v>
      </c>
      <c r="E87" s="881" t="s">
        <v>1965</v>
      </c>
      <c r="F87" s="881">
        <v>446.89</v>
      </c>
      <c r="G87" s="840"/>
      <c r="H87" s="840"/>
      <c r="I87" s="840"/>
      <c r="J87" s="840"/>
      <c r="K87" s="840"/>
      <c r="L87" s="840"/>
      <c r="M87" s="840"/>
      <c r="N87" s="840"/>
      <c r="O87" s="840"/>
      <c r="P87" s="840"/>
      <c r="Q87" s="840"/>
      <c r="R87" s="840"/>
      <c r="S87" s="840"/>
      <c r="T87" s="840"/>
      <c r="U87" s="840"/>
      <c r="V87" s="840"/>
      <c r="W87" s="840"/>
      <c r="X87" s="840"/>
      <c r="Y87" s="840"/>
    </row>
    <row r="88" ht="15.75" customHeight="1">
      <c r="A88" s="814" t="s">
        <v>380</v>
      </c>
      <c r="B88" s="881" t="s">
        <v>1495</v>
      </c>
      <c r="C88" s="881" t="s">
        <v>1966</v>
      </c>
      <c r="D88" s="881" t="s">
        <v>1967</v>
      </c>
      <c r="E88" s="881" t="s">
        <v>1968</v>
      </c>
      <c r="F88" s="881">
        <v>181.7</v>
      </c>
      <c r="G88" s="840"/>
      <c r="H88" s="840"/>
      <c r="I88" s="840"/>
      <c r="J88" s="840"/>
      <c r="K88" s="840"/>
      <c r="L88" s="840"/>
      <c r="M88" s="840"/>
      <c r="N88" s="840"/>
      <c r="O88" s="840"/>
      <c r="P88" s="840"/>
      <c r="Q88" s="840"/>
      <c r="R88" s="840"/>
      <c r="S88" s="840"/>
      <c r="T88" s="840"/>
      <c r="U88" s="840"/>
      <c r="V88" s="840"/>
      <c r="W88" s="840"/>
      <c r="X88" s="840"/>
      <c r="Y88" s="840"/>
    </row>
    <row r="89" ht="15.75" customHeight="1">
      <c r="A89" s="814" t="s">
        <v>1969</v>
      </c>
      <c r="B89" s="881" t="s">
        <v>1744</v>
      </c>
      <c r="C89" s="881" t="s">
        <v>1816</v>
      </c>
      <c r="D89" s="881" t="s">
        <v>1713</v>
      </c>
      <c r="E89" s="881" t="s">
        <v>1970</v>
      </c>
      <c r="F89" s="881">
        <v>182.17</v>
      </c>
      <c r="G89" s="840"/>
      <c r="H89" s="840"/>
      <c r="I89" s="840"/>
      <c r="J89" s="840"/>
      <c r="K89" s="840"/>
      <c r="L89" s="840"/>
      <c r="M89" s="840"/>
      <c r="N89" s="840"/>
      <c r="O89" s="840"/>
      <c r="P89" s="840"/>
      <c r="Q89" s="840"/>
      <c r="R89" s="840"/>
      <c r="S89" s="840"/>
      <c r="T89" s="840"/>
      <c r="U89" s="840"/>
      <c r="V89" s="840"/>
      <c r="W89" s="840"/>
      <c r="X89" s="840"/>
      <c r="Y89" s="840"/>
    </row>
    <row r="90" ht="15.75" customHeight="1">
      <c r="A90" s="814" t="s">
        <v>353</v>
      </c>
      <c r="B90" s="881" t="s">
        <v>1744</v>
      </c>
      <c r="C90" s="881" t="s">
        <v>1971</v>
      </c>
      <c r="D90" s="881" t="s">
        <v>1972</v>
      </c>
      <c r="E90" s="881" t="s">
        <v>1973</v>
      </c>
      <c r="F90" s="881">
        <v>241.77</v>
      </c>
      <c r="G90" s="840"/>
      <c r="H90" s="840"/>
      <c r="I90" s="840"/>
      <c r="J90" s="840"/>
      <c r="K90" s="840"/>
      <c r="L90" s="840"/>
      <c r="M90" s="840"/>
      <c r="N90" s="840"/>
      <c r="O90" s="840"/>
      <c r="P90" s="840"/>
      <c r="Q90" s="840"/>
      <c r="R90" s="840"/>
      <c r="S90" s="840"/>
      <c r="T90" s="840"/>
      <c r="U90" s="840"/>
      <c r="V90" s="840"/>
      <c r="W90" s="840"/>
      <c r="X90" s="840"/>
      <c r="Y90" s="840"/>
    </row>
    <row r="91" ht="15.75" customHeight="1">
      <c r="A91" s="814" t="s">
        <v>1974</v>
      </c>
      <c r="B91" s="881" t="s">
        <v>1975</v>
      </c>
      <c r="C91" s="881" t="s">
        <v>1976</v>
      </c>
      <c r="D91" s="881" t="s">
        <v>1977</v>
      </c>
      <c r="E91" s="881" t="s">
        <v>1978</v>
      </c>
      <c r="F91" s="881">
        <v>320.39</v>
      </c>
      <c r="G91" s="840"/>
      <c r="H91" s="840"/>
      <c r="I91" s="840"/>
      <c r="J91" s="840"/>
      <c r="K91" s="840"/>
      <c r="L91" s="840"/>
      <c r="M91" s="840"/>
      <c r="N91" s="840"/>
      <c r="O91" s="840"/>
      <c r="P91" s="840"/>
      <c r="Q91" s="840"/>
      <c r="R91" s="840"/>
      <c r="S91" s="840"/>
      <c r="T91" s="840"/>
      <c r="U91" s="840"/>
      <c r="V91" s="840"/>
      <c r="W91" s="840"/>
      <c r="X91" s="840"/>
      <c r="Y91" s="840"/>
    </row>
    <row r="92" ht="15.75" customHeight="1">
      <c r="A92" s="814" t="s">
        <v>1979</v>
      </c>
      <c r="B92" s="881" t="s">
        <v>1975</v>
      </c>
      <c r="C92" s="881" t="s">
        <v>1980</v>
      </c>
      <c r="D92" s="881" t="s">
        <v>1785</v>
      </c>
      <c r="E92" s="881" t="s">
        <v>1981</v>
      </c>
      <c r="F92" s="881">
        <v>307.74</v>
      </c>
      <c r="G92" s="840"/>
      <c r="H92" s="840"/>
      <c r="I92" s="840"/>
      <c r="J92" s="840"/>
      <c r="K92" s="840"/>
      <c r="L92" s="840"/>
      <c r="M92" s="840"/>
      <c r="N92" s="840"/>
      <c r="O92" s="840"/>
      <c r="P92" s="840"/>
      <c r="Q92" s="840"/>
      <c r="R92" s="840"/>
      <c r="S92" s="840"/>
      <c r="T92" s="840"/>
      <c r="U92" s="840"/>
      <c r="V92" s="840"/>
      <c r="W92" s="840"/>
      <c r="X92" s="840"/>
      <c r="Y92" s="840"/>
    </row>
    <row r="93" ht="15.75" customHeight="1">
      <c r="A93" s="814" t="s">
        <v>1982</v>
      </c>
      <c r="B93" s="881" t="s">
        <v>1983</v>
      </c>
      <c r="C93" s="881" t="s">
        <v>1984</v>
      </c>
      <c r="D93" s="881" t="s">
        <v>1985</v>
      </c>
      <c r="E93" s="881" t="s">
        <v>1986</v>
      </c>
      <c r="F93" s="881">
        <v>261.33</v>
      </c>
      <c r="G93" s="840"/>
      <c r="H93" s="840"/>
      <c r="I93" s="840"/>
      <c r="J93" s="840"/>
      <c r="K93" s="840"/>
      <c r="L93" s="840"/>
      <c r="M93" s="840"/>
      <c r="N93" s="840"/>
      <c r="O93" s="840"/>
      <c r="P93" s="840"/>
      <c r="Q93" s="840"/>
      <c r="R93" s="840"/>
      <c r="S93" s="840"/>
      <c r="T93" s="840"/>
      <c r="U93" s="840"/>
      <c r="V93" s="840"/>
      <c r="W93" s="840"/>
      <c r="X93" s="840"/>
      <c r="Y93" s="840"/>
    </row>
    <row r="94" ht="15.75" customHeight="1">
      <c r="A94" s="814" t="s">
        <v>1987</v>
      </c>
      <c r="B94" s="881" t="s">
        <v>1988</v>
      </c>
      <c r="C94" s="881" t="s">
        <v>1989</v>
      </c>
      <c r="D94" s="881" t="s">
        <v>1990</v>
      </c>
      <c r="E94" s="881" t="s">
        <v>1991</v>
      </c>
      <c r="F94" s="881">
        <v>287.14</v>
      </c>
      <c r="G94" s="840"/>
      <c r="H94" s="840"/>
      <c r="I94" s="840"/>
      <c r="J94" s="840"/>
      <c r="K94" s="840"/>
      <c r="L94" s="840"/>
      <c r="M94" s="840"/>
      <c r="N94" s="840"/>
      <c r="O94" s="840"/>
      <c r="P94" s="840"/>
      <c r="Q94" s="840"/>
      <c r="R94" s="840"/>
      <c r="S94" s="840"/>
      <c r="T94" s="840"/>
      <c r="U94" s="840"/>
      <c r="V94" s="840"/>
      <c r="W94" s="840"/>
      <c r="X94" s="840"/>
      <c r="Y94" s="840"/>
    </row>
    <row r="95" ht="15.75" customHeight="1">
      <c r="A95" s="886" t="s">
        <v>1992</v>
      </c>
      <c r="B95" s="880"/>
      <c r="C95" s="880"/>
      <c r="D95" s="880"/>
      <c r="E95" s="880"/>
      <c r="F95" s="880"/>
      <c r="G95" s="840"/>
      <c r="H95" s="840"/>
      <c r="I95" s="840"/>
      <c r="J95" s="840"/>
      <c r="K95" s="840"/>
      <c r="L95" s="840"/>
      <c r="M95" s="840"/>
      <c r="N95" s="840"/>
      <c r="O95" s="840"/>
      <c r="P95" s="840"/>
      <c r="Q95" s="840"/>
      <c r="R95" s="840"/>
      <c r="S95" s="840"/>
      <c r="T95" s="840"/>
      <c r="U95" s="840"/>
      <c r="V95" s="840"/>
      <c r="W95" s="840"/>
      <c r="X95" s="840"/>
      <c r="Y95" s="840"/>
    </row>
    <row r="96" ht="15.75" customHeight="1">
      <c r="A96" s="814" t="s">
        <v>381</v>
      </c>
      <c r="B96" s="881" t="s">
        <v>1993</v>
      </c>
      <c r="C96" s="881" t="s">
        <v>1994</v>
      </c>
      <c r="D96" s="881" t="s">
        <v>1995</v>
      </c>
      <c r="E96" s="881" t="s">
        <v>1996</v>
      </c>
      <c r="F96" s="881">
        <v>12.8</v>
      </c>
      <c r="G96" s="840"/>
      <c r="H96" s="840"/>
      <c r="I96" s="840"/>
      <c r="J96" s="840"/>
      <c r="K96" s="840"/>
      <c r="L96" s="840"/>
      <c r="M96" s="840"/>
      <c r="N96" s="840"/>
      <c r="O96" s="840"/>
      <c r="P96" s="840"/>
      <c r="Q96" s="840"/>
      <c r="R96" s="840"/>
      <c r="S96" s="840"/>
      <c r="T96" s="840"/>
      <c r="U96" s="840"/>
      <c r="V96" s="840"/>
      <c r="W96" s="840"/>
      <c r="X96" s="840"/>
      <c r="Y96" s="840"/>
    </row>
    <row r="97" ht="15.75" customHeight="1">
      <c r="A97" s="814" t="s">
        <v>1997</v>
      </c>
      <c r="B97" s="881" t="s">
        <v>1998</v>
      </c>
      <c r="C97" s="881" t="s">
        <v>1999</v>
      </c>
      <c r="D97" s="881" t="s">
        <v>2000</v>
      </c>
      <c r="E97" s="881" t="s">
        <v>2001</v>
      </c>
      <c r="F97" s="881">
        <v>132.3</v>
      </c>
      <c r="G97" s="840"/>
      <c r="H97" s="840"/>
      <c r="I97" s="840"/>
      <c r="J97" s="840"/>
      <c r="K97" s="840"/>
      <c r="L97" s="840"/>
      <c r="M97" s="840"/>
      <c r="N97" s="840"/>
      <c r="O97" s="840"/>
      <c r="P97" s="840"/>
      <c r="Q97" s="840"/>
      <c r="R97" s="840"/>
      <c r="S97" s="840"/>
      <c r="T97" s="840"/>
      <c r="U97" s="840"/>
      <c r="V97" s="840"/>
      <c r="W97" s="840"/>
      <c r="X97" s="840"/>
      <c r="Y97" s="840"/>
    </row>
    <row r="98" ht="15.75" customHeight="1">
      <c r="A98" s="814" t="s">
        <v>383</v>
      </c>
      <c r="B98" s="881" t="s">
        <v>1998</v>
      </c>
      <c r="C98" s="881" t="s">
        <v>2002</v>
      </c>
      <c r="D98" s="881" t="s">
        <v>2003</v>
      </c>
      <c r="E98" s="881" t="s">
        <v>1994</v>
      </c>
      <c r="F98" s="881">
        <v>84.8</v>
      </c>
      <c r="G98" s="840"/>
      <c r="H98" s="840"/>
      <c r="I98" s="840"/>
      <c r="J98" s="840"/>
      <c r="K98" s="840"/>
      <c r="L98" s="840"/>
      <c r="M98" s="840"/>
      <c r="N98" s="840"/>
      <c r="O98" s="840"/>
      <c r="P98" s="840"/>
      <c r="Q98" s="840"/>
      <c r="R98" s="840"/>
      <c r="S98" s="840"/>
      <c r="T98" s="840"/>
      <c r="U98" s="840"/>
      <c r="V98" s="840"/>
      <c r="W98" s="840"/>
      <c r="X98" s="840"/>
      <c r="Y98" s="840"/>
    </row>
    <row r="99" ht="15.75" customHeight="1">
      <c r="A99" s="814" t="s">
        <v>384</v>
      </c>
      <c r="B99" s="881" t="s">
        <v>1998</v>
      </c>
      <c r="C99" s="881" t="s">
        <v>2004</v>
      </c>
      <c r="D99" s="881" t="s">
        <v>2005</v>
      </c>
      <c r="E99" s="881" t="s">
        <v>2006</v>
      </c>
      <c r="F99" s="881">
        <v>91.1</v>
      </c>
      <c r="G99" s="840"/>
      <c r="H99" s="840"/>
      <c r="I99" s="840"/>
      <c r="J99" s="840"/>
      <c r="K99" s="840"/>
      <c r="L99" s="840"/>
      <c r="M99" s="840"/>
      <c r="N99" s="840"/>
      <c r="O99" s="840"/>
      <c r="P99" s="840"/>
      <c r="Q99" s="840"/>
      <c r="R99" s="840"/>
      <c r="S99" s="840"/>
      <c r="T99" s="840"/>
      <c r="U99" s="840"/>
      <c r="V99" s="840"/>
      <c r="W99" s="840"/>
      <c r="X99" s="840"/>
      <c r="Y99" s="840"/>
    </row>
    <row r="100" ht="15.75" customHeight="1">
      <c r="A100" s="814" t="s">
        <v>385</v>
      </c>
      <c r="B100" s="881" t="s">
        <v>1998</v>
      </c>
      <c r="C100" s="881" t="s">
        <v>2004</v>
      </c>
      <c r="D100" s="881" t="s">
        <v>2007</v>
      </c>
      <c r="E100" s="881" t="s">
        <v>1994</v>
      </c>
      <c r="F100" s="881">
        <v>81.6</v>
      </c>
      <c r="G100" s="840"/>
      <c r="H100" s="840"/>
      <c r="I100" s="840"/>
      <c r="J100" s="840"/>
      <c r="K100" s="840"/>
      <c r="L100" s="840"/>
      <c r="M100" s="840"/>
      <c r="N100" s="840"/>
      <c r="O100" s="840"/>
      <c r="P100" s="840"/>
      <c r="Q100" s="840"/>
      <c r="R100" s="840"/>
      <c r="S100" s="840"/>
      <c r="T100" s="840"/>
      <c r="U100" s="840"/>
      <c r="V100" s="840"/>
      <c r="W100" s="840"/>
      <c r="X100" s="840"/>
      <c r="Y100" s="840"/>
    </row>
    <row r="101" ht="15.75" customHeight="1">
      <c r="A101" s="814" t="s">
        <v>386</v>
      </c>
      <c r="B101" s="881" t="s">
        <v>2008</v>
      </c>
      <c r="C101" s="881" t="s">
        <v>2009</v>
      </c>
      <c r="D101" s="881" t="s">
        <v>2009</v>
      </c>
      <c r="E101" s="881" t="s">
        <v>1995</v>
      </c>
      <c r="F101" s="881">
        <v>3.0</v>
      </c>
      <c r="G101" s="840"/>
      <c r="H101" s="840"/>
      <c r="I101" s="840"/>
      <c r="J101" s="840"/>
      <c r="K101" s="840"/>
      <c r="L101" s="840"/>
      <c r="M101" s="840"/>
      <c r="N101" s="840"/>
      <c r="O101" s="840"/>
      <c r="P101" s="840"/>
      <c r="Q101" s="840"/>
      <c r="R101" s="840"/>
      <c r="S101" s="840"/>
      <c r="T101" s="840"/>
      <c r="U101" s="840"/>
      <c r="V101" s="840"/>
      <c r="W101" s="840"/>
      <c r="X101" s="840"/>
      <c r="Y101" s="840"/>
    </row>
    <row r="102" ht="15.75" customHeight="1">
      <c r="A102" s="814" t="s">
        <v>2010</v>
      </c>
      <c r="B102" s="881" t="s">
        <v>1998</v>
      </c>
      <c r="C102" s="881" t="s">
        <v>1994</v>
      </c>
      <c r="D102" s="881" t="s">
        <v>2011</v>
      </c>
      <c r="E102" s="881" t="s">
        <v>2012</v>
      </c>
      <c r="F102" s="881">
        <v>8.2</v>
      </c>
      <c r="G102" s="840"/>
      <c r="H102" s="840"/>
      <c r="I102" s="840"/>
      <c r="J102" s="840"/>
      <c r="K102" s="840"/>
      <c r="L102" s="840"/>
      <c r="M102" s="840"/>
      <c r="N102" s="840"/>
      <c r="O102" s="840"/>
      <c r="P102" s="840"/>
      <c r="Q102" s="840"/>
      <c r="R102" s="840"/>
      <c r="S102" s="840"/>
      <c r="T102" s="840"/>
      <c r="U102" s="840"/>
      <c r="V102" s="840"/>
      <c r="W102" s="840"/>
      <c r="X102" s="840"/>
      <c r="Y102" s="840"/>
    </row>
    <row r="103" ht="15.75" customHeight="1">
      <c r="A103" s="814" t="s">
        <v>482</v>
      </c>
      <c r="B103" s="881" t="s">
        <v>1998</v>
      </c>
      <c r="C103" s="881" t="s">
        <v>2013</v>
      </c>
      <c r="D103" s="881" t="s">
        <v>2014</v>
      </c>
      <c r="E103" s="881" t="s">
        <v>2015</v>
      </c>
      <c r="F103" s="881">
        <v>61.2</v>
      </c>
      <c r="G103" s="840"/>
      <c r="H103" s="840"/>
      <c r="I103" s="840"/>
      <c r="J103" s="840"/>
      <c r="K103" s="840"/>
      <c r="L103" s="840"/>
      <c r="M103" s="840"/>
      <c r="N103" s="840"/>
      <c r="O103" s="840"/>
      <c r="P103" s="840"/>
      <c r="Q103" s="840"/>
      <c r="R103" s="840"/>
      <c r="S103" s="840"/>
      <c r="T103" s="840"/>
      <c r="U103" s="840"/>
      <c r="V103" s="840"/>
      <c r="W103" s="840"/>
      <c r="X103" s="840"/>
      <c r="Y103" s="840"/>
    </row>
    <row r="104" ht="15.75" customHeight="1">
      <c r="A104" s="814" t="s">
        <v>2016</v>
      </c>
      <c r="B104" s="881" t="s">
        <v>1998</v>
      </c>
      <c r="C104" s="881" t="s">
        <v>1994</v>
      </c>
      <c r="D104" s="881" t="s">
        <v>1995</v>
      </c>
      <c r="E104" s="881" t="s">
        <v>2017</v>
      </c>
      <c r="F104" s="881">
        <v>31.5</v>
      </c>
      <c r="G104" s="840"/>
      <c r="H104" s="840"/>
      <c r="I104" s="840"/>
      <c r="J104" s="840"/>
      <c r="K104" s="840"/>
      <c r="L104" s="840"/>
      <c r="M104" s="840"/>
      <c r="N104" s="840"/>
      <c r="O104" s="840"/>
      <c r="P104" s="840"/>
      <c r="Q104" s="840"/>
      <c r="R104" s="840"/>
      <c r="S104" s="840"/>
      <c r="T104" s="840"/>
      <c r="U104" s="840"/>
      <c r="V104" s="840"/>
      <c r="W104" s="840"/>
      <c r="X104" s="840"/>
      <c r="Y104" s="840"/>
    </row>
    <row r="105" ht="15.75" customHeight="1">
      <c r="A105" s="814" t="s">
        <v>484</v>
      </c>
      <c r="B105" s="881" t="s">
        <v>1998</v>
      </c>
      <c r="C105" s="881" t="s">
        <v>2018</v>
      </c>
      <c r="D105" s="881" t="s">
        <v>2009</v>
      </c>
      <c r="E105" s="881" t="s">
        <v>1765</v>
      </c>
      <c r="F105" s="881">
        <v>35.6</v>
      </c>
      <c r="G105" s="840"/>
      <c r="H105" s="840"/>
      <c r="I105" s="840"/>
      <c r="J105" s="840"/>
      <c r="K105" s="840"/>
      <c r="L105" s="840"/>
      <c r="M105" s="840"/>
      <c r="N105" s="840"/>
      <c r="O105" s="840"/>
      <c r="P105" s="840"/>
      <c r="Q105" s="840"/>
      <c r="R105" s="840"/>
      <c r="S105" s="840"/>
      <c r="T105" s="840"/>
      <c r="U105" s="840"/>
      <c r="V105" s="840"/>
      <c r="W105" s="840"/>
      <c r="X105" s="840"/>
      <c r="Y105" s="840"/>
    </row>
    <row r="106" ht="15.75" customHeight="1">
      <c r="A106" s="814" t="s">
        <v>1138</v>
      </c>
      <c r="B106" s="881" t="s">
        <v>1998</v>
      </c>
      <c r="C106" s="881" t="s">
        <v>2019</v>
      </c>
      <c r="D106" s="881" t="s">
        <v>2020</v>
      </c>
      <c r="E106" s="881" t="s">
        <v>1741</v>
      </c>
      <c r="F106" s="881">
        <v>193.2</v>
      </c>
      <c r="G106" s="840"/>
      <c r="H106" s="840"/>
      <c r="I106" s="840"/>
      <c r="J106" s="840"/>
      <c r="K106" s="840"/>
      <c r="L106" s="840"/>
      <c r="M106" s="840"/>
      <c r="N106" s="840"/>
      <c r="O106" s="840"/>
      <c r="P106" s="840"/>
      <c r="Q106" s="840"/>
      <c r="R106" s="840"/>
      <c r="S106" s="840"/>
      <c r="T106" s="840"/>
      <c r="U106" s="840"/>
      <c r="V106" s="840"/>
      <c r="W106" s="840"/>
      <c r="X106" s="840"/>
      <c r="Y106" s="840"/>
    </row>
    <row r="107" ht="15.75" customHeight="1">
      <c r="A107" s="814" t="s">
        <v>486</v>
      </c>
      <c r="B107" s="881" t="s">
        <v>1998</v>
      </c>
      <c r="C107" s="881" t="s">
        <v>2021</v>
      </c>
      <c r="D107" s="881" t="s">
        <v>1995</v>
      </c>
      <c r="E107" s="881" t="s">
        <v>2022</v>
      </c>
      <c r="F107" s="881">
        <v>184.1</v>
      </c>
      <c r="G107" s="840"/>
      <c r="H107" s="840"/>
      <c r="I107" s="840"/>
      <c r="J107" s="840"/>
      <c r="K107" s="840"/>
      <c r="L107" s="840"/>
      <c r="M107" s="840"/>
      <c r="N107" s="840"/>
      <c r="O107" s="840"/>
      <c r="P107" s="840"/>
      <c r="Q107" s="840"/>
      <c r="R107" s="840"/>
      <c r="S107" s="840"/>
      <c r="T107" s="840"/>
      <c r="U107" s="840"/>
      <c r="V107" s="840"/>
      <c r="W107" s="840"/>
      <c r="X107" s="840"/>
      <c r="Y107" s="840"/>
    </row>
    <row r="108" ht="15.75" customHeight="1">
      <c r="A108" s="814" t="s">
        <v>487</v>
      </c>
      <c r="B108" s="881" t="s">
        <v>1998</v>
      </c>
      <c r="C108" s="881" t="s">
        <v>2009</v>
      </c>
      <c r="D108" s="881" t="s">
        <v>2009</v>
      </c>
      <c r="E108" s="881" t="s">
        <v>1741</v>
      </c>
      <c r="F108" s="881">
        <v>13.8</v>
      </c>
      <c r="G108" s="840"/>
      <c r="H108" s="840"/>
      <c r="I108" s="840"/>
      <c r="J108" s="840"/>
      <c r="K108" s="840"/>
      <c r="L108" s="840"/>
      <c r="M108" s="840"/>
      <c r="N108" s="840"/>
      <c r="O108" s="840"/>
      <c r="P108" s="840"/>
      <c r="Q108" s="840"/>
      <c r="R108" s="840"/>
      <c r="S108" s="840"/>
      <c r="T108" s="840"/>
      <c r="U108" s="840"/>
      <c r="V108" s="840"/>
      <c r="W108" s="840"/>
      <c r="X108" s="840"/>
      <c r="Y108" s="840"/>
    </row>
    <row r="109" ht="15.75" customHeight="1">
      <c r="A109" s="814" t="s">
        <v>488</v>
      </c>
      <c r="B109" s="881" t="s">
        <v>1998</v>
      </c>
      <c r="C109" s="881" t="s">
        <v>2009</v>
      </c>
      <c r="D109" s="881" t="s">
        <v>2009</v>
      </c>
      <c r="E109" s="881" t="s">
        <v>2023</v>
      </c>
      <c r="F109" s="881">
        <v>77.4</v>
      </c>
      <c r="G109" s="840"/>
      <c r="H109" s="840"/>
      <c r="I109" s="840"/>
      <c r="J109" s="840"/>
      <c r="K109" s="840"/>
      <c r="L109" s="840"/>
      <c r="M109" s="840"/>
      <c r="N109" s="840"/>
      <c r="O109" s="840"/>
      <c r="P109" s="840"/>
      <c r="Q109" s="840"/>
      <c r="R109" s="840"/>
      <c r="S109" s="840"/>
      <c r="T109" s="840"/>
      <c r="U109" s="840"/>
      <c r="V109" s="840"/>
      <c r="W109" s="840"/>
      <c r="X109" s="840"/>
      <c r="Y109" s="840"/>
    </row>
    <row r="110" ht="15.75" customHeight="1">
      <c r="A110" s="814" t="s">
        <v>489</v>
      </c>
      <c r="B110" s="881" t="s">
        <v>1998</v>
      </c>
      <c r="C110" s="881" t="s">
        <v>2024</v>
      </c>
      <c r="D110" s="881" t="s">
        <v>2009</v>
      </c>
      <c r="E110" s="881" t="s">
        <v>2000</v>
      </c>
      <c r="F110" s="881">
        <v>182.1</v>
      </c>
      <c r="G110" s="840"/>
      <c r="H110" s="840"/>
      <c r="I110" s="840"/>
      <c r="J110" s="840"/>
      <c r="K110" s="840"/>
      <c r="L110" s="840"/>
      <c r="M110" s="840"/>
      <c r="N110" s="840"/>
      <c r="O110" s="840"/>
      <c r="P110" s="840"/>
      <c r="Q110" s="840"/>
      <c r="R110" s="840"/>
      <c r="S110" s="840"/>
      <c r="T110" s="840"/>
      <c r="U110" s="840"/>
      <c r="V110" s="840"/>
      <c r="W110" s="840"/>
      <c r="X110" s="840"/>
      <c r="Y110" s="840"/>
    </row>
    <row r="111" ht="15.75" customHeight="1">
      <c r="A111" s="814" t="s">
        <v>2025</v>
      </c>
      <c r="B111" s="881" t="s">
        <v>1998</v>
      </c>
      <c r="C111" s="881" t="s">
        <v>2026</v>
      </c>
      <c r="D111" s="881" t="s">
        <v>2018</v>
      </c>
      <c r="E111" s="881" t="s">
        <v>2027</v>
      </c>
      <c r="F111" s="881">
        <v>304.8</v>
      </c>
      <c r="G111" s="840"/>
      <c r="H111" s="840"/>
      <c r="I111" s="840"/>
      <c r="J111" s="840"/>
      <c r="K111" s="840"/>
      <c r="L111" s="840"/>
      <c r="M111" s="840"/>
      <c r="N111" s="840"/>
      <c r="O111" s="840"/>
      <c r="P111" s="840"/>
      <c r="Q111" s="840"/>
      <c r="R111" s="840"/>
      <c r="S111" s="840"/>
      <c r="T111" s="840"/>
      <c r="U111" s="840"/>
      <c r="V111" s="840"/>
      <c r="W111" s="840"/>
      <c r="X111" s="840"/>
      <c r="Y111" s="840"/>
    </row>
    <row r="112" ht="15.75" customHeight="1">
      <c r="A112" s="814" t="s">
        <v>491</v>
      </c>
      <c r="B112" s="881" t="s">
        <v>1998</v>
      </c>
      <c r="C112" s="881" t="s">
        <v>2028</v>
      </c>
      <c r="D112" s="881" t="s">
        <v>1994</v>
      </c>
      <c r="E112" s="881" t="s">
        <v>2009</v>
      </c>
      <c r="F112" s="881">
        <v>210.4</v>
      </c>
      <c r="G112" s="840"/>
      <c r="H112" s="840"/>
      <c r="I112" s="840"/>
      <c r="J112" s="840"/>
      <c r="K112" s="840"/>
      <c r="L112" s="840"/>
      <c r="M112" s="840"/>
      <c r="N112" s="840"/>
      <c r="O112" s="840"/>
      <c r="P112" s="840"/>
      <c r="Q112" s="840"/>
      <c r="R112" s="840"/>
      <c r="S112" s="840"/>
      <c r="T112" s="840"/>
      <c r="U112" s="840"/>
      <c r="V112" s="840"/>
      <c r="W112" s="840"/>
      <c r="X112" s="840"/>
      <c r="Y112" s="840"/>
    </row>
    <row r="113" ht="15.75" customHeight="1">
      <c r="A113" s="814" t="s">
        <v>492</v>
      </c>
      <c r="B113" s="881" t="s">
        <v>1998</v>
      </c>
      <c r="C113" s="881" t="s">
        <v>2029</v>
      </c>
      <c r="D113" s="881" t="s">
        <v>2011</v>
      </c>
      <c r="E113" s="881" t="s">
        <v>2018</v>
      </c>
      <c r="F113" s="881">
        <v>191.1</v>
      </c>
      <c r="G113" s="840"/>
      <c r="H113" s="840"/>
      <c r="I113" s="840"/>
      <c r="J113" s="840"/>
      <c r="K113" s="840"/>
      <c r="L113" s="840"/>
      <c r="M113" s="840"/>
      <c r="N113" s="840"/>
      <c r="O113" s="840"/>
      <c r="P113" s="840"/>
      <c r="Q113" s="840"/>
      <c r="R113" s="840"/>
      <c r="S113" s="840"/>
      <c r="T113" s="840"/>
      <c r="U113" s="840"/>
      <c r="V113" s="840"/>
      <c r="W113" s="840"/>
      <c r="X113" s="840"/>
      <c r="Y113" s="840"/>
    </row>
    <row r="114" ht="15.75" customHeight="1">
      <c r="A114" s="814" t="s">
        <v>1139</v>
      </c>
      <c r="B114" s="881" t="s">
        <v>1998</v>
      </c>
      <c r="C114" s="881" t="s">
        <v>2030</v>
      </c>
      <c r="D114" s="881" t="s">
        <v>2031</v>
      </c>
      <c r="E114" s="881" t="s">
        <v>2032</v>
      </c>
      <c r="F114" s="881">
        <v>157.54</v>
      </c>
      <c r="G114" s="840"/>
      <c r="H114" s="840"/>
      <c r="I114" s="840"/>
      <c r="J114" s="840"/>
      <c r="K114" s="840"/>
      <c r="L114" s="840"/>
      <c r="M114" s="840"/>
      <c r="N114" s="840"/>
      <c r="O114" s="840"/>
      <c r="P114" s="840"/>
      <c r="Q114" s="840"/>
      <c r="R114" s="840"/>
      <c r="S114" s="840"/>
      <c r="T114" s="840"/>
      <c r="U114" s="840"/>
      <c r="V114" s="840"/>
      <c r="W114" s="840"/>
      <c r="X114" s="840"/>
      <c r="Y114" s="840"/>
    </row>
    <row r="115" ht="15.75" customHeight="1">
      <c r="A115" s="814" t="s">
        <v>400</v>
      </c>
      <c r="B115" s="881" t="s">
        <v>2033</v>
      </c>
      <c r="C115" s="881" t="s">
        <v>2034</v>
      </c>
      <c r="D115" s="881" t="s">
        <v>2035</v>
      </c>
      <c r="E115" s="881" t="s">
        <v>2036</v>
      </c>
      <c r="F115" s="881">
        <v>357.3</v>
      </c>
      <c r="G115" s="840"/>
      <c r="H115" s="840"/>
      <c r="I115" s="840"/>
      <c r="J115" s="840"/>
      <c r="K115" s="840"/>
      <c r="L115" s="840"/>
      <c r="M115" s="840"/>
      <c r="N115" s="840"/>
      <c r="O115" s="840"/>
      <c r="P115" s="840"/>
      <c r="Q115" s="840"/>
      <c r="R115" s="840"/>
      <c r="S115" s="840"/>
      <c r="T115" s="840"/>
      <c r="U115" s="840"/>
      <c r="V115" s="840"/>
      <c r="W115" s="840"/>
      <c r="X115" s="840"/>
      <c r="Y115" s="840"/>
    </row>
    <row r="116" ht="15.75" customHeight="1">
      <c r="A116" s="814" t="s">
        <v>1141</v>
      </c>
      <c r="B116" s="881" t="s">
        <v>1516</v>
      </c>
      <c r="C116" s="881" t="s">
        <v>2037</v>
      </c>
      <c r="D116" s="881" t="s">
        <v>2038</v>
      </c>
      <c r="E116" s="881" t="s">
        <v>2039</v>
      </c>
      <c r="F116" s="881">
        <v>230.5</v>
      </c>
      <c r="G116" s="840"/>
      <c r="H116" s="840"/>
      <c r="I116" s="840"/>
      <c r="J116" s="840"/>
      <c r="K116" s="840"/>
      <c r="L116" s="840"/>
      <c r="M116" s="840"/>
      <c r="N116" s="840"/>
      <c r="O116" s="840"/>
      <c r="P116" s="840"/>
      <c r="Q116" s="840"/>
      <c r="R116" s="840"/>
      <c r="S116" s="840"/>
      <c r="T116" s="840"/>
      <c r="U116" s="840"/>
      <c r="V116" s="840"/>
      <c r="W116" s="840"/>
      <c r="X116" s="840"/>
      <c r="Y116" s="840"/>
    </row>
    <row r="117" ht="15.75" customHeight="1">
      <c r="A117" s="814" t="s">
        <v>2040</v>
      </c>
      <c r="B117" s="881" t="s">
        <v>2041</v>
      </c>
      <c r="C117" s="881" t="s">
        <v>1795</v>
      </c>
      <c r="D117" s="881" t="s">
        <v>2042</v>
      </c>
      <c r="E117" s="881" t="s">
        <v>2043</v>
      </c>
      <c r="F117" s="881">
        <v>650.6</v>
      </c>
      <c r="G117" s="840"/>
      <c r="H117" s="840"/>
      <c r="I117" s="840"/>
      <c r="J117" s="840"/>
      <c r="K117" s="840"/>
      <c r="L117" s="840"/>
      <c r="M117" s="840"/>
      <c r="N117" s="840"/>
      <c r="O117" s="840"/>
      <c r="P117" s="840"/>
      <c r="Q117" s="840"/>
      <c r="R117" s="840"/>
      <c r="S117" s="840"/>
      <c r="T117" s="840"/>
      <c r="U117" s="840"/>
      <c r="V117" s="840"/>
      <c r="W117" s="840"/>
      <c r="X117" s="840"/>
      <c r="Y117" s="840"/>
    </row>
    <row r="118" ht="15.75" customHeight="1">
      <c r="A118" s="885" t="s">
        <v>2044</v>
      </c>
      <c r="B118" s="880"/>
      <c r="C118" s="880"/>
      <c r="D118" s="880"/>
      <c r="E118" s="880"/>
      <c r="F118" s="880"/>
      <c r="G118" s="840"/>
      <c r="H118" s="840"/>
      <c r="I118" s="840"/>
      <c r="J118" s="840"/>
      <c r="K118" s="840"/>
      <c r="L118" s="840"/>
      <c r="M118" s="840"/>
      <c r="N118" s="840"/>
      <c r="O118" s="840"/>
      <c r="P118" s="840"/>
      <c r="Q118" s="840"/>
      <c r="R118" s="840"/>
      <c r="S118" s="840"/>
      <c r="T118" s="840"/>
      <c r="U118" s="840"/>
      <c r="V118" s="840"/>
      <c r="W118" s="840"/>
      <c r="X118" s="840"/>
      <c r="Y118" s="840"/>
    </row>
    <row r="119" ht="15.75" customHeight="1">
      <c r="A119" s="814" t="s">
        <v>1151</v>
      </c>
      <c r="B119" s="881" t="s">
        <v>1678</v>
      </c>
      <c r="C119" s="881" t="s">
        <v>2045</v>
      </c>
      <c r="D119" s="881" t="s">
        <v>2046</v>
      </c>
      <c r="E119" s="881" t="s">
        <v>2047</v>
      </c>
      <c r="F119" s="881">
        <v>162.27</v>
      </c>
      <c r="G119" s="840"/>
      <c r="H119" s="840"/>
      <c r="I119" s="840"/>
      <c r="J119" s="840"/>
      <c r="K119" s="840"/>
      <c r="L119" s="840"/>
      <c r="M119" s="840"/>
      <c r="N119" s="840"/>
      <c r="O119" s="840"/>
      <c r="P119" s="840"/>
      <c r="Q119" s="840"/>
      <c r="R119" s="840"/>
      <c r="S119" s="840"/>
      <c r="T119" s="840"/>
      <c r="U119" s="840"/>
      <c r="V119" s="840"/>
      <c r="W119" s="840"/>
      <c r="X119" s="840"/>
      <c r="Y119" s="840"/>
    </row>
    <row r="120" ht="15.75" customHeight="1">
      <c r="A120" s="814" t="s">
        <v>405</v>
      </c>
      <c r="B120" s="881" t="s">
        <v>1975</v>
      </c>
      <c r="C120" s="881" t="s">
        <v>2048</v>
      </c>
      <c r="D120" s="881" t="s">
        <v>1793</v>
      </c>
      <c r="E120" s="881" t="s">
        <v>2049</v>
      </c>
      <c r="F120" s="881">
        <v>58.3</v>
      </c>
      <c r="G120" s="840"/>
      <c r="H120" s="840"/>
      <c r="I120" s="840"/>
      <c r="J120" s="840"/>
      <c r="K120" s="840"/>
      <c r="L120" s="840"/>
      <c r="M120" s="840"/>
      <c r="N120" s="840"/>
      <c r="O120" s="840"/>
      <c r="P120" s="840"/>
      <c r="Q120" s="840"/>
      <c r="R120" s="840"/>
      <c r="S120" s="840"/>
      <c r="T120" s="840"/>
      <c r="U120" s="840"/>
      <c r="V120" s="840"/>
      <c r="W120" s="840"/>
      <c r="X120" s="840"/>
      <c r="Y120" s="840"/>
    </row>
    <row r="121" ht="15.75" customHeight="1">
      <c r="A121" s="814" t="s">
        <v>2050</v>
      </c>
      <c r="B121" s="881" t="s">
        <v>1798</v>
      </c>
      <c r="C121" s="881" t="s">
        <v>2051</v>
      </c>
      <c r="D121" s="881" t="s">
        <v>2037</v>
      </c>
      <c r="E121" s="881" t="s">
        <v>1788</v>
      </c>
      <c r="F121" s="881">
        <v>58.63</v>
      </c>
      <c r="G121" s="840"/>
      <c r="H121" s="840"/>
      <c r="I121" s="840"/>
      <c r="J121" s="840"/>
      <c r="K121" s="840"/>
      <c r="L121" s="840"/>
      <c r="M121" s="840"/>
      <c r="N121" s="840"/>
      <c r="O121" s="840"/>
      <c r="P121" s="840"/>
      <c r="Q121" s="840"/>
      <c r="R121" s="840"/>
      <c r="S121" s="840"/>
      <c r="T121" s="840"/>
      <c r="U121" s="840"/>
      <c r="V121" s="840"/>
      <c r="W121" s="840"/>
      <c r="X121" s="840"/>
      <c r="Y121" s="840"/>
    </row>
    <row r="122" ht="15.75" customHeight="1">
      <c r="A122" s="814" t="s">
        <v>414</v>
      </c>
      <c r="B122" s="881" t="s">
        <v>1861</v>
      </c>
      <c r="C122" s="881" t="s">
        <v>2052</v>
      </c>
      <c r="D122" s="881" t="s">
        <v>1904</v>
      </c>
      <c r="E122" s="881" t="s">
        <v>2053</v>
      </c>
      <c r="F122" s="881">
        <v>214.89</v>
      </c>
      <c r="G122" s="840"/>
      <c r="H122" s="840"/>
      <c r="I122" s="840"/>
      <c r="J122" s="840"/>
      <c r="K122" s="840"/>
      <c r="L122" s="840"/>
      <c r="M122" s="840"/>
      <c r="N122" s="840"/>
      <c r="O122" s="840"/>
      <c r="P122" s="840"/>
      <c r="Q122" s="840"/>
      <c r="R122" s="840"/>
      <c r="S122" s="840"/>
      <c r="T122" s="840"/>
      <c r="U122" s="840"/>
      <c r="V122" s="840"/>
      <c r="W122" s="840"/>
      <c r="X122" s="840"/>
      <c r="Y122" s="840"/>
    </row>
    <row r="123" ht="15.75" customHeight="1">
      <c r="A123" s="814" t="s">
        <v>417</v>
      </c>
      <c r="B123" s="881" t="s">
        <v>1678</v>
      </c>
      <c r="C123" s="881" t="s">
        <v>1765</v>
      </c>
      <c r="D123" s="881" t="s">
        <v>2054</v>
      </c>
      <c r="E123" s="881" t="s">
        <v>2055</v>
      </c>
      <c r="F123" s="881">
        <v>148.83</v>
      </c>
      <c r="G123" s="840"/>
      <c r="H123" s="840"/>
      <c r="I123" s="840"/>
      <c r="J123" s="840"/>
      <c r="K123" s="840"/>
      <c r="L123" s="840"/>
      <c r="M123" s="840"/>
      <c r="N123" s="840"/>
      <c r="O123" s="840"/>
      <c r="P123" s="840"/>
      <c r="Q123" s="840"/>
      <c r="R123" s="840"/>
      <c r="S123" s="840"/>
      <c r="T123" s="840"/>
      <c r="U123" s="840"/>
      <c r="V123" s="840"/>
      <c r="W123" s="840"/>
      <c r="X123" s="840"/>
      <c r="Y123" s="840"/>
    </row>
    <row r="124" ht="15.75" customHeight="1">
      <c r="A124" s="814" t="s">
        <v>1275</v>
      </c>
      <c r="B124" s="881" t="s">
        <v>2056</v>
      </c>
      <c r="C124" s="881" t="s">
        <v>2057</v>
      </c>
      <c r="D124" s="881" t="s">
        <v>2058</v>
      </c>
      <c r="E124" s="881" t="s">
        <v>2059</v>
      </c>
      <c r="F124" s="881">
        <v>151.91</v>
      </c>
      <c r="G124" s="840"/>
      <c r="H124" s="840"/>
      <c r="I124" s="840"/>
      <c r="J124" s="840"/>
      <c r="K124" s="840"/>
      <c r="L124" s="840"/>
      <c r="M124" s="840"/>
      <c r="N124" s="840"/>
      <c r="O124" s="840"/>
      <c r="P124" s="840"/>
      <c r="Q124" s="840"/>
      <c r="R124" s="840"/>
      <c r="S124" s="840"/>
      <c r="T124" s="840"/>
      <c r="U124" s="840"/>
      <c r="V124" s="840"/>
      <c r="W124" s="840"/>
      <c r="X124" s="840"/>
      <c r="Y124" s="840"/>
    </row>
    <row r="125" ht="15.75" customHeight="1">
      <c r="A125" s="814" t="s">
        <v>426</v>
      </c>
      <c r="B125" s="881" t="s">
        <v>1711</v>
      </c>
      <c r="C125" s="881" t="s">
        <v>1765</v>
      </c>
      <c r="D125" s="881" t="s">
        <v>2054</v>
      </c>
      <c r="E125" s="881" t="s">
        <v>2055</v>
      </c>
      <c r="F125" s="881">
        <v>148.83</v>
      </c>
      <c r="G125" s="840"/>
      <c r="H125" s="840"/>
      <c r="I125" s="840"/>
      <c r="J125" s="840"/>
      <c r="K125" s="840"/>
      <c r="L125" s="840"/>
      <c r="M125" s="840"/>
      <c r="N125" s="840"/>
      <c r="O125" s="840"/>
      <c r="P125" s="840"/>
      <c r="Q125" s="840"/>
      <c r="R125" s="840"/>
      <c r="S125" s="840"/>
      <c r="T125" s="840"/>
      <c r="U125" s="840"/>
      <c r="V125" s="840"/>
      <c r="W125" s="840"/>
      <c r="X125" s="840"/>
      <c r="Y125" s="840"/>
    </row>
    <row r="126" ht="15.75" customHeight="1">
      <c r="A126" s="814" t="s">
        <v>2060</v>
      </c>
      <c r="B126" s="881" t="s">
        <v>1861</v>
      </c>
      <c r="C126" s="881" t="s">
        <v>2061</v>
      </c>
      <c r="D126" s="881" t="s">
        <v>2062</v>
      </c>
      <c r="E126" s="881" t="s">
        <v>2063</v>
      </c>
      <c r="F126" s="881">
        <v>211.61</v>
      </c>
      <c r="G126" s="840"/>
      <c r="H126" s="840"/>
      <c r="I126" s="840"/>
      <c r="J126" s="840"/>
      <c r="K126" s="840"/>
      <c r="L126" s="840"/>
      <c r="M126" s="840"/>
      <c r="N126" s="840"/>
      <c r="O126" s="840"/>
      <c r="P126" s="840"/>
      <c r="Q126" s="840"/>
      <c r="R126" s="840"/>
      <c r="S126" s="840"/>
      <c r="T126" s="840"/>
      <c r="U126" s="840"/>
      <c r="V126" s="840"/>
      <c r="W126" s="840"/>
      <c r="X126" s="840"/>
      <c r="Y126" s="840"/>
    </row>
    <row r="127" ht="15.75" customHeight="1">
      <c r="A127" s="814" t="s">
        <v>2064</v>
      </c>
      <c r="B127" s="881" t="s">
        <v>1798</v>
      </c>
      <c r="C127" s="881" t="s">
        <v>1762</v>
      </c>
      <c r="D127" s="881" t="s">
        <v>2004</v>
      </c>
      <c r="E127" s="881" t="s">
        <v>2065</v>
      </c>
      <c r="F127" s="881">
        <v>210.8</v>
      </c>
      <c r="G127" s="840"/>
      <c r="H127" s="840"/>
      <c r="I127" s="840"/>
      <c r="J127" s="840"/>
      <c r="K127" s="840"/>
      <c r="L127" s="840"/>
      <c r="M127" s="840"/>
      <c r="N127" s="840"/>
      <c r="O127" s="840"/>
      <c r="P127" s="840"/>
      <c r="Q127" s="840"/>
      <c r="R127" s="840"/>
      <c r="S127" s="840"/>
      <c r="T127" s="840"/>
      <c r="U127" s="840"/>
      <c r="V127" s="840"/>
      <c r="W127" s="840"/>
      <c r="X127" s="840"/>
      <c r="Y127" s="840"/>
    </row>
    <row r="128" ht="15.75" customHeight="1">
      <c r="A128" s="814" t="s">
        <v>2066</v>
      </c>
      <c r="B128" s="881" t="s">
        <v>1678</v>
      </c>
      <c r="C128" s="881" t="s">
        <v>2067</v>
      </c>
      <c r="D128" s="881" t="s">
        <v>2054</v>
      </c>
      <c r="E128" s="881" t="s">
        <v>2068</v>
      </c>
      <c r="F128" s="881">
        <v>173.13</v>
      </c>
      <c r="G128" s="840"/>
      <c r="H128" s="840"/>
      <c r="I128" s="840"/>
      <c r="J128" s="840"/>
      <c r="K128" s="840"/>
      <c r="L128" s="840"/>
      <c r="M128" s="840"/>
      <c r="N128" s="840"/>
      <c r="O128" s="840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</row>
    <row r="129" ht="15.75" customHeight="1">
      <c r="A129" s="885" t="s">
        <v>2069</v>
      </c>
      <c r="B129" s="880"/>
      <c r="C129" s="880"/>
      <c r="D129" s="880"/>
      <c r="E129" s="880"/>
      <c r="F129" s="880"/>
      <c r="G129" s="840"/>
      <c r="H129" s="840"/>
      <c r="I129" s="840"/>
      <c r="J129" s="840"/>
      <c r="K129" s="840"/>
      <c r="L129" s="840"/>
      <c r="M129" s="840"/>
      <c r="N129" s="840"/>
      <c r="O129" s="840"/>
      <c r="P129" s="840"/>
      <c r="Q129" s="840"/>
      <c r="R129" s="840"/>
      <c r="S129" s="840"/>
      <c r="T129" s="840"/>
      <c r="U129" s="840"/>
      <c r="V129" s="840"/>
      <c r="W129" s="840"/>
      <c r="X129" s="840"/>
      <c r="Y129" s="840"/>
    </row>
    <row r="130" ht="15.75" customHeight="1">
      <c r="A130" s="840" t="s">
        <v>2070</v>
      </c>
      <c r="B130" s="887" t="s">
        <v>2071</v>
      </c>
      <c r="C130" s="887" t="s">
        <v>2062</v>
      </c>
      <c r="D130" s="887" t="s">
        <v>2072</v>
      </c>
      <c r="E130" s="887" t="s">
        <v>2073</v>
      </c>
      <c r="F130" s="887">
        <v>175.2</v>
      </c>
      <c r="G130" s="840"/>
      <c r="H130" s="840"/>
      <c r="I130" s="840"/>
      <c r="J130" s="840"/>
      <c r="K130" s="840"/>
      <c r="L130" s="840"/>
      <c r="M130" s="840"/>
      <c r="N130" s="840"/>
      <c r="O130" s="840"/>
      <c r="P130" s="840"/>
      <c r="Q130" s="840"/>
      <c r="R130" s="840"/>
      <c r="S130" s="840"/>
      <c r="T130" s="840"/>
      <c r="U130" s="840"/>
      <c r="V130" s="840"/>
      <c r="W130" s="840"/>
      <c r="X130" s="840"/>
      <c r="Y130" s="840"/>
    </row>
    <row r="131" ht="15.75" customHeight="1">
      <c r="A131" s="840" t="s">
        <v>431</v>
      </c>
      <c r="B131" s="887" t="s">
        <v>1678</v>
      </c>
      <c r="C131" s="887" t="s">
        <v>2074</v>
      </c>
      <c r="D131" s="887" t="s">
        <v>2075</v>
      </c>
      <c r="E131" s="887" t="s">
        <v>2076</v>
      </c>
      <c r="F131" s="887">
        <v>182.65</v>
      </c>
      <c r="G131" s="840"/>
      <c r="H131" s="840"/>
      <c r="I131" s="840"/>
      <c r="J131" s="840"/>
      <c r="K131" s="840"/>
      <c r="L131" s="840"/>
      <c r="M131" s="840"/>
      <c r="N131" s="840"/>
      <c r="O131" s="840"/>
      <c r="P131" s="840"/>
      <c r="Q131" s="840"/>
      <c r="R131" s="840"/>
      <c r="S131" s="840"/>
      <c r="T131" s="840"/>
      <c r="U131" s="840"/>
      <c r="V131" s="840"/>
      <c r="W131" s="840"/>
      <c r="X131" s="840"/>
      <c r="Y131" s="840"/>
    </row>
    <row r="132" ht="15.75" customHeight="1">
      <c r="A132" s="840" t="s">
        <v>437</v>
      </c>
      <c r="B132" s="887" t="s">
        <v>2077</v>
      </c>
      <c r="C132" s="887" t="s">
        <v>2078</v>
      </c>
      <c r="D132" s="887" t="s">
        <v>2079</v>
      </c>
      <c r="E132" s="887" t="s">
        <v>2072</v>
      </c>
      <c r="F132" s="887">
        <v>82.9</v>
      </c>
      <c r="G132" s="840"/>
      <c r="H132" s="840"/>
      <c r="I132" s="840"/>
      <c r="J132" s="840"/>
      <c r="K132" s="840"/>
      <c r="L132" s="840"/>
      <c r="M132" s="840"/>
      <c r="N132" s="840"/>
      <c r="O132" s="840"/>
      <c r="P132" s="840"/>
      <c r="Q132" s="840"/>
      <c r="R132" s="840"/>
      <c r="S132" s="840"/>
      <c r="T132" s="840"/>
      <c r="U132" s="840"/>
      <c r="V132" s="840"/>
      <c r="W132" s="840"/>
      <c r="X132" s="840"/>
      <c r="Y132" s="840"/>
    </row>
    <row r="133" ht="15.75" customHeight="1">
      <c r="A133" s="840" t="s">
        <v>443</v>
      </c>
      <c r="B133" s="887" t="s">
        <v>2080</v>
      </c>
      <c r="C133" s="887" t="s">
        <v>2081</v>
      </c>
      <c r="D133" s="887" t="s">
        <v>2062</v>
      </c>
      <c r="E133" s="887" t="s">
        <v>2082</v>
      </c>
      <c r="F133" s="887">
        <v>195.87</v>
      </c>
      <c r="G133" s="840"/>
      <c r="H133" s="840"/>
      <c r="I133" s="840"/>
      <c r="J133" s="840"/>
      <c r="K133" s="840"/>
      <c r="L133" s="840"/>
      <c r="M133" s="840"/>
      <c r="N133" s="840"/>
      <c r="O133" s="840"/>
      <c r="P133" s="840"/>
      <c r="Q133" s="840"/>
      <c r="R133" s="840"/>
      <c r="S133" s="840"/>
      <c r="T133" s="840"/>
      <c r="U133" s="840"/>
      <c r="V133" s="840"/>
      <c r="W133" s="840"/>
      <c r="X133" s="840"/>
      <c r="Y133" s="840"/>
    </row>
    <row r="134" ht="15.75" customHeight="1">
      <c r="A134" s="840" t="s">
        <v>448</v>
      </c>
      <c r="B134" s="887" t="s">
        <v>1975</v>
      </c>
      <c r="C134" s="887" t="s">
        <v>1714</v>
      </c>
      <c r="D134" s="887" t="s">
        <v>2038</v>
      </c>
      <c r="E134" s="887" t="s">
        <v>2083</v>
      </c>
      <c r="F134" s="887">
        <v>328.36</v>
      </c>
      <c r="G134" s="840"/>
      <c r="H134" s="840"/>
      <c r="I134" s="840"/>
      <c r="J134" s="840"/>
      <c r="K134" s="840"/>
      <c r="L134" s="840"/>
      <c r="M134" s="840"/>
      <c r="N134" s="840"/>
      <c r="O134" s="840"/>
      <c r="P134" s="840"/>
      <c r="Q134" s="840"/>
      <c r="R134" s="840"/>
      <c r="S134" s="840"/>
      <c r="T134" s="840"/>
      <c r="U134" s="840"/>
      <c r="V134" s="840"/>
      <c r="W134" s="840"/>
      <c r="X134" s="840"/>
      <c r="Y134" s="840"/>
    </row>
    <row r="135" ht="15.75" customHeight="1">
      <c r="A135" s="840"/>
      <c r="B135" s="887"/>
      <c r="C135" s="887"/>
      <c r="D135" s="887"/>
      <c r="E135" s="887"/>
      <c r="F135" s="887"/>
      <c r="G135" s="840"/>
      <c r="H135" s="840"/>
      <c r="I135" s="840"/>
      <c r="J135" s="840"/>
      <c r="K135" s="840"/>
      <c r="L135" s="840"/>
      <c r="M135" s="840"/>
      <c r="N135" s="840"/>
      <c r="O135" s="840"/>
      <c r="P135" s="840"/>
      <c r="Q135" s="840"/>
      <c r="R135" s="840"/>
      <c r="S135" s="840"/>
      <c r="T135" s="840"/>
      <c r="U135" s="840"/>
      <c r="V135" s="840"/>
      <c r="W135" s="840"/>
      <c r="X135" s="840"/>
      <c r="Y135" s="840"/>
    </row>
    <row r="136" ht="15.75" customHeight="1">
      <c r="A136" s="840"/>
      <c r="B136" s="887"/>
      <c r="C136" s="887"/>
      <c r="D136" s="887"/>
      <c r="E136" s="887"/>
      <c r="F136" s="887"/>
      <c r="G136" s="840"/>
      <c r="H136" s="840"/>
      <c r="I136" s="840"/>
      <c r="J136" s="840"/>
      <c r="K136" s="840"/>
      <c r="L136" s="840"/>
      <c r="M136" s="840"/>
      <c r="N136" s="840"/>
      <c r="O136" s="840"/>
      <c r="P136" s="840"/>
      <c r="Q136" s="840"/>
      <c r="R136" s="840"/>
      <c r="S136" s="840"/>
      <c r="T136" s="840"/>
      <c r="U136" s="840"/>
      <c r="V136" s="840"/>
      <c r="W136" s="840"/>
      <c r="X136" s="840"/>
      <c r="Y136" s="840"/>
    </row>
    <row r="137" ht="15.75" customHeight="1">
      <c r="A137" s="840"/>
      <c r="B137" s="887"/>
      <c r="C137" s="887"/>
      <c r="D137" s="887"/>
      <c r="E137" s="887"/>
      <c r="F137" s="887"/>
      <c r="G137" s="840"/>
      <c r="H137" s="840"/>
      <c r="I137" s="840"/>
      <c r="J137" s="840"/>
      <c r="K137" s="840"/>
      <c r="L137" s="840"/>
      <c r="M137" s="840"/>
      <c r="N137" s="840"/>
      <c r="O137" s="840"/>
      <c r="P137" s="840"/>
      <c r="Q137" s="840"/>
      <c r="R137" s="840"/>
      <c r="S137" s="840"/>
      <c r="T137" s="840"/>
      <c r="U137" s="840"/>
      <c r="V137" s="840"/>
      <c r="W137" s="840"/>
      <c r="X137" s="840"/>
      <c r="Y137" s="840"/>
    </row>
    <row r="138" ht="15.75" customHeight="1">
      <c r="A138" s="840"/>
      <c r="B138" s="887"/>
      <c r="C138" s="887"/>
      <c r="D138" s="887"/>
      <c r="E138" s="887"/>
      <c r="F138" s="887"/>
      <c r="G138" s="840"/>
      <c r="H138" s="840"/>
      <c r="I138" s="840"/>
      <c r="J138" s="840"/>
      <c r="K138" s="840"/>
      <c r="L138" s="840"/>
      <c r="M138" s="840"/>
      <c r="N138" s="840"/>
      <c r="O138" s="840"/>
      <c r="P138" s="840"/>
      <c r="Q138" s="840"/>
      <c r="R138" s="840"/>
      <c r="S138" s="840"/>
      <c r="T138" s="840"/>
      <c r="U138" s="840"/>
      <c r="V138" s="840"/>
      <c r="W138" s="840"/>
      <c r="X138" s="840"/>
      <c r="Y138" s="840"/>
    </row>
    <row r="139" ht="15.75" customHeight="1">
      <c r="A139" s="840"/>
      <c r="B139" s="887"/>
      <c r="C139" s="887"/>
      <c r="D139" s="887"/>
      <c r="E139" s="887"/>
      <c r="F139" s="887"/>
      <c r="G139" s="840"/>
      <c r="H139" s="840"/>
      <c r="I139" s="840"/>
      <c r="J139" s="840"/>
      <c r="K139" s="840"/>
      <c r="L139" s="840"/>
      <c r="M139" s="840"/>
      <c r="N139" s="840"/>
      <c r="O139" s="840"/>
      <c r="P139" s="840"/>
      <c r="Q139" s="840"/>
      <c r="R139" s="840"/>
      <c r="S139" s="840"/>
      <c r="T139" s="840"/>
      <c r="U139" s="840"/>
      <c r="V139" s="840"/>
      <c r="W139" s="840"/>
      <c r="X139" s="840"/>
      <c r="Y139" s="840"/>
    </row>
    <row r="140" ht="15.75" customHeight="1">
      <c r="A140" s="840"/>
      <c r="B140" s="887"/>
      <c r="C140" s="887"/>
      <c r="D140" s="887"/>
      <c r="E140" s="887"/>
      <c r="F140" s="887"/>
      <c r="G140" s="840"/>
      <c r="H140" s="840"/>
      <c r="I140" s="840"/>
      <c r="J140" s="840"/>
      <c r="K140" s="840"/>
      <c r="L140" s="840"/>
      <c r="M140" s="840"/>
      <c r="N140" s="840"/>
      <c r="O140" s="840"/>
      <c r="P140" s="840"/>
      <c r="Q140" s="840"/>
      <c r="R140" s="840"/>
      <c r="S140" s="840"/>
      <c r="T140" s="840"/>
      <c r="U140" s="840"/>
      <c r="V140" s="840"/>
      <c r="W140" s="840"/>
      <c r="X140" s="840"/>
      <c r="Y140" s="840"/>
    </row>
    <row r="141" ht="15.75" customHeight="1">
      <c r="A141" s="840"/>
      <c r="B141" s="887"/>
      <c r="C141" s="887"/>
      <c r="D141" s="887"/>
      <c r="E141" s="887"/>
      <c r="F141" s="887"/>
      <c r="G141" s="840"/>
      <c r="H141" s="840"/>
      <c r="I141" s="840"/>
      <c r="J141" s="840"/>
      <c r="K141" s="840"/>
      <c r="L141" s="840"/>
      <c r="M141" s="840"/>
      <c r="N141" s="840"/>
      <c r="O141" s="840"/>
      <c r="P141" s="840"/>
      <c r="Q141" s="840"/>
      <c r="R141" s="840"/>
      <c r="S141" s="840"/>
      <c r="T141" s="840"/>
      <c r="U141" s="840"/>
      <c r="V141" s="840"/>
      <c r="W141" s="840"/>
      <c r="X141" s="840"/>
      <c r="Y141" s="840"/>
    </row>
    <row r="142" ht="15.75" customHeight="1">
      <c r="A142" s="840"/>
      <c r="B142" s="887"/>
      <c r="C142" s="887"/>
      <c r="D142" s="887"/>
      <c r="E142" s="887"/>
      <c r="F142" s="887"/>
      <c r="G142" s="840"/>
      <c r="H142" s="840"/>
      <c r="I142" s="840"/>
      <c r="J142" s="840"/>
      <c r="K142" s="840"/>
      <c r="L142" s="840"/>
      <c r="M142" s="840"/>
      <c r="N142" s="840"/>
      <c r="O142" s="840"/>
      <c r="P142" s="840"/>
      <c r="Q142" s="840"/>
      <c r="R142" s="840"/>
      <c r="S142" s="840"/>
      <c r="T142" s="840"/>
      <c r="U142" s="840"/>
      <c r="V142" s="840"/>
      <c r="W142" s="840"/>
      <c r="X142" s="840"/>
      <c r="Y142" s="840"/>
    </row>
    <row r="143" ht="15.75" customHeight="1">
      <c r="A143" s="840"/>
      <c r="B143" s="887"/>
      <c r="C143" s="887"/>
      <c r="D143" s="887"/>
      <c r="E143" s="887"/>
      <c r="F143" s="887"/>
      <c r="G143" s="840"/>
      <c r="H143" s="840"/>
      <c r="I143" s="840"/>
      <c r="J143" s="840"/>
      <c r="K143" s="840"/>
      <c r="L143" s="840"/>
      <c r="M143" s="840"/>
      <c r="N143" s="840"/>
      <c r="O143" s="840"/>
      <c r="P143" s="840"/>
      <c r="Q143" s="840"/>
      <c r="R143" s="840"/>
      <c r="S143" s="840"/>
      <c r="T143" s="840"/>
      <c r="U143" s="840"/>
      <c r="V143" s="840"/>
      <c r="W143" s="840"/>
      <c r="X143" s="840"/>
      <c r="Y143" s="840"/>
    </row>
    <row r="144" ht="15.75" customHeight="1">
      <c r="A144" s="840"/>
      <c r="B144" s="887"/>
      <c r="C144" s="887"/>
      <c r="D144" s="887"/>
      <c r="E144" s="887"/>
      <c r="F144" s="887"/>
      <c r="G144" s="840"/>
      <c r="H144" s="840"/>
      <c r="I144" s="840"/>
      <c r="J144" s="840"/>
      <c r="K144" s="840"/>
      <c r="L144" s="840"/>
      <c r="M144" s="840"/>
      <c r="N144" s="840"/>
      <c r="O144" s="840"/>
      <c r="P144" s="840"/>
      <c r="Q144" s="840"/>
      <c r="R144" s="840"/>
      <c r="S144" s="840"/>
      <c r="T144" s="840"/>
      <c r="U144" s="840"/>
      <c r="V144" s="840"/>
      <c r="W144" s="840"/>
      <c r="X144" s="840"/>
      <c r="Y144" s="840"/>
    </row>
    <row r="145" ht="15.75" customHeight="1">
      <c r="A145" s="840"/>
      <c r="B145" s="887"/>
      <c r="C145" s="887"/>
      <c r="D145" s="887"/>
      <c r="E145" s="887"/>
      <c r="F145" s="887"/>
      <c r="G145" s="840"/>
      <c r="H145" s="840"/>
      <c r="I145" s="840"/>
      <c r="J145" s="840"/>
      <c r="K145" s="840"/>
      <c r="L145" s="840"/>
      <c r="M145" s="840"/>
      <c r="N145" s="840"/>
      <c r="O145" s="840"/>
      <c r="P145" s="840"/>
      <c r="Q145" s="840"/>
      <c r="R145" s="840"/>
      <c r="S145" s="840"/>
      <c r="T145" s="840"/>
      <c r="U145" s="840"/>
      <c r="V145" s="840"/>
      <c r="W145" s="840"/>
      <c r="X145" s="840"/>
      <c r="Y145" s="840"/>
    </row>
    <row r="146" ht="15.75" customHeight="1">
      <c r="A146" s="840"/>
      <c r="B146" s="887"/>
      <c r="C146" s="887"/>
      <c r="D146" s="887"/>
      <c r="E146" s="887"/>
      <c r="F146" s="887"/>
      <c r="G146" s="840"/>
      <c r="H146" s="840"/>
      <c r="I146" s="840"/>
      <c r="J146" s="840"/>
      <c r="K146" s="840"/>
      <c r="L146" s="840"/>
      <c r="M146" s="840"/>
      <c r="N146" s="840"/>
      <c r="O146" s="840"/>
      <c r="P146" s="840"/>
      <c r="Q146" s="840"/>
      <c r="R146" s="840"/>
      <c r="S146" s="840"/>
      <c r="T146" s="840"/>
      <c r="U146" s="840"/>
      <c r="V146" s="840"/>
      <c r="W146" s="840"/>
      <c r="X146" s="840"/>
      <c r="Y146" s="840"/>
    </row>
    <row r="147" ht="15.75" customHeight="1">
      <c r="A147" s="840"/>
      <c r="B147" s="887"/>
      <c r="C147" s="887"/>
      <c r="D147" s="887"/>
      <c r="E147" s="887"/>
      <c r="F147" s="887"/>
      <c r="G147" s="840"/>
      <c r="H147" s="840"/>
      <c r="I147" s="840"/>
      <c r="J147" s="840"/>
      <c r="K147" s="840"/>
      <c r="L147" s="840"/>
      <c r="M147" s="840"/>
      <c r="N147" s="840"/>
      <c r="O147" s="840"/>
      <c r="P147" s="840"/>
      <c r="Q147" s="840"/>
      <c r="R147" s="840"/>
      <c r="S147" s="840"/>
      <c r="T147" s="840"/>
      <c r="U147" s="840"/>
      <c r="V147" s="840"/>
      <c r="W147" s="840"/>
      <c r="X147" s="840"/>
      <c r="Y147" s="840"/>
    </row>
    <row r="148" ht="15.75" customHeight="1">
      <c r="A148" s="840"/>
      <c r="B148" s="887"/>
      <c r="C148" s="887"/>
      <c r="D148" s="887"/>
      <c r="E148" s="887"/>
      <c r="F148" s="887"/>
      <c r="G148" s="840"/>
      <c r="H148" s="840"/>
      <c r="I148" s="840"/>
      <c r="J148" s="840"/>
      <c r="K148" s="840"/>
      <c r="L148" s="840"/>
      <c r="M148" s="840"/>
      <c r="N148" s="840"/>
      <c r="O148" s="840"/>
      <c r="P148" s="840"/>
      <c r="Q148" s="840"/>
      <c r="R148" s="840"/>
      <c r="S148" s="840"/>
      <c r="T148" s="840"/>
      <c r="U148" s="840"/>
      <c r="V148" s="840"/>
      <c r="W148" s="840"/>
      <c r="X148" s="840"/>
      <c r="Y148" s="840"/>
    </row>
    <row r="149" ht="15.75" customHeight="1">
      <c r="A149" s="840"/>
      <c r="B149" s="887"/>
      <c r="C149" s="887"/>
      <c r="D149" s="887"/>
      <c r="E149" s="887"/>
      <c r="F149" s="887"/>
      <c r="G149" s="840"/>
      <c r="H149" s="840"/>
      <c r="I149" s="840"/>
      <c r="J149" s="840"/>
      <c r="K149" s="840"/>
      <c r="L149" s="840"/>
      <c r="M149" s="840"/>
      <c r="N149" s="840"/>
      <c r="O149" s="840"/>
      <c r="P149" s="840"/>
      <c r="Q149" s="840"/>
      <c r="R149" s="840"/>
      <c r="S149" s="840"/>
      <c r="T149" s="840"/>
      <c r="U149" s="840"/>
      <c r="V149" s="840"/>
      <c r="W149" s="840"/>
      <c r="X149" s="840"/>
      <c r="Y149" s="840"/>
    </row>
    <row r="150" ht="15.75" customHeight="1">
      <c r="A150" s="840"/>
      <c r="B150" s="887"/>
      <c r="C150" s="887"/>
      <c r="D150" s="887"/>
      <c r="E150" s="887"/>
      <c r="F150" s="887"/>
      <c r="G150" s="840"/>
      <c r="H150" s="840"/>
      <c r="I150" s="840"/>
      <c r="J150" s="840"/>
      <c r="K150" s="840"/>
      <c r="L150" s="840"/>
      <c r="M150" s="840"/>
      <c r="N150" s="840"/>
      <c r="O150" s="840"/>
      <c r="P150" s="840"/>
      <c r="Q150" s="840"/>
      <c r="R150" s="840"/>
      <c r="S150" s="840"/>
      <c r="T150" s="840"/>
      <c r="U150" s="840"/>
      <c r="V150" s="840"/>
      <c r="W150" s="840"/>
      <c r="X150" s="840"/>
      <c r="Y150" s="840"/>
    </row>
    <row r="151" ht="15.75" customHeight="1">
      <c r="A151" s="840"/>
      <c r="B151" s="887"/>
      <c r="C151" s="887"/>
      <c r="D151" s="887"/>
      <c r="E151" s="887"/>
      <c r="F151" s="887"/>
      <c r="G151" s="840"/>
      <c r="H151" s="840"/>
      <c r="I151" s="840"/>
      <c r="J151" s="840"/>
      <c r="K151" s="840"/>
      <c r="L151" s="840"/>
      <c r="M151" s="840"/>
      <c r="N151" s="840"/>
      <c r="O151" s="840"/>
      <c r="P151" s="840"/>
      <c r="Q151" s="840"/>
      <c r="R151" s="840"/>
      <c r="S151" s="840"/>
      <c r="T151" s="840"/>
      <c r="U151" s="840"/>
      <c r="V151" s="840"/>
      <c r="W151" s="840"/>
      <c r="X151" s="840"/>
      <c r="Y151" s="840"/>
    </row>
    <row r="152" ht="15.75" customHeight="1">
      <c r="A152" s="840"/>
      <c r="B152" s="887"/>
      <c r="C152" s="887"/>
      <c r="D152" s="887"/>
      <c r="E152" s="887"/>
      <c r="F152" s="887"/>
      <c r="G152" s="840"/>
      <c r="H152" s="840"/>
      <c r="I152" s="840"/>
      <c r="J152" s="840"/>
      <c r="K152" s="840"/>
      <c r="L152" s="840"/>
      <c r="M152" s="840"/>
      <c r="N152" s="840"/>
      <c r="O152" s="840"/>
      <c r="P152" s="840"/>
      <c r="Q152" s="840"/>
      <c r="R152" s="840"/>
      <c r="S152" s="840"/>
      <c r="T152" s="840"/>
      <c r="U152" s="840"/>
      <c r="V152" s="840"/>
      <c r="W152" s="840"/>
      <c r="X152" s="840"/>
      <c r="Y152" s="840"/>
    </row>
    <row r="153" ht="15.75" customHeight="1">
      <c r="A153" s="840"/>
      <c r="B153" s="887"/>
      <c r="C153" s="887"/>
      <c r="D153" s="887"/>
      <c r="E153" s="887"/>
      <c r="F153" s="887"/>
      <c r="G153" s="840"/>
      <c r="H153" s="840"/>
      <c r="I153" s="840"/>
      <c r="J153" s="840"/>
      <c r="K153" s="840"/>
      <c r="L153" s="840"/>
      <c r="M153" s="840"/>
      <c r="N153" s="840"/>
      <c r="O153" s="840"/>
      <c r="P153" s="840"/>
      <c r="Q153" s="840"/>
      <c r="R153" s="840"/>
      <c r="S153" s="840"/>
      <c r="T153" s="840"/>
      <c r="U153" s="840"/>
      <c r="V153" s="840"/>
      <c r="W153" s="840"/>
      <c r="X153" s="840"/>
      <c r="Y153" s="840"/>
    </row>
    <row r="154" ht="15.75" customHeight="1">
      <c r="A154" s="840"/>
      <c r="B154" s="887"/>
      <c r="C154" s="887"/>
      <c r="D154" s="887"/>
      <c r="E154" s="887"/>
      <c r="F154" s="887"/>
      <c r="G154" s="840"/>
      <c r="H154" s="840"/>
      <c r="I154" s="840"/>
      <c r="J154" s="840"/>
      <c r="K154" s="840"/>
      <c r="L154" s="840"/>
      <c r="M154" s="840"/>
      <c r="N154" s="840"/>
      <c r="O154" s="840"/>
      <c r="P154" s="840"/>
      <c r="Q154" s="840"/>
      <c r="R154" s="840"/>
      <c r="S154" s="840"/>
      <c r="T154" s="840"/>
      <c r="U154" s="840"/>
      <c r="V154" s="840"/>
      <c r="W154" s="840"/>
      <c r="X154" s="840"/>
      <c r="Y154" s="840"/>
    </row>
    <row r="155" ht="15.75" customHeight="1">
      <c r="A155" s="840"/>
      <c r="B155" s="887"/>
      <c r="C155" s="887"/>
      <c r="D155" s="887"/>
      <c r="E155" s="887"/>
      <c r="F155" s="887"/>
      <c r="G155" s="840"/>
      <c r="H155" s="840"/>
      <c r="I155" s="840"/>
      <c r="J155" s="840"/>
      <c r="K155" s="840"/>
      <c r="L155" s="840"/>
      <c r="M155" s="840"/>
      <c r="N155" s="840"/>
      <c r="O155" s="840"/>
      <c r="P155" s="840"/>
      <c r="Q155" s="840"/>
      <c r="R155" s="840"/>
      <c r="S155" s="840"/>
      <c r="T155" s="840"/>
      <c r="U155" s="840"/>
      <c r="V155" s="840"/>
      <c r="W155" s="840"/>
      <c r="X155" s="840"/>
      <c r="Y155" s="840"/>
    </row>
    <row r="156" ht="15.75" customHeight="1">
      <c r="A156" s="840"/>
      <c r="B156" s="887"/>
      <c r="C156" s="887"/>
      <c r="D156" s="887"/>
      <c r="E156" s="887"/>
      <c r="F156" s="887"/>
      <c r="G156" s="840"/>
      <c r="H156" s="840"/>
      <c r="I156" s="840"/>
      <c r="J156" s="840"/>
      <c r="K156" s="840"/>
      <c r="L156" s="840"/>
      <c r="M156" s="840"/>
      <c r="N156" s="840"/>
      <c r="O156" s="840"/>
      <c r="P156" s="840"/>
      <c r="Q156" s="840"/>
      <c r="R156" s="840"/>
      <c r="S156" s="840"/>
      <c r="T156" s="840"/>
      <c r="U156" s="840"/>
      <c r="V156" s="840"/>
      <c r="W156" s="840"/>
      <c r="X156" s="840"/>
      <c r="Y156" s="840"/>
    </row>
    <row r="157" ht="15.75" customHeight="1">
      <c r="A157" s="840"/>
      <c r="B157" s="887"/>
      <c r="C157" s="887"/>
      <c r="D157" s="887"/>
      <c r="E157" s="887"/>
      <c r="F157" s="887"/>
      <c r="G157" s="840"/>
      <c r="H157" s="840"/>
      <c r="I157" s="840"/>
      <c r="J157" s="840"/>
      <c r="K157" s="840"/>
      <c r="L157" s="840"/>
      <c r="M157" s="840"/>
      <c r="N157" s="840"/>
      <c r="O157" s="840"/>
      <c r="P157" s="840"/>
      <c r="Q157" s="840"/>
      <c r="R157" s="840"/>
      <c r="S157" s="840"/>
      <c r="T157" s="840"/>
      <c r="U157" s="840"/>
      <c r="V157" s="840"/>
      <c r="W157" s="840"/>
      <c r="X157" s="840"/>
      <c r="Y157" s="840"/>
    </row>
    <row r="158" ht="15.75" customHeight="1">
      <c r="A158" s="840"/>
      <c r="B158" s="887"/>
      <c r="C158" s="887"/>
      <c r="D158" s="887"/>
      <c r="E158" s="887"/>
      <c r="F158" s="887"/>
      <c r="G158" s="840"/>
      <c r="H158" s="840"/>
      <c r="I158" s="840"/>
      <c r="J158" s="840"/>
      <c r="K158" s="840"/>
      <c r="L158" s="840"/>
      <c r="M158" s="840"/>
      <c r="N158" s="840"/>
      <c r="O158" s="840"/>
      <c r="P158" s="840"/>
      <c r="Q158" s="840"/>
      <c r="R158" s="840"/>
      <c r="S158" s="840"/>
      <c r="T158" s="840"/>
      <c r="U158" s="840"/>
      <c r="V158" s="840"/>
      <c r="W158" s="840"/>
      <c r="X158" s="840"/>
      <c r="Y158" s="840"/>
    </row>
    <row r="159" ht="15.75" customHeight="1">
      <c r="A159" s="840"/>
      <c r="B159" s="887"/>
      <c r="C159" s="887"/>
      <c r="D159" s="887"/>
      <c r="E159" s="887"/>
      <c r="F159" s="887"/>
      <c r="G159" s="840"/>
      <c r="H159" s="840"/>
      <c r="I159" s="840"/>
      <c r="J159" s="840"/>
      <c r="K159" s="840"/>
      <c r="L159" s="840"/>
      <c r="M159" s="840"/>
      <c r="N159" s="840"/>
      <c r="O159" s="840"/>
      <c r="P159" s="840"/>
      <c r="Q159" s="840"/>
      <c r="R159" s="840"/>
      <c r="S159" s="840"/>
      <c r="T159" s="840"/>
      <c r="U159" s="840"/>
      <c r="V159" s="840"/>
      <c r="W159" s="840"/>
      <c r="X159" s="840"/>
      <c r="Y159" s="840"/>
    </row>
    <row r="160" ht="15.75" customHeight="1">
      <c r="A160" s="840"/>
      <c r="B160" s="887"/>
      <c r="C160" s="887"/>
      <c r="D160" s="887"/>
      <c r="E160" s="887"/>
      <c r="F160" s="887"/>
      <c r="G160" s="840"/>
      <c r="H160" s="840"/>
      <c r="I160" s="840"/>
      <c r="J160" s="840"/>
      <c r="K160" s="840"/>
      <c r="L160" s="840"/>
      <c r="M160" s="840"/>
      <c r="N160" s="840"/>
      <c r="O160" s="840"/>
      <c r="P160" s="840"/>
      <c r="Q160" s="840"/>
      <c r="R160" s="840"/>
      <c r="S160" s="840"/>
      <c r="T160" s="840"/>
      <c r="U160" s="840"/>
      <c r="V160" s="840"/>
      <c r="W160" s="840"/>
      <c r="X160" s="840"/>
      <c r="Y160" s="840"/>
    </row>
    <row r="161" ht="15.75" customHeight="1">
      <c r="A161" s="840"/>
      <c r="B161" s="887"/>
      <c r="C161" s="887"/>
      <c r="D161" s="887"/>
      <c r="E161" s="887"/>
      <c r="F161" s="887"/>
      <c r="G161" s="840"/>
      <c r="H161" s="840"/>
      <c r="I161" s="840"/>
      <c r="J161" s="840"/>
      <c r="K161" s="840"/>
      <c r="L161" s="840"/>
      <c r="M161" s="840"/>
      <c r="N161" s="840"/>
      <c r="O161" s="840"/>
      <c r="P161" s="840"/>
      <c r="Q161" s="840"/>
      <c r="R161" s="840"/>
      <c r="S161" s="840"/>
      <c r="T161" s="840"/>
      <c r="U161" s="840"/>
      <c r="V161" s="840"/>
      <c r="W161" s="840"/>
      <c r="X161" s="840"/>
      <c r="Y161" s="840"/>
    </row>
    <row r="162" ht="15.75" customHeight="1">
      <c r="A162" s="840"/>
      <c r="B162" s="887"/>
      <c r="C162" s="887"/>
      <c r="D162" s="887"/>
      <c r="E162" s="887"/>
      <c r="F162" s="887"/>
      <c r="G162" s="840"/>
      <c r="H162" s="840"/>
      <c r="I162" s="840"/>
      <c r="J162" s="840"/>
      <c r="K162" s="840"/>
      <c r="L162" s="840"/>
      <c r="M162" s="840"/>
      <c r="N162" s="840"/>
      <c r="O162" s="840"/>
      <c r="P162" s="840"/>
      <c r="Q162" s="840"/>
      <c r="R162" s="840"/>
      <c r="S162" s="840"/>
      <c r="T162" s="840"/>
      <c r="U162" s="840"/>
      <c r="V162" s="840"/>
      <c r="W162" s="840"/>
      <c r="X162" s="840"/>
      <c r="Y162" s="840"/>
    </row>
    <row r="163" ht="15.75" customHeight="1">
      <c r="A163" s="840"/>
      <c r="B163" s="887"/>
      <c r="C163" s="887"/>
      <c r="D163" s="887"/>
      <c r="E163" s="887"/>
      <c r="F163" s="887"/>
      <c r="G163" s="840"/>
      <c r="H163" s="840"/>
      <c r="I163" s="840"/>
      <c r="J163" s="840"/>
      <c r="K163" s="840"/>
      <c r="L163" s="840"/>
      <c r="M163" s="840"/>
      <c r="N163" s="840"/>
      <c r="O163" s="840"/>
      <c r="P163" s="840"/>
      <c r="Q163" s="840"/>
      <c r="R163" s="840"/>
      <c r="S163" s="840"/>
      <c r="T163" s="840"/>
      <c r="U163" s="840"/>
      <c r="V163" s="840"/>
      <c r="W163" s="840"/>
      <c r="X163" s="840"/>
      <c r="Y163" s="840"/>
    </row>
    <row r="164" ht="15.75" customHeight="1">
      <c r="A164" s="840"/>
      <c r="B164" s="887"/>
      <c r="C164" s="887"/>
      <c r="D164" s="887"/>
      <c r="E164" s="887"/>
      <c r="F164" s="887"/>
      <c r="G164" s="840"/>
      <c r="H164" s="840"/>
      <c r="I164" s="840"/>
      <c r="J164" s="840"/>
      <c r="K164" s="840"/>
      <c r="L164" s="840"/>
      <c r="M164" s="840"/>
      <c r="N164" s="840"/>
      <c r="O164" s="840"/>
      <c r="P164" s="840"/>
      <c r="Q164" s="840"/>
      <c r="R164" s="840"/>
      <c r="S164" s="840"/>
      <c r="T164" s="840"/>
      <c r="U164" s="840"/>
      <c r="V164" s="840"/>
      <c r="W164" s="840"/>
      <c r="X164" s="840"/>
      <c r="Y164" s="840"/>
    </row>
    <row r="165" ht="15.75" customHeight="1">
      <c r="A165" s="840"/>
      <c r="B165" s="887"/>
      <c r="C165" s="887"/>
      <c r="D165" s="887"/>
      <c r="E165" s="887"/>
      <c r="F165" s="887"/>
      <c r="G165" s="840"/>
      <c r="H165" s="840"/>
      <c r="I165" s="840"/>
      <c r="J165" s="840"/>
      <c r="K165" s="840"/>
      <c r="L165" s="840"/>
      <c r="M165" s="840"/>
      <c r="N165" s="840"/>
      <c r="O165" s="840"/>
      <c r="P165" s="840"/>
      <c r="Q165" s="840"/>
      <c r="R165" s="840"/>
      <c r="S165" s="840"/>
      <c r="T165" s="840"/>
      <c r="U165" s="840"/>
      <c r="V165" s="840"/>
      <c r="W165" s="840"/>
      <c r="X165" s="840"/>
      <c r="Y165" s="840"/>
    </row>
    <row r="166" ht="15.75" customHeight="1">
      <c r="A166" s="840"/>
      <c r="B166" s="887"/>
      <c r="C166" s="887"/>
      <c r="D166" s="887"/>
      <c r="E166" s="887"/>
      <c r="F166" s="887"/>
      <c r="G166" s="840"/>
      <c r="H166" s="840"/>
      <c r="I166" s="840"/>
      <c r="J166" s="840"/>
      <c r="K166" s="840"/>
      <c r="L166" s="840"/>
      <c r="M166" s="840"/>
      <c r="N166" s="840"/>
      <c r="O166" s="840"/>
      <c r="P166" s="840"/>
      <c r="Q166" s="840"/>
      <c r="R166" s="840"/>
      <c r="S166" s="840"/>
      <c r="T166" s="840"/>
      <c r="U166" s="840"/>
      <c r="V166" s="840"/>
      <c r="W166" s="840"/>
      <c r="X166" s="840"/>
      <c r="Y166" s="840"/>
    </row>
    <row r="167" ht="15.75" customHeight="1">
      <c r="A167" s="840"/>
      <c r="B167" s="887"/>
      <c r="C167" s="887"/>
      <c r="D167" s="887"/>
      <c r="E167" s="887"/>
      <c r="F167" s="887"/>
      <c r="G167" s="840"/>
      <c r="H167" s="840"/>
      <c r="I167" s="840"/>
      <c r="J167" s="840"/>
      <c r="K167" s="840"/>
      <c r="L167" s="840"/>
      <c r="M167" s="840"/>
      <c r="N167" s="840"/>
      <c r="O167" s="840"/>
      <c r="P167" s="840"/>
      <c r="Q167" s="840"/>
      <c r="R167" s="840"/>
      <c r="S167" s="840"/>
      <c r="T167" s="840"/>
      <c r="U167" s="840"/>
      <c r="V167" s="840"/>
      <c r="W167" s="840"/>
      <c r="X167" s="840"/>
      <c r="Y167" s="840"/>
    </row>
    <row r="168" ht="15.75" customHeight="1">
      <c r="A168" s="840"/>
      <c r="B168" s="887"/>
      <c r="C168" s="887"/>
      <c r="D168" s="887"/>
      <c r="E168" s="887"/>
      <c r="F168" s="887"/>
      <c r="G168" s="840"/>
      <c r="H168" s="840"/>
      <c r="I168" s="840"/>
      <c r="J168" s="840"/>
      <c r="K168" s="840"/>
      <c r="L168" s="840"/>
      <c r="M168" s="840"/>
      <c r="N168" s="840"/>
      <c r="O168" s="840"/>
      <c r="P168" s="840"/>
      <c r="Q168" s="840"/>
      <c r="R168" s="840"/>
      <c r="S168" s="840"/>
      <c r="T168" s="840"/>
      <c r="U168" s="840"/>
      <c r="V168" s="840"/>
      <c r="W168" s="840"/>
      <c r="X168" s="840"/>
      <c r="Y168" s="840"/>
    </row>
    <row r="169" ht="15.75" customHeight="1">
      <c r="A169" s="840"/>
      <c r="B169" s="887"/>
      <c r="C169" s="887"/>
      <c r="D169" s="887"/>
      <c r="E169" s="887"/>
      <c r="F169" s="887"/>
      <c r="G169" s="840"/>
      <c r="H169" s="840"/>
      <c r="I169" s="840"/>
      <c r="J169" s="840"/>
      <c r="K169" s="840"/>
      <c r="L169" s="840"/>
      <c r="M169" s="840"/>
      <c r="N169" s="840"/>
      <c r="O169" s="840"/>
      <c r="P169" s="840"/>
      <c r="Q169" s="840"/>
      <c r="R169" s="840"/>
      <c r="S169" s="840"/>
      <c r="T169" s="840"/>
      <c r="U169" s="840"/>
      <c r="V169" s="840"/>
      <c r="W169" s="840"/>
      <c r="X169" s="840"/>
      <c r="Y169" s="840"/>
    </row>
    <row r="170" ht="15.75" customHeight="1">
      <c r="A170" s="840"/>
      <c r="B170" s="887"/>
      <c r="C170" s="887"/>
      <c r="D170" s="887"/>
      <c r="E170" s="887"/>
      <c r="F170" s="887"/>
      <c r="G170" s="840"/>
      <c r="H170" s="840"/>
      <c r="I170" s="840"/>
      <c r="J170" s="840"/>
      <c r="K170" s="840"/>
      <c r="L170" s="840"/>
      <c r="M170" s="840"/>
      <c r="N170" s="840"/>
      <c r="O170" s="840"/>
      <c r="P170" s="840"/>
      <c r="Q170" s="840"/>
      <c r="R170" s="840"/>
      <c r="S170" s="840"/>
      <c r="T170" s="840"/>
      <c r="U170" s="840"/>
      <c r="V170" s="840"/>
      <c r="W170" s="840"/>
      <c r="X170" s="840"/>
      <c r="Y170" s="840"/>
    </row>
    <row r="171" ht="15.75" customHeight="1">
      <c r="A171" s="840"/>
      <c r="B171" s="887"/>
      <c r="C171" s="887"/>
      <c r="D171" s="887"/>
      <c r="E171" s="887"/>
      <c r="F171" s="887"/>
      <c r="G171" s="840"/>
      <c r="H171" s="840"/>
      <c r="I171" s="840"/>
      <c r="J171" s="840"/>
      <c r="K171" s="840"/>
      <c r="L171" s="840"/>
      <c r="M171" s="840"/>
      <c r="N171" s="840"/>
      <c r="O171" s="840"/>
      <c r="P171" s="840"/>
      <c r="Q171" s="840"/>
      <c r="R171" s="840"/>
      <c r="S171" s="840"/>
      <c r="T171" s="840"/>
      <c r="U171" s="840"/>
      <c r="V171" s="840"/>
      <c r="W171" s="840"/>
      <c r="X171" s="840"/>
      <c r="Y171" s="840"/>
    </row>
    <row r="172" ht="15.75" customHeight="1">
      <c r="A172" s="840"/>
      <c r="B172" s="887"/>
      <c r="C172" s="887"/>
      <c r="D172" s="887"/>
      <c r="E172" s="887"/>
      <c r="F172" s="887"/>
      <c r="G172" s="840"/>
      <c r="H172" s="840"/>
      <c r="I172" s="840"/>
      <c r="J172" s="840"/>
      <c r="K172" s="840"/>
      <c r="L172" s="840"/>
      <c r="M172" s="840"/>
      <c r="N172" s="840"/>
      <c r="O172" s="840"/>
      <c r="P172" s="840"/>
      <c r="Q172" s="840"/>
      <c r="R172" s="840"/>
      <c r="S172" s="840"/>
      <c r="T172" s="840"/>
      <c r="U172" s="840"/>
      <c r="V172" s="840"/>
      <c r="W172" s="840"/>
      <c r="X172" s="840"/>
      <c r="Y172" s="840"/>
    </row>
    <row r="173" ht="15.75" customHeight="1">
      <c r="A173" s="840"/>
      <c r="B173" s="887"/>
      <c r="C173" s="887"/>
      <c r="D173" s="887"/>
      <c r="E173" s="887"/>
      <c r="F173" s="887"/>
      <c r="G173" s="840"/>
      <c r="H173" s="840"/>
      <c r="I173" s="840"/>
      <c r="J173" s="840"/>
      <c r="K173" s="840"/>
      <c r="L173" s="840"/>
      <c r="M173" s="840"/>
      <c r="N173" s="840"/>
      <c r="O173" s="840"/>
      <c r="P173" s="840"/>
      <c r="Q173" s="840"/>
      <c r="R173" s="840"/>
      <c r="S173" s="840"/>
      <c r="T173" s="840"/>
      <c r="U173" s="840"/>
      <c r="V173" s="840"/>
      <c r="W173" s="840"/>
      <c r="X173" s="840"/>
      <c r="Y173" s="840"/>
    </row>
    <row r="174" ht="15.75" customHeight="1">
      <c r="A174" s="840"/>
      <c r="B174" s="887"/>
      <c r="C174" s="887"/>
      <c r="D174" s="887"/>
      <c r="E174" s="887"/>
      <c r="F174" s="887"/>
      <c r="G174" s="840"/>
      <c r="H174" s="840"/>
      <c r="I174" s="840"/>
      <c r="J174" s="840"/>
      <c r="K174" s="840"/>
      <c r="L174" s="840"/>
      <c r="M174" s="840"/>
      <c r="N174" s="840"/>
      <c r="O174" s="840"/>
      <c r="P174" s="840"/>
      <c r="Q174" s="840"/>
      <c r="R174" s="840"/>
      <c r="S174" s="840"/>
      <c r="T174" s="840"/>
      <c r="U174" s="840"/>
      <c r="V174" s="840"/>
      <c r="W174" s="840"/>
      <c r="X174" s="840"/>
      <c r="Y174" s="840"/>
    </row>
    <row r="175" ht="15.75" customHeight="1">
      <c r="A175" s="840"/>
      <c r="B175" s="887"/>
      <c r="C175" s="887"/>
      <c r="D175" s="887"/>
      <c r="E175" s="887"/>
      <c r="F175" s="887"/>
      <c r="G175" s="840"/>
      <c r="H175" s="840"/>
      <c r="I175" s="840"/>
      <c r="J175" s="840"/>
      <c r="K175" s="840"/>
      <c r="L175" s="840"/>
      <c r="M175" s="840"/>
      <c r="N175" s="840"/>
      <c r="O175" s="840"/>
      <c r="P175" s="840"/>
      <c r="Q175" s="840"/>
      <c r="R175" s="840"/>
      <c r="S175" s="840"/>
      <c r="T175" s="840"/>
      <c r="U175" s="840"/>
      <c r="V175" s="840"/>
      <c r="W175" s="840"/>
      <c r="X175" s="840"/>
      <c r="Y175" s="840"/>
    </row>
    <row r="176" ht="15.75" customHeight="1">
      <c r="A176" s="840"/>
      <c r="B176" s="887"/>
      <c r="C176" s="887"/>
      <c r="D176" s="887"/>
      <c r="E176" s="887"/>
      <c r="F176" s="887"/>
      <c r="G176" s="840"/>
      <c r="H176" s="840"/>
      <c r="I176" s="840"/>
      <c r="J176" s="840"/>
      <c r="K176" s="840"/>
      <c r="L176" s="840"/>
      <c r="M176" s="840"/>
      <c r="N176" s="840"/>
      <c r="O176" s="840"/>
      <c r="P176" s="840"/>
      <c r="Q176" s="840"/>
      <c r="R176" s="840"/>
      <c r="S176" s="840"/>
      <c r="T176" s="840"/>
      <c r="U176" s="840"/>
      <c r="V176" s="840"/>
      <c r="W176" s="840"/>
      <c r="X176" s="840"/>
      <c r="Y176" s="840"/>
    </row>
    <row r="177" ht="15.75" customHeight="1">
      <c r="A177" s="840"/>
      <c r="B177" s="887"/>
      <c r="C177" s="887"/>
      <c r="D177" s="887"/>
      <c r="E177" s="887"/>
      <c r="F177" s="887"/>
      <c r="G177" s="840"/>
      <c r="H177" s="840"/>
      <c r="I177" s="840"/>
      <c r="J177" s="840"/>
      <c r="K177" s="840"/>
      <c r="L177" s="840"/>
      <c r="M177" s="840"/>
      <c r="N177" s="840"/>
      <c r="O177" s="840"/>
      <c r="P177" s="840"/>
      <c r="Q177" s="840"/>
      <c r="R177" s="840"/>
      <c r="S177" s="840"/>
      <c r="T177" s="840"/>
      <c r="U177" s="840"/>
      <c r="V177" s="840"/>
      <c r="W177" s="840"/>
      <c r="X177" s="840"/>
      <c r="Y177" s="840"/>
    </row>
    <row r="178" ht="15.75" customHeight="1">
      <c r="A178" s="840"/>
      <c r="B178" s="887"/>
      <c r="C178" s="887"/>
      <c r="D178" s="887"/>
      <c r="E178" s="887"/>
      <c r="F178" s="887"/>
      <c r="G178" s="840"/>
      <c r="H178" s="840"/>
      <c r="I178" s="840"/>
      <c r="J178" s="840"/>
      <c r="K178" s="840"/>
      <c r="L178" s="840"/>
      <c r="M178" s="840"/>
      <c r="N178" s="840"/>
      <c r="O178" s="840"/>
      <c r="P178" s="840"/>
      <c r="Q178" s="840"/>
      <c r="R178" s="840"/>
      <c r="S178" s="840"/>
      <c r="T178" s="840"/>
      <c r="U178" s="840"/>
      <c r="V178" s="840"/>
      <c r="W178" s="840"/>
      <c r="X178" s="840"/>
      <c r="Y178" s="840"/>
    </row>
    <row r="179" ht="15.75" customHeight="1">
      <c r="A179" s="840"/>
      <c r="B179" s="887"/>
      <c r="C179" s="887"/>
      <c r="D179" s="887"/>
      <c r="E179" s="887"/>
      <c r="F179" s="887"/>
      <c r="G179" s="840"/>
      <c r="H179" s="840"/>
      <c r="I179" s="840"/>
      <c r="J179" s="840"/>
      <c r="K179" s="840"/>
      <c r="L179" s="840"/>
      <c r="M179" s="840"/>
      <c r="N179" s="840"/>
      <c r="O179" s="840"/>
      <c r="P179" s="840"/>
      <c r="Q179" s="840"/>
      <c r="R179" s="840"/>
      <c r="S179" s="840"/>
      <c r="T179" s="840"/>
      <c r="U179" s="840"/>
      <c r="V179" s="840"/>
      <c r="W179" s="840"/>
      <c r="X179" s="840"/>
      <c r="Y179" s="840"/>
    </row>
    <row r="180" ht="15.75" customHeight="1">
      <c r="A180" s="840"/>
      <c r="B180" s="887"/>
      <c r="C180" s="887"/>
      <c r="D180" s="887"/>
      <c r="E180" s="887"/>
      <c r="F180" s="887"/>
      <c r="G180" s="840"/>
      <c r="H180" s="840"/>
      <c r="I180" s="840"/>
      <c r="J180" s="840"/>
      <c r="K180" s="840"/>
      <c r="L180" s="840"/>
      <c r="M180" s="840"/>
      <c r="N180" s="840"/>
      <c r="O180" s="840"/>
      <c r="P180" s="840"/>
      <c r="Q180" s="840"/>
      <c r="R180" s="840"/>
      <c r="S180" s="840"/>
      <c r="T180" s="840"/>
      <c r="U180" s="840"/>
      <c r="V180" s="840"/>
      <c r="W180" s="840"/>
      <c r="X180" s="840"/>
      <c r="Y180" s="840"/>
    </row>
    <row r="181" ht="15.75" customHeight="1">
      <c r="A181" s="840"/>
      <c r="B181" s="887"/>
      <c r="C181" s="887"/>
      <c r="D181" s="887"/>
      <c r="E181" s="887"/>
      <c r="F181" s="887"/>
      <c r="G181" s="840"/>
      <c r="H181" s="840"/>
      <c r="I181" s="840"/>
      <c r="J181" s="840"/>
      <c r="K181" s="840"/>
      <c r="L181" s="840"/>
      <c r="M181" s="840"/>
      <c r="N181" s="840"/>
      <c r="O181" s="840"/>
      <c r="P181" s="840"/>
      <c r="Q181" s="840"/>
      <c r="R181" s="840"/>
      <c r="S181" s="840"/>
      <c r="T181" s="840"/>
      <c r="U181" s="840"/>
      <c r="V181" s="840"/>
      <c r="W181" s="840"/>
      <c r="X181" s="840"/>
      <c r="Y181" s="840"/>
    </row>
    <row r="182" ht="15.75" customHeight="1">
      <c r="A182" s="840"/>
      <c r="B182" s="887"/>
      <c r="C182" s="887"/>
      <c r="D182" s="887"/>
      <c r="E182" s="887"/>
      <c r="F182" s="887"/>
      <c r="G182" s="840"/>
      <c r="H182" s="840"/>
      <c r="I182" s="840"/>
      <c r="J182" s="840"/>
      <c r="K182" s="840"/>
      <c r="L182" s="840"/>
      <c r="M182" s="840"/>
      <c r="N182" s="840"/>
      <c r="O182" s="840"/>
      <c r="P182" s="840"/>
      <c r="Q182" s="840"/>
      <c r="R182" s="840"/>
      <c r="S182" s="840"/>
      <c r="T182" s="840"/>
      <c r="U182" s="840"/>
      <c r="V182" s="840"/>
      <c r="W182" s="840"/>
      <c r="X182" s="840"/>
      <c r="Y182" s="840"/>
    </row>
    <row r="183" ht="15.75" customHeight="1">
      <c r="A183" s="840"/>
      <c r="B183" s="887"/>
      <c r="C183" s="887"/>
      <c r="D183" s="887"/>
      <c r="E183" s="887"/>
      <c r="F183" s="887"/>
      <c r="G183" s="840"/>
      <c r="H183" s="840"/>
      <c r="I183" s="840"/>
      <c r="J183" s="840"/>
      <c r="K183" s="840"/>
      <c r="L183" s="840"/>
      <c r="M183" s="840"/>
      <c r="N183" s="840"/>
      <c r="O183" s="840"/>
      <c r="P183" s="840"/>
      <c r="Q183" s="840"/>
      <c r="R183" s="840"/>
      <c r="S183" s="840"/>
      <c r="T183" s="840"/>
      <c r="U183" s="840"/>
      <c r="V183" s="840"/>
      <c r="W183" s="840"/>
      <c r="X183" s="840"/>
      <c r="Y183" s="840"/>
    </row>
    <row r="184" ht="15.75" customHeight="1">
      <c r="A184" s="840"/>
      <c r="B184" s="887"/>
      <c r="C184" s="887"/>
      <c r="D184" s="887"/>
      <c r="E184" s="887"/>
      <c r="F184" s="887"/>
      <c r="G184" s="840"/>
      <c r="H184" s="840"/>
      <c r="I184" s="840"/>
      <c r="J184" s="840"/>
      <c r="K184" s="840"/>
      <c r="L184" s="840"/>
      <c r="M184" s="840"/>
      <c r="N184" s="840"/>
      <c r="O184" s="840"/>
      <c r="P184" s="840"/>
      <c r="Q184" s="840"/>
      <c r="R184" s="840"/>
      <c r="S184" s="840"/>
      <c r="T184" s="840"/>
      <c r="U184" s="840"/>
      <c r="V184" s="840"/>
      <c r="W184" s="840"/>
      <c r="X184" s="840"/>
      <c r="Y184" s="840"/>
    </row>
    <row r="185" ht="15.75" customHeight="1">
      <c r="A185" s="840"/>
      <c r="B185" s="887"/>
      <c r="C185" s="887"/>
      <c r="D185" s="887"/>
      <c r="E185" s="887"/>
      <c r="F185" s="887"/>
      <c r="G185" s="840"/>
      <c r="H185" s="840"/>
      <c r="I185" s="840"/>
      <c r="J185" s="840"/>
      <c r="K185" s="840"/>
      <c r="L185" s="840"/>
      <c r="M185" s="840"/>
      <c r="N185" s="840"/>
      <c r="O185" s="840"/>
      <c r="P185" s="840"/>
      <c r="Q185" s="840"/>
      <c r="R185" s="840"/>
      <c r="S185" s="840"/>
      <c r="T185" s="840"/>
      <c r="U185" s="840"/>
      <c r="V185" s="840"/>
      <c r="W185" s="840"/>
      <c r="X185" s="840"/>
      <c r="Y185" s="840"/>
    </row>
    <row r="186" ht="15.75" customHeight="1">
      <c r="A186" s="840"/>
      <c r="B186" s="887"/>
      <c r="C186" s="887"/>
      <c r="D186" s="887"/>
      <c r="E186" s="887"/>
      <c r="F186" s="887"/>
      <c r="G186" s="840"/>
      <c r="H186" s="840"/>
      <c r="I186" s="840"/>
      <c r="J186" s="840"/>
      <c r="K186" s="840"/>
      <c r="L186" s="840"/>
      <c r="M186" s="840"/>
      <c r="N186" s="840"/>
      <c r="O186" s="840"/>
      <c r="P186" s="840"/>
      <c r="Q186" s="840"/>
      <c r="R186" s="840"/>
      <c r="S186" s="840"/>
      <c r="T186" s="840"/>
      <c r="U186" s="840"/>
      <c r="V186" s="840"/>
      <c r="W186" s="840"/>
      <c r="X186" s="840"/>
      <c r="Y186" s="840"/>
    </row>
    <row r="187" ht="15.75" customHeight="1">
      <c r="A187" s="840"/>
      <c r="B187" s="887"/>
      <c r="C187" s="887"/>
      <c r="D187" s="887"/>
      <c r="E187" s="887"/>
      <c r="F187" s="887"/>
      <c r="G187" s="840"/>
      <c r="H187" s="840"/>
      <c r="I187" s="840"/>
      <c r="J187" s="840"/>
      <c r="K187" s="840"/>
      <c r="L187" s="840"/>
      <c r="M187" s="840"/>
      <c r="N187" s="840"/>
      <c r="O187" s="840"/>
      <c r="P187" s="840"/>
      <c r="Q187" s="840"/>
      <c r="R187" s="840"/>
      <c r="S187" s="840"/>
      <c r="T187" s="840"/>
      <c r="U187" s="840"/>
      <c r="V187" s="840"/>
      <c r="W187" s="840"/>
      <c r="X187" s="840"/>
      <c r="Y187" s="840"/>
    </row>
    <row r="188" ht="15.75" customHeight="1">
      <c r="A188" s="840"/>
      <c r="B188" s="887"/>
      <c r="C188" s="887"/>
      <c r="D188" s="887"/>
      <c r="E188" s="887"/>
      <c r="F188" s="887"/>
      <c r="G188" s="840"/>
      <c r="H188" s="840"/>
      <c r="I188" s="840"/>
      <c r="J188" s="840"/>
      <c r="K188" s="840"/>
      <c r="L188" s="840"/>
      <c r="M188" s="840"/>
      <c r="N188" s="840"/>
      <c r="O188" s="840"/>
      <c r="P188" s="840"/>
      <c r="Q188" s="840"/>
      <c r="R188" s="840"/>
      <c r="S188" s="840"/>
      <c r="T188" s="840"/>
      <c r="U188" s="840"/>
      <c r="V188" s="840"/>
      <c r="W188" s="840"/>
      <c r="X188" s="840"/>
      <c r="Y188" s="840"/>
    </row>
    <row r="189" ht="15.75" customHeight="1">
      <c r="A189" s="840"/>
      <c r="B189" s="887"/>
      <c r="C189" s="887"/>
      <c r="D189" s="887"/>
      <c r="E189" s="887"/>
      <c r="F189" s="887"/>
      <c r="G189" s="840"/>
      <c r="H189" s="840"/>
      <c r="I189" s="840"/>
      <c r="J189" s="840"/>
      <c r="K189" s="840"/>
      <c r="L189" s="840"/>
      <c r="M189" s="840"/>
      <c r="N189" s="840"/>
      <c r="O189" s="840"/>
      <c r="P189" s="840"/>
      <c r="Q189" s="840"/>
      <c r="R189" s="840"/>
      <c r="S189" s="840"/>
      <c r="T189" s="840"/>
      <c r="U189" s="840"/>
      <c r="V189" s="840"/>
      <c r="W189" s="840"/>
      <c r="X189" s="840"/>
      <c r="Y189" s="840"/>
    </row>
    <row r="190" ht="15.75" customHeight="1">
      <c r="A190" s="840"/>
      <c r="B190" s="887"/>
      <c r="C190" s="887"/>
      <c r="D190" s="887"/>
      <c r="E190" s="887"/>
      <c r="F190" s="887"/>
      <c r="G190" s="840"/>
      <c r="H190" s="840"/>
      <c r="I190" s="840"/>
      <c r="J190" s="840"/>
      <c r="K190" s="840"/>
      <c r="L190" s="840"/>
      <c r="M190" s="840"/>
      <c r="N190" s="840"/>
      <c r="O190" s="840"/>
      <c r="P190" s="840"/>
      <c r="Q190" s="840"/>
      <c r="R190" s="840"/>
      <c r="S190" s="840"/>
      <c r="T190" s="840"/>
      <c r="U190" s="840"/>
      <c r="V190" s="840"/>
      <c r="W190" s="840"/>
      <c r="X190" s="840"/>
      <c r="Y190" s="840"/>
    </row>
    <row r="191" ht="15.75" customHeight="1">
      <c r="A191" s="840"/>
      <c r="B191" s="887"/>
      <c r="C191" s="887"/>
      <c r="D191" s="887"/>
      <c r="E191" s="887"/>
      <c r="F191" s="887"/>
      <c r="G191" s="840"/>
      <c r="H191" s="840"/>
      <c r="I191" s="840"/>
      <c r="J191" s="840"/>
      <c r="K191" s="840"/>
      <c r="L191" s="840"/>
      <c r="M191" s="840"/>
      <c r="N191" s="840"/>
      <c r="O191" s="840"/>
      <c r="P191" s="840"/>
      <c r="Q191" s="840"/>
      <c r="R191" s="840"/>
      <c r="S191" s="840"/>
      <c r="T191" s="840"/>
      <c r="U191" s="840"/>
      <c r="V191" s="840"/>
      <c r="W191" s="840"/>
      <c r="X191" s="840"/>
      <c r="Y191" s="840"/>
    </row>
    <row r="192" ht="15.75" customHeight="1">
      <c r="A192" s="840"/>
      <c r="B192" s="887"/>
      <c r="C192" s="887"/>
      <c r="D192" s="887"/>
      <c r="E192" s="887"/>
      <c r="F192" s="887"/>
      <c r="G192" s="840"/>
      <c r="H192" s="840"/>
      <c r="I192" s="840"/>
      <c r="J192" s="840"/>
      <c r="K192" s="840"/>
      <c r="L192" s="840"/>
      <c r="M192" s="840"/>
      <c r="N192" s="840"/>
      <c r="O192" s="840"/>
      <c r="P192" s="840"/>
      <c r="Q192" s="840"/>
      <c r="R192" s="840"/>
      <c r="S192" s="840"/>
      <c r="T192" s="840"/>
      <c r="U192" s="840"/>
      <c r="V192" s="840"/>
      <c r="W192" s="840"/>
      <c r="X192" s="840"/>
      <c r="Y192" s="840"/>
    </row>
    <row r="193" ht="15.75" customHeight="1">
      <c r="A193" s="840"/>
      <c r="B193" s="887"/>
      <c r="C193" s="887"/>
      <c r="D193" s="887"/>
      <c r="E193" s="887"/>
      <c r="F193" s="887"/>
      <c r="G193" s="840"/>
      <c r="H193" s="840"/>
      <c r="I193" s="840"/>
      <c r="J193" s="840"/>
      <c r="K193" s="840"/>
      <c r="L193" s="840"/>
      <c r="M193" s="840"/>
      <c r="N193" s="840"/>
      <c r="O193" s="840"/>
      <c r="P193" s="840"/>
      <c r="Q193" s="840"/>
      <c r="R193" s="840"/>
      <c r="S193" s="840"/>
      <c r="T193" s="840"/>
      <c r="U193" s="840"/>
      <c r="V193" s="840"/>
      <c r="W193" s="840"/>
      <c r="X193" s="840"/>
      <c r="Y193" s="840"/>
    </row>
    <row r="194" ht="15.75" customHeight="1">
      <c r="A194" s="840"/>
      <c r="B194" s="887"/>
      <c r="C194" s="887"/>
      <c r="D194" s="887"/>
      <c r="E194" s="887"/>
      <c r="F194" s="887"/>
      <c r="G194" s="840"/>
      <c r="H194" s="840"/>
      <c r="I194" s="840"/>
      <c r="J194" s="840"/>
      <c r="K194" s="840"/>
      <c r="L194" s="840"/>
      <c r="M194" s="840"/>
      <c r="N194" s="840"/>
      <c r="O194" s="840"/>
      <c r="P194" s="840"/>
      <c r="Q194" s="840"/>
      <c r="R194" s="840"/>
      <c r="S194" s="840"/>
      <c r="T194" s="840"/>
      <c r="U194" s="840"/>
      <c r="V194" s="840"/>
      <c r="W194" s="840"/>
      <c r="X194" s="840"/>
      <c r="Y194" s="840"/>
    </row>
    <row r="195" ht="15.75" customHeight="1">
      <c r="A195" s="840"/>
      <c r="B195" s="887"/>
      <c r="C195" s="887"/>
      <c r="D195" s="887"/>
      <c r="E195" s="887"/>
      <c r="F195" s="887"/>
      <c r="G195" s="840"/>
      <c r="H195" s="840"/>
      <c r="I195" s="840"/>
      <c r="J195" s="840"/>
      <c r="K195" s="840"/>
      <c r="L195" s="840"/>
      <c r="M195" s="840"/>
      <c r="N195" s="840"/>
      <c r="O195" s="840"/>
      <c r="P195" s="840"/>
      <c r="Q195" s="840"/>
      <c r="R195" s="840"/>
      <c r="S195" s="840"/>
      <c r="T195" s="840"/>
      <c r="U195" s="840"/>
      <c r="V195" s="840"/>
      <c r="W195" s="840"/>
      <c r="X195" s="840"/>
      <c r="Y195" s="840"/>
    </row>
    <row r="196" ht="15.75" customHeight="1">
      <c r="A196" s="840"/>
      <c r="B196" s="887"/>
      <c r="C196" s="887"/>
      <c r="D196" s="887"/>
      <c r="E196" s="887"/>
      <c r="F196" s="887"/>
      <c r="G196" s="840"/>
      <c r="H196" s="840"/>
      <c r="I196" s="840"/>
      <c r="J196" s="840"/>
      <c r="K196" s="840"/>
      <c r="L196" s="840"/>
      <c r="M196" s="840"/>
      <c r="N196" s="840"/>
      <c r="O196" s="840"/>
      <c r="P196" s="840"/>
      <c r="Q196" s="840"/>
      <c r="R196" s="840"/>
      <c r="S196" s="840"/>
      <c r="T196" s="840"/>
      <c r="U196" s="840"/>
      <c r="V196" s="840"/>
      <c r="W196" s="840"/>
      <c r="X196" s="840"/>
      <c r="Y196" s="840"/>
    </row>
    <row r="197" ht="15.75" customHeight="1">
      <c r="A197" s="840"/>
      <c r="B197" s="887"/>
      <c r="C197" s="887"/>
      <c r="D197" s="887"/>
      <c r="E197" s="887"/>
      <c r="F197" s="887"/>
      <c r="G197" s="840"/>
      <c r="H197" s="840"/>
      <c r="I197" s="840"/>
      <c r="J197" s="840"/>
      <c r="K197" s="840"/>
      <c r="L197" s="840"/>
      <c r="M197" s="840"/>
      <c r="N197" s="840"/>
      <c r="O197" s="840"/>
      <c r="P197" s="840"/>
      <c r="Q197" s="840"/>
      <c r="R197" s="840"/>
      <c r="S197" s="840"/>
      <c r="T197" s="840"/>
      <c r="U197" s="840"/>
      <c r="V197" s="840"/>
      <c r="W197" s="840"/>
      <c r="X197" s="840"/>
      <c r="Y197" s="840"/>
    </row>
    <row r="198" ht="15.75" customHeight="1">
      <c r="A198" s="840"/>
      <c r="B198" s="887"/>
      <c r="C198" s="887"/>
      <c r="D198" s="887"/>
      <c r="E198" s="887"/>
      <c r="F198" s="887"/>
      <c r="G198" s="840"/>
      <c r="H198" s="840"/>
      <c r="I198" s="840"/>
      <c r="J198" s="840"/>
      <c r="K198" s="840"/>
      <c r="L198" s="840"/>
      <c r="M198" s="840"/>
      <c r="N198" s="840"/>
      <c r="O198" s="840"/>
      <c r="P198" s="840"/>
      <c r="Q198" s="840"/>
      <c r="R198" s="840"/>
      <c r="S198" s="840"/>
      <c r="T198" s="840"/>
      <c r="U198" s="840"/>
      <c r="V198" s="840"/>
      <c r="W198" s="840"/>
      <c r="X198" s="840"/>
      <c r="Y198" s="840"/>
    </row>
    <row r="199" ht="15.75" customHeight="1">
      <c r="A199" s="840"/>
      <c r="B199" s="887"/>
      <c r="C199" s="887"/>
      <c r="D199" s="887"/>
      <c r="E199" s="887"/>
      <c r="F199" s="887"/>
      <c r="G199" s="840"/>
      <c r="H199" s="840"/>
      <c r="I199" s="840"/>
      <c r="J199" s="840"/>
      <c r="K199" s="840"/>
      <c r="L199" s="840"/>
      <c r="M199" s="840"/>
      <c r="N199" s="840"/>
      <c r="O199" s="840"/>
      <c r="P199" s="840"/>
      <c r="Q199" s="840"/>
      <c r="R199" s="840"/>
      <c r="S199" s="840"/>
      <c r="T199" s="840"/>
      <c r="U199" s="840"/>
      <c r="V199" s="840"/>
      <c r="W199" s="840"/>
      <c r="X199" s="840"/>
      <c r="Y199" s="840"/>
    </row>
    <row r="200" ht="15.75" customHeight="1">
      <c r="A200" s="840"/>
      <c r="B200" s="887"/>
      <c r="C200" s="887"/>
      <c r="D200" s="887"/>
      <c r="E200" s="887"/>
      <c r="F200" s="887"/>
      <c r="G200" s="840"/>
      <c r="H200" s="840"/>
      <c r="I200" s="840"/>
      <c r="J200" s="840"/>
      <c r="K200" s="840"/>
      <c r="L200" s="840"/>
      <c r="M200" s="840"/>
      <c r="N200" s="840"/>
      <c r="O200" s="840"/>
      <c r="P200" s="840"/>
      <c r="Q200" s="840"/>
      <c r="R200" s="840"/>
      <c r="S200" s="840"/>
      <c r="T200" s="840"/>
      <c r="U200" s="840"/>
      <c r="V200" s="840"/>
      <c r="W200" s="840"/>
      <c r="X200" s="840"/>
      <c r="Y200" s="840"/>
    </row>
    <row r="201" ht="15.75" customHeight="1">
      <c r="A201" s="840"/>
      <c r="B201" s="887"/>
      <c r="C201" s="887"/>
      <c r="D201" s="887"/>
      <c r="E201" s="887"/>
      <c r="F201" s="887"/>
      <c r="G201" s="840"/>
      <c r="H201" s="840"/>
      <c r="I201" s="840"/>
      <c r="J201" s="840"/>
      <c r="K201" s="840"/>
      <c r="L201" s="840"/>
      <c r="M201" s="840"/>
      <c r="N201" s="840"/>
      <c r="O201" s="840"/>
      <c r="P201" s="840"/>
      <c r="Q201" s="840"/>
      <c r="R201" s="840"/>
      <c r="S201" s="840"/>
      <c r="T201" s="840"/>
      <c r="U201" s="840"/>
      <c r="V201" s="840"/>
      <c r="W201" s="840"/>
      <c r="X201" s="840"/>
      <c r="Y201" s="840"/>
    </row>
    <row r="202" ht="15.75" customHeight="1">
      <c r="A202" s="840"/>
      <c r="B202" s="887"/>
      <c r="C202" s="887"/>
      <c r="D202" s="887"/>
      <c r="E202" s="887"/>
      <c r="F202" s="887"/>
      <c r="G202" s="840"/>
      <c r="H202" s="840"/>
      <c r="I202" s="840"/>
      <c r="J202" s="840"/>
      <c r="K202" s="840"/>
      <c r="L202" s="840"/>
      <c r="M202" s="840"/>
      <c r="N202" s="840"/>
      <c r="O202" s="840"/>
      <c r="P202" s="840"/>
      <c r="Q202" s="840"/>
      <c r="R202" s="840"/>
      <c r="S202" s="840"/>
      <c r="T202" s="840"/>
      <c r="U202" s="840"/>
      <c r="V202" s="840"/>
      <c r="W202" s="840"/>
      <c r="X202" s="840"/>
      <c r="Y202" s="840"/>
    </row>
    <row r="203" ht="15.75" customHeight="1">
      <c r="A203" s="840"/>
      <c r="B203" s="887"/>
      <c r="C203" s="887"/>
      <c r="D203" s="887"/>
      <c r="E203" s="887"/>
      <c r="F203" s="887"/>
      <c r="G203" s="840"/>
      <c r="H203" s="840"/>
      <c r="I203" s="840"/>
      <c r="J203" s="840"/>
      <c r="K203" s="840"/>
      <c r="L203" s="840"/>
      <c r="M203" s="840"/>
      <c r="N203" s="840"/>
      <c r="O203" s="840"/>
      <c r="P203" s="840"/>
      <c r="Q203" s="840"/>
      <c r="R203" s="840"/>
      <c r="S203" s="840"/>
      <c r="T203" s="840"/>
      <c r="U203" s="840"/>
      <c r="V203" s="840"/>
      <c r="W203" s="840"/>
      <c r="X203" s="840"/>
      <c r="Y203" s="840"/>
    </row>
    <row r="204" ht="15.75" customHeight="1">
      <c r="A204" s="840"/>
      <c r="B204" s="887"/>
      <c r="C204" s="887"/>
      <c r="D204" s="887"/>
      <c r="E204" s="887"/>
      <c r="F204" s="887"/>
      <c r="G204" s="840"/>
      <c r="H204" s="840"/>
      <c r="I204" s="840"/>
      <c r="J204" s="840"/>
      <c r="K204" s="840"/>
      <c r="L204" s="840"/>
      <c r="M204" s="840"/>
      <c r="N204" s="840"/>
      <c r="O204" s="840"/>
      <c r="P204" s="840"/>
      <c r="Q204" s="840"/>
      <c r="R204" s="840"/>
      <c r="S204" s="840"/>
      <c r="T204" s="840"/>
      <c r="U204" s="840"/>
      <c r="V204" s="840"/>
      <c r="W204" s="840"/>
      <c r="X204" s="840"/>
      <c r="Y204" s="840"/>
    </row>
    <row r="205" ht="15.75" customHeight="1">
      <c r="A205" s="840"/>
      <c r="B205" s="887"/>
      <c r="C205" s="887"/>
      <c r="D205" s="887"/>
      <c r="E205" s="887"/>
      <c r="F205" s="887"/>
      <c r="G205" s="840"/>
      <c r="H205" s="840"/>
      <c r="I205" s="840"/>
      <c r="J205" s="840"/>
      <c r="K205" s="840"/>
      <c r="L205" s="840"/>
      <c r="M205" s="840"/>
      <c r="N205" s="840"/>
      <c r="O205" s="840"/>
      <c r="P205" s="840"/>
      <c r="Q205" s="840"/>
      <c r="R205" s="840"/>
      <c r="S205" s="840"/>
      <c r="T205" s="840"/>
      <c r="U205" s="840"/>
      <c r="V205" s="840"/>
      <c r="W205" s="840"/>
      <c r="X205" s="840"/>
      <c r="Y205" s="840"/>
    </row>
    <row r="206" ht="15.75" customHeight="1">
      <c r="A206" s="840"/>
      <c r="B206" s="887"/>
      <c r="C206" s="887"/>
      <c r="D206" s="887"/>
      <c r="E206" s="887"/>
      <c r="F206" s="887"/>
      <c r="G206" s="840"/>
      <c r="H206" s="840"/>
      <c r="I206" s="840"/>
      <c r="J206" s="840"/>
      <c r="K206" s="840"/>
      <c r="L206" s="840"/>
      <c r="M206" s="840"/>
      <c r="N206" s="840"/>
      <c r="O206" s="840"/>
      <c r="P206" s="840"/>
      <c r="Q206" s="840"/>
      <c r="R206" s="840"/>
      <c r="S206" s="840"/>
      <c r="T206" s="840"/>
      <c r="U206" s="840"/>
      <c r="V206" s="840"/>
      <c r="W206" s="840"/>
      <c r="X206" s="840"/>
      <c r="Y206" s="840"/>
    </row>
    <row r="207" ht="15.75" customHeight="1">
      <c r="A207" s="840"/>
      <c r="B207" s="887"/>
      <c r="C207" s="887"/>
      <c r="D207" s="887"/>
      <c r="E207" s="887"/>
      <c r="F207" s="887"/>
      <c r="G207" s="840"/>
      <c r="H207" s="840"/>
      <c r="I207" s="840"/>
      <c r="J207" s="840"/>
      <c r="K207" s="840"/>
      <c r="L207" s="840"/>
      <c r="M207" s="840"/>
      <c r="N207" s="840"/>
      <c r="O207" s="840"/>
      <c r="P207" s="840"/>
      <c r="Q207" s="840"/>
      <c r="R207" s="840"/>
      <c r="S207" s="840"/>
      <c r="T207" s="840"/>
      <c r="U207" s="840"/>
      <c r="V207" s="840"/>
      <c r="W207" s="840"/>
      <c r="X207" s="840"/>
      <c r="Y207" s="840"/>
    </row>
    <row r="208" ht="15.75" customHeight="1">
      <c r="A208" s="840"/>
      <c r="B208" s="887"/>
      <c r="C208" s="887"/>
      <c r="D208" s="887"/>
      <c r="E208" s="887"/>
      <c r="F208" s="887"/>
      <c r="G208" s="840"/>
      <c r="H208" s="840"/>
      <c r="I208" s="840"/>
      <c r="J208" s="840"/>
      <c r="K208" s="840"/>
      <c r="L208" s="840"/>
      <c r="M208" s="840"/>
      <c r="N208" s="840"/>
      <c r="O208" s="840"/>
      <c r="P208" s="840"/>
      <c r="Q208" s="840"/>
      <c r="R208" s="840"/>
      <c r="S208" s="840"/>
      <c r="T208" s="840"/>
      <c r="U208" s="840"/>
      <c r="V208" s="840"/>
      <c r="W208" s="840"/>
      <c r="X208" s="840"/>
      <c r="Y208" s="840"/>
    </row>
    <row r="209" ht="15.75" customHeight="1">
      <c r="A209" s="840"/>
      <c r="B209" s="887"/>
      <c r="C209" s="887"/>
      <c r="D209" s="887"/>
      <c r="E209" s="887"/>
      <c r="F209" s="887"/>
      <c r="G209" s="840"/>
      <c r="H209" s="840"/>
      <c r="I209" s="840"/>
      <c r="J209" s="840"/>
      <c r="K209" s="840"/>
      <c r="L209" s="840"/>
      <c r="M209" s="840"/>
      <c r="N209" s="840"/>
      <c r="O209" s="840"/>
      <c r="P209" s="840"/>
      <c r="Q209" s="840"/>
      <c r="R209" s="840"/>
      <c r="S209" s="840"/>
      <c r="T209" s="840"/>
      <c r="U209" s="840"/>
      <c r="V209" s="840"/>
      <c r="W209" s="840"/>
      <c r="X209" s="840"/>
      <c r="Y209" s="840"/>
    </row>
    <row r="210" ht="15.75" customHeight="1">
      <c r="A210" s="840"/>
      <c r="B210" s="887"/>
      <c r="C210" s="887"/>
      <c r="D210" s="887"/>
      <c r="E210" s="887"/>
      <c r="F210" s="887"/>
      <c r="G210" s="840"/>
      <c r="H210" s="840"/>
      <c r="I210" s="840"/>
      <c r="J210" s="840"/>
      <c r="K210" s="840"/>
      <c r="L210" s="840"/>
      <c r="M210" s="840"/>
      <c r="N210" s="840"/>
      <c r="O210" s="840"/>
      <c r="P210" s="840"/>
      <c r="Q210" s="840"/>
      <c r="R210" s="840"/>
      <c r="S210" s="840"/>
      <c r="T210" s="840"/>
      <c r="U210" s="840"/>
      <c r="V210" s="840"/>
      <c r="W210" s="840"/>
      <c r="X210" s="840"/>
      <c r="Y210" s="840"/>
    </row>
    <row r="211" ht="15.75" customHeight="1">
      <c r="A211" s="840"/>
      <c r="B211" s="887"/>
      <c r="C211" s="887"/>
      <c r="D211" s="887"/>
      <c r="E211" s="887"/>
      <c r="F211" s="887"/>
      <c r="G211" s="840"/>
      <c r="H211" s="840"/>
      <c r="I211" s="840"/>
      <c r="J211" s="840"/>
      <c r="K211" s="840"/>
      <c r="L211" s="840"/>
      <c r="M211" s="840"/>
      <c r="N211" s="840"/>
      <c r="O211" s="840"/>
      <c r="P211" s="840"/>
      <c r="Q211" s="840"/>
      <c r="R211" s="840"/>
      <c r="S211" s="840"/>
      <c r="T211" s="840"/>
      <c r="U211" s="840"/>
      <c r="V211" s="840"/>
      <c r="W211" s="840"/>
      <c r="X211" s="840"/>
      <c r="Y211" s="840"/>
    </row>
    <row r="212" ht="15.75" customHeight="1">
      <c r="A212" s="840"/>
      <c r="B212" s="887"/>
      <c r="C212" s="887"/>
      <c r="D212" s="887"/>
      <c r="E212" s="887"/>
      <c r="F212" s="887"/>
      <c r="G212" s="840"/>
      <c r="H212" s="840"/>
      <c r="I212" s="840"/>
      <c r="J212" s="840"/>
      <c r="K212" s="840"/>
      <c r="L212" s="840"/>
      <c r="M212" s="840"/>
      <c r="N212" s="840"/>
      <c r="O212" s="840"/>
      <c r="P212" s="840"/>
      <c r="Q212" s="840"/>
      <c r="R212" s="840"/>
      <c r="S212" s="840"/>
      <c r="T212" s="840"/>
      <c r="U212" s="840"/>
      <c r="V212" s="840"/>
      <c r="W212" s="840"/>
      <c r="X212" s="840"/>
      <c r="Y212" s="840"/>
    </row>
    <row r="213" ht="15.75" customHeight="1">
      <c r="A213" s="840"/>
      <c r="B213" s="887"/>
      <c r="C213" s="887"/>
      <c r="D213" s="887"/>
      <c r="E213" s="887"/>
      <c r="F213" s="887"/>
      <c r="G213" s="840"/>
      <c r="H213" s="840"/>
      <c r="I213" s="840"/>
      <c r="J213" s="840"/>
      <c r="K213" s="840"/>
      <c r="L213" s="840"/>
      <c r="M213" s="840"/>
      <c r="N213" s="840"/>
      <c r="O213" s="840"/>
      <c r="P213" s="840"/>
      <c r="Q213" s="840"/>
      <c r="R213" s="840"/>
      <c r="S213" s="840"/>
      <c r="T213" s="840"/>
      <c r="U213" s="840"/>
      <c r="V213" s="840"/>
      <c r="W213" s="840"/>
      <c r="X213" s="840"/>
      <c r="Y213" s="840"/>
    </row>
    <row r="214" ht="15.75" customHeight="1">
      <c r="A214" s="840"/>
      <c r="B214" s="887"/>
      <c r="C214" s="887"/>
      <c r="D214" s="887"/>
      <c r="E214" s="887"/>
      <c r="F214" s="887"/>
      <c r="G214" s="840"/>
      <c r="H214" s="840"/>
      <c r="I214" s="840"/>
      <c r="J214" s="840"/>
      <c r="K214" s="840"/>
      <c r="L214" s="840"/>
      <c r="M214" s="840"/>
      <c r="N214" s="840"/>
      <c r="O214" s="840"/>
      <c r="P214" s="840"/>
      <c r="Q214" s="840"/>
      <c r="R214" s="840"/>
      <c r="S214" s="840"/>
      <c r="T214" s="840"/>
      <c r="U214" s="840"/>
      <c r="V214" s="840"/>
      <c r="W214" s="840"/>
      <c r="X214" s="840"/>
      <c r="Y214" s="840"/>
    </row>
    <row r="215" ht="15.75" customHeight="1">
      <c r="A215" s="840"/>
      <c r="B215" s="887"/>
      <c r="C215" s="887"/>
      <c r="D215" s="887"/>
      <c r="E215" s="887"/>
      <c r="F215" s="887"/>
      <c r="G215" s="840"/>
      <c r="H215" s="840"/>
      <c r="I215" s="840"/>
      <c r="J215" s="840"/>
      <c r="K215" s="840"/>
      <c r="L215" s="840"/>
      <c r="M215" s="840"/>
      <c r="N215" s="840"/>
      <c r="O215" s="840"/>
      <c r="P215" s="840"/>
      <c r="Q215" s="840"/>
      <c r="R215" s="840"/>
      <c r="S215" s="840"/>
      <c r="T215" s="840"/>
      <c r="U215" s="840"/>
      <c r="V215" s="840"/>
      <c r="W215" s="840"/>
      <c r="X215" s="840"/>
      <c r="Y215" s="840"/>
    </row>
    <row r="216" ht="15.75" customHeight="1">
      <c r="A216" s="840"/>
      <c r="B216" s="887"/>
      <c r="C216" s="887"/>
      <c r="D216" s="887"/>
      <c r="E216" s="887"/>
      <c r="F216" s="887"/>
      <c r="G216" s="840"/>
      <c r="H216" s="840"/>
      <c r="I216" s="840"/>
      <c r="J216" s="840"/>
      <c r="K216" s="840"/>
      <c r="L216" s="840"/>
      <c r="M216" s="840"/>
      <c r="N216" s="840"/>
      <c r="O216" s="840"/>
      <c r="P216" s="840"/>
      <c r="Q216" s="840"/>
      <c r="R216" s="840"/>
      <c r="S216" s="840"/>
      <c r="T216" s="840"/>
      <c r="U216" s="840"/>
      <c r="V216" s="840"/>
      <c r="W216" s="840"/>
      <c r="X216" s="840"/>
      <c r="Y216" s="840"/>
    </row>
    <row r="217" ht="15.75" customHeight="1">
      <c r="A217" s="840"/>
      <c r="B217" s="887"/>
      <c r="C217" s="887"/>
      <c r="D217" s="887"/>
      <c r="E217" s="887"/>
      <c r="F217" s="887"/>
      <c r="G217" s="840"/>
      <c r="H217" s="840"/>
      <c r="I217" s="840"/>
      <c r="J217" s="840"/>
      <c r="K217" s="840"/>
      <c r="L217" s="840"/>
      <c r="M217" s="840"/>
      <c r="N217" s="840"/>
      <c r="O217" s="840"/>
      <c r="P217" s="840"/>
      <c r="Q217" s="840"/>
      <c r="R217" s="840"/>
      <c r="S217" s="840"/>
      <c r="T217" s="840"/>
      <c r="U217" s="840"/>
      <c r="V217" s="840"/>
      <c r="W217" s="840"/>
      <c r="X217" s="840"/>
      <c r="Y217" s="840"/>
    </row>
    <row r="218" ht="15.75" customHeight="1">
      <c r="A218" s="840"/>
      <c r="B218" s="887"/>
      <c r="C218" s="887"/>
      <c r="D218" s="887"/>
      <c r="E218" s="887"/>
      <c r="F218" s="887"/>
      <c r="G218" s="840"/>
      <c r="H218" s="840"/>
      <c r="I218" s="840"/>
      <c r="J218" s="840"/>
      <c r="K218" s="840"/>
      <c r="L218" s="840"/>
      <c r="M218" s="840"/>
      <c r="N218" s="840"/>
      <c r="O218" s="840"/>
      <c r="P218" s="840"/>
      <c r="Q218" s="840"/>
      <c r="R218" s="840"/>
      <c r="S218" s="840"/>
      <c r="T218" s="840"/>
      <c r="U218" s="840"/>
      <c r="V218" s="840"/>
      <c r="W218" s="840"/>
      <c r="X218" s="840"/>
      <c r="Y218" s="840"/>
    </row>
    <row r="219" ht="15.75" customHeight="1">
      <c r="A219" s="840"/>
      <c r="B219" s="887"/>
      <c r="C219" s="887"/>
      <c r="D219" s="887"/>
      <c r="E219" s="887"/>
      <c r="F219" s="887"/>
      <c r="G219" s="840"/>
      <c r="H219" s="840"/>
      <c r="I219" s="840"/>
      <c r="J219" s="840"/>
      <c r="K219" s="840"/>
      <c r="L219" s="840"/>
      <c r="M219" s="840"/>
      <c r="N219" s="840"/>
      <c r="O219" s="840"/>
      <c r="P219" s="840"/>
      <c r="Q219" s="840"/>
      <c r="R219" s="840"/>
      <c r="S219" s="840"/>
      <c r="T219" s="840"/>
      <c r="U219" s="840"/>
      <c r="V219" s="840"/>
      <c r="W219" s="840"/>
      <c r="X219" s="840"/>
      <c r="Y219" s="840"/>
    </row>
    <row r="220" ht="15.75" customHeight="1">
      <c r="A220" s="840"/>
      <c r="B220" s="887"/>
      <c r="C220" s="887"/>
      <c r="D220" s="887"/>
      <c r="E220" s="887"/>
      <c r="F220" s="887"/>
      <c r="G220" s="840"/>
      <c r="H220" s="840"/>
      <c r="I220" s="840"/>
      <c r="J220" s="840"/>
      <c r="K220" s="840"/>
      <c r="L220" s="840"/>
      <c r="M220" s="840"/>
      <c r="N220" s="840"/>
      <c r="O220" s="840"/>
      <c r="P220" s="840"/>
      <c r="Q220" s="840"/>
      <c r="R220" s="840"/>
      <c r="S220" s="840"/>
      <c r="T220" s="840"/>
      <c r="U220" s="840"/>
      <c r="V220" s="840"/>
      <c r="W220" s="840"/>
      <c r="X220" s="840"/>
      <c r="Y220" s="840"/>
    </row>
    <row r="221" ht="15.75" customHeight="1">
      <c r="A221" s="840"/>
      <c r="B221" s="887"/>
      <c r="C221" s="887"/>
      <c r="D221" s="887"/>
      <c r="E221" s="887"/>
      <c r="F221" s="887"/>
      <c r="G221" s="840"/>
      <c r="H221" s="840"/>
      <c r="I221" s="840"/>
      <c r="J221" s="840"/>
      <c r="K221" s="840"/>
      <c r="L221" s="840"/>
      <c r="M221" s="840"/>
      <c r="N221" s="840"/>
      <c r="O221" s="840"/>
      <c r="P221" s="840"/>
      <c r="Q221" s="840"/>
      <c r="R221" s="840"/>
      <c r="S221" s="840"/>
      <c r="T221" s="840"/>
      <c r="U221" s="840"/>
      <c r="V221" s="840"/>
      <c r="W221" s="840"/>
      <c r="X221" s="840"/>
      <c r="Y221" s="840"/>
    </row>
    <row r="222" ht="15.75" customHeight="1">
      <c r="A222" s="840"/>
      <c r="B222" s="887"/>
      <c r="C222" s="887"/>
      <c r="D222" s="887"/>
      <c r="E222" s="887"/>
      <c r="F222" s="887"/>
      <c r="G222" s="840"/>
      <c r="H222" s="840"/>
      <c r="I222" s="840"/>
      <c r="J222" s="840"/>
      <c r="K222" s="840"/>
      <c r="L222" s="840"/>
      <c r="M222" s="840"/>
      <c r="N222" s="840"/>
      <c r="O222" s="840"/>
      <c r="P222" s="840"/>
      <c r="Q222" s="840"/>
      <c r="R222" s="840"/>
      <c r="S222" s="840"/>
      <c r="T222" s="840"/>
      <c r="U222" s="840"/>
      <c r="V222" s="840"/>
      <c r="W222" s="840"/>
      <c r="X222" s="840"/>
      <c r="Y222" s="840"/>
    </row>
    <row r="223" ht="15.75" customHeight="1">
      <c r="A223" s="840"/>
      <c r="B223" s="887"/>
      <c r="C223" s="887"/>
      <c r="D223" s="887"/>
      <c r="E223" s="887"/>
      <c r="F223" s="887"/>
      <c r="G223" s="840"/>
      <c r="H223" s="840"/>
      <c r="I223" s="840"/>
      <c r="J223" s="840"/>
      <c r="K223" s="840"/>
      <c r="L223" s="840"/>
      <c r="M223" s="840"/>
      <c r="N223" s="840"/>
      <c r="O223" s="840"/>
      <c r="P223" s="840"/>
      <c r="Q223" s="840"/>
      <c r="R223" s="840"/>
      <c r="S223" s="840"/>
      <c r="T223" s="840"/>
      <c r="U223" s="840"/>
      <c r="V223" s="840"/>
      <c r="W223" s="840"/>
      <c r="X223" s="840"/>
      <c r="Y223" s="840"/>
    </row>
    <row r="224" ht="15.75" customHeight="1">
      <c r="A224" s="840"/>
      <c r="B224" s="887"/>
      <c r="C224" s="887"/>
      <c r="D224" s="887"/>
      <c r="E224" s="887"/>
      <c r="F224" s="887"/>
      <c r="G224" s="840"/>
      <c r="H224" s="840"/>
      <c r="I224" s="840"/>
      <c r="J224" s="840"/>
      <c r="K224" s="840"/>
      <c r="L224" s="840"/>
      <c r="M224" s="840"/>
      <c r="N224" s="840"/>
      <c r="O224" s="840"/>
      <c r="P224" s="840"/>
      <c r="Q224" s="840"/>
      <c r="R224" s="840"/>
      <c r="S224" s="840"/>
      <c r="T224" s="840"/>
      <c r="U224" s="840"/>
      <c r="V224" s="840"/>
      <c r="W224" s="840"/>
      <c r="X224" s="840"/>
      <c r="Y224" s="840"/>
    </row>
    <row r="225" ht="15.75" customHeight="1">
      <c r="A225" s="840"/>
      <c r="B225" s="887"/>
      <c r="C225" s="887"/>
      <c r="D225" s="887"/>
      <c r="E225" s="887"/>
      <c r="F225" s="887"/>
      <c r="G225" s="840"/>
      <c r="H225" s="840"/>
      <c r="I225" s="840"/>
      <c r="J225" s="840"/>
      <c r="K225" s="840"/>
      <c r="L225" s="840"/>
      <c r="M225" s="840"/>
      <c r="N225" s="840"/>
      <c r="O225" s="840"/>
      <c r="P225" s="840"/>
      <c r="Q225" s="840"/>
      <c r="R225" s="840"/>
      <c r="S225" s="840"/>
      <c r="T225" s="840"/>
      <c r="U225" s="840"/>
      <c r="V225" s="840"/>
      <c r="W225" s="840"/>
      <c r="X225" s="840"/>
      <c r="Y225" s="840"/>
    </row>
    <row r="226" ht="15.75" customHeight="1">
      <c r="A226" s="840"/>
      <c r="B226" s="887"/>
      <c r="C226" s="887"/>
      <c r="D226" s="887"/>
      <c r="E226" s="887"/>
      <c r="F226" s="887"/>
      <c r="G226" s="840"/>
      <c r="H226" s="840"/>
      <c r="I226" s="840"/>
      <c r="J226" s="840"/>
      <c r="K226" s="840"/>
      <c r="L226" s="840"/>
      <c r="M226" s="840"/>
      <c r="N226" s="840"/>
      <c r="O226" s="840"/>
      <c r="P226" s="840"/>
      <c r="Q226" s="840"/>
      <c r="R226" s="840"/>
      <c r="S226" s="840"/>
      <c r="T226" s="840"/>
      <c r="U226" s="840"/>
      <c r="V226" s="840"/>
      <c r="W226" s="840"/>
      <c r="X226" s="840"/>
      <c r="Y226" s="840"/>
    </row>
    <row r="227" ht="15.75" customHeight="1">
      <c r="A227" s="840"/>
      <c r="B227" s="887"/>
      <c r="C227" s="887"/>
      <c r="D227" s="887"/>
      <c r="E227" s="887"/>
      <c r="F227" s="887"/>
      <c r="G227" s="840"/>
      <c r="H227" s="840"/>
      <c r="I227" s="840"/>
      <c r="J227" s="840"/>
      <c r="K227" s="840"/>
      <c r="L227" s="840"/>
      <c r="M227" s="840"/>
      <c r="N227" s="840"/>
      <c r="O227" s="840"/>
      <c r="P227" s="840"/>
      <c r="Q227" s="840"/>
      <c r="R227" s="840"/>
      <c r="S227" s="840"/>
      <c r="T227" s="840"/>
      <c r="U227" s="840"/>
      <c r="V227" s="840"/>
      <c r="W227" s="840"/>
      <c r="X227" s="840"/>
      <c r="Y227" s="840"/>
    </row>
    <row r="228" ht="15.75" customHeight="1">
      <c r="A228" s="840"/>
      <c r="B228" s="887"/>
      <c r="C228" s="887"/>
      <c r="D228" s="887"/>
      <c r="E228" s="887"/>
      <c r="F228" s="887"/>
      <c r="G228" s="840"/>
      <c r="H228" s="840"/>
      <c r="I228" s="840"/>
      <c r="J228" s="840"/>
      <c r="K228" s="840"/>
      <c r="L228" s="840"/>
      <c r="M228" s="840"/>
      <c r="N228" s="840"/>
      <c r="O228" s="840"/>
      <c r="P228" s="840"/>
      <c r="Q228" s="840"/>
      <c r="R228" s="840"/>
      <c r="S228" s="840"/>
      <c r="T228" s="840"/>
      <c r="U228" s="840"/>
      <c r="V228" s="840"/>
      <c r="W228" s="840"/>
      <c r="X228" s="840"/>
      <c r="Y228" s="840"/>
    </row>
    <row r="229" ht="15.75" customHeight="1">
      <c r="A229" s="840"/>
      <c r="B229" s="887"/>
      <c r="C229" s="887"/>
      <c r="D229" s="887"/>
      <c r="E229" s="887"/>
      <c r="F229" s="887"/>
      <c r="G229" s="840"/>
      <c r="H229" s="840"/>
      <c r="I229" s="840"/>
      <c r="J229" s="840"/>
      <c r="K229" s="840"/>
      <c r="L229" s="840"/>
      <c r="M229" s="840"/>
      <c r="N229" s="840"/>
      <c r="O229" s="840"/>
      <c r="P229" s="840"/>
      <c r="Q229" s="840"/>
      <c r="R229" s="840"/>
      <c r="S229" s="840"/>
      <c r="T229" s="840"/>
      <c r="U229" s="840"/>
      <c r="V229" s="840"/>
      <c r="W229" s="840"/>
      <c r="X229" s="840"/>
      <c r="Y229" s="840"/>
    </row>
    <row r="230" ht="15.75" customHeight="1">
      <c r="A230" s="840"/>
      <c r="B230" s="887"/>
      <c r="C230" s="887"/>
      <c r="D230" s="887"/>
      <c r="E230" s="887"/>
      <c r="F230" s="887"/>
      <c r="G230" s="840"/>
      <c r="H230" s="840"/>
      <c r="I230" s="840"/>
      <c r="J230" s="840"/>
      <c r="K230" s="840"/>
      <c r="L230" s="840"/>
      <c r="M230" s="840"/>
      <c r="N230" s="840"/>
      <c r="O230" s="840"/>
      <c r="P230" s="840"/>
      <c r="Q230" s="840"/>
      <c r="R230" s="840"/>
      <c r="S230" s="840"/>
      <c r="T230" s="840"/>
      <c r="U230" s="840"/>
      <c r="V230" s="840"/>
      <c r="W230" s="840"/>
      <c r="X230" s="840"/>
      <c r="Y230" s="840"/>
    </row>
    <row r="231" ht="15.75" customHeight="1">
      <c r="A231" s="840"/>
      <c r="B231" s="887"/>
      <c r="C231" s="887"/>
      <c r="D231" s="887"/>
      <c r="E231" s="887"/>
      <c r="F231" s="887"/>
      <c r="G231" s="840"/>
      <c r="H231" s="840"/>
      <c r="I231" s="840"/>
      <c r="J231" s="840"/>
      <c r="K231" s="840"/>
      <c r="L231" s="840"/>
      <c r="M231" s="840"/>
      <c r="N231" s="840"/>
      <c r="O231" s="840"/>
      <c r="P231" s="840"/>
      <c r="Q231" s="840"/>
      <c r="R231" s="840"/>
      <c r="S231" s="840"/>
      <c r="T231" s="840"/>
      <c r="U231" s="840"/>
      <c r="V231" s="840"/>
      <c r="W231" s="840"/>
      <c r="X231" s="840"/>
      <c r="Y231" s="840"/>
    </row>
    <row r="232" ht="15.75" customHeight="1">
      <c r="A232" s="840"/>
      <c r="B232" s="887"/>
      <c r="C232" s="887"/>
      <c r="D232" s="887"/>
      <c r="E232" s="887"/>
      <c r="F232" s="887"/>
      <c r="G232" s="840"/>
      <c r="H232" s="840"/>
      <c r="I232" s="840"/>
      <c r="J232" s="840"/>
      <c r="K232" s="840"/>
      <c r="L232" s="840"/>
      <c r="M232" s="840"/>
      <c r="N232" s="840"/>
      <c r="O232" s="840"/>
      <c r="P232" s="840"/>
      <c r="Q232" s="840"/>
      <c r="R232" s="840"/>
      <c r="S232" s="840"/>
      <c r="T232" s="840"/>
      <c r="U232" s="840"/>
      <c r="V232" s="840"/>
      <c r="W232" s="840"/>
      <c r="X232" s="840"/>
      <c r="Y232" s="840"/>
    </row>
    <row r="233" ht="15.75" customHeight="1">
      <c r="A233" s="840"/>
      <c r="B233" s="887"/>
      <c r="C233" s="887"/>
      <c r="D233" s="887"/>
      <c r="E233" s="887"/>
      <c r="F233" s="887"/>
      <c r="G233" s="840"/>
      <c r="H233" s="840"/>
      <c r="I233" s="840"/>
      <c r="J233" s="840"/>
      <c r="K233" s="840"/>
      <c r="L233" s="840"/>
      <c r="M233" s="840"/>
      <c r="N233" s="840"/>
      <c r="O233" s="840"/>
      <c r="P233" s="840"/>
      <c r="Q233" s="840"/>
      <c r="R233" s="840"/>
      <c r="S233" s="840"/>
      <c r="T233" s="840"/>
      <c r="U233" s="840"/>
      <c r="V233" s="840"/>
      <c r="W233" s="840"/>
      <c r="X233" s="840"/>
      <c r="Y233" s="840"/>
    </row>
    <row r="234" ht="15.75" customHeight="1">
      <c r="A234" s="840"/>
      <c r="B234" s="887"/>
      <c r="C234" s="887"/>
      <c r="D234" s="887"/>
      <c r="E234" s="887"/>
      <c r="F234" s="887"/>
      <c r="G234" s="840"/>
      <c r="H234" s="840"/>
      <c r="I234" s="840"/>
      <c r="J234" s="840"/>
      <c r="K234" s="840"/>
      <c r="L234" s="840"/>
      <c r="M234" s="840"/>
      <c r="N234" s="840"/>
      <c r="O234" s="840"/>
      <c r="P234" s="840"/>
      <c r="Q234" s="840"/>
      <c r="R234" s="840"/>
      <c r="S234" s="840"/>
      <c r="T234" s="840"/>
      <c r="U234" s="840"/>
      <c r="V234" s="840"/>
      <c r="W234" s="840"/>
      <c r="X234" s="840"/>
      <c r="Y234" s="840"/>
    </row>
    <row r="235" ht="15.75" customHeight="1">
      <c r="A235" s="840"/>
      <c r="B235" s="887"/>
      <c r="C235" s="887"/>
      <c r="D235" s="887"/>
      <c r="E235" s="887"/>
      <c r="F235" s="887"/>
      <c r="G235" s="840"/>
      <c r="H235" s="840"/>
      <c r="I235" s="840"/>
      <c r="J235" s="840"/>
      <c r="K235" s="840"/>
      <c r="L235" s="840"/>
      <c r="M235" s="840"/>
      <c r="N235" s="840"/>
      <c r="O235" s="840"/>
      <c r="P235" s="840"/>
      <c r="Q235" s="840"/>
      <c r="R235" s="840"/>
      <c r="S235" s="840"/>
      <c r="T235" s="840"/>
      <c r="U235" s="840"/>
      <c r="V235" s="840"/>
      <c r="W235" s="840"/>
      <c r="X235" s="840"/>
      <c r="Y235" s="840"/>
    </row>
    <row r="236" ht="15.75" customHeight="1">
      <c r="A236" s="840"/>
      <c r="B236" s="887"/>
      <c r="C236" s="887"/>
      <c r="D236" s="887"/>
      <c r="E236" s="887"/>
      <c r="F236" s="887"/>
      <c r="G236" s="840"/>
      <c r="H236" s="840"/>
      <c r="I236" s="840"/>
      <c r="J236" s="840"/>
      <c r="K236" s="840"/>
      <c r="L236" s="840"/>
      <c r="M236" s="840"/>
      <c r="N236" s="840"/>
      <c r="O236" s="840"/>
      <c r="P236" s="840"/>
      <c r="Q236" s="840"/>
      <c r="R236" s="840"/>
      <c r="S236" s="840"/>
      <c r="T236" s="840"/>
      <c r="U236" s="840"/>
      <c r="V236" s="840"/>
      <c r="W236" s="840"/>
      <c r="X236" s="840"/>
      <c r="Y236" s="840"/>
    </row>
    <row r="237" ht="15.75" customHeight="1">
      <c r="A237" s="840"/>
      <c r="B237" s="887"/>
      <c r="C237" s="887"/>
      <c r="D237" s="887"/>
      <c r="E237" s="887"/>
      <c r="F237" s="887"/>
      <c r="G237" s="840"/>
      <c r="H237" s="840"/>
      <c r="I237" s="840"/>
      <c r="J237" s="840"/>
      <c r="K237" s="840"/>
      <c r="L237" s="840"/>
      <c r="M237" s="840"/>
      <c r="N237" s="840"/>
      <c r="O237" s="840"/>
      <c r="P237" s="840"/>
      <c r="Q237" s="840"/>
      <c r="R237" s="840"/>
      <c r="S237" s="840"/>
      <c r="T237" s="840"/>
      <c r="U237" s="840"/>
      <c r="V237" s="840"/>
      <c r="W237" s="840"/>
      <c r="X237" s="840"/>
      <c r="Y237" s="840"/>
    </row>
    <row r="238" ht="15.75" customHeight="1">
      <c r="A238" s="840"/>
      <c r="B238" s="887"/>
      <c r="C238" s="887"/>
      <c r="D238" s="887"/>
      <c r="E238" s="887"/>
      <c r="F238" s="887"/>
      <c r="G238" s="840"/>
      <c r="H238" s="840"/>
      <c r="I238" s="840"/>
      <c r="J238" s="840"/>
      <c r="K238" s="840"/>
      <c r="L238" s="840"/>
      <c r="M238" s="840"/>
      <c r="N238" s="840"/>
      <c r="O238" s="840"/>
      <c r="P238" s="840"/>
      <c r="Q238" s="840"/>
      <c r="R238" s="840"/>
      <c r="S238" s="840"/>
      <c r="T238" s="840"/>
      <c r="U238" s="840"/>
      <c r="V238" s="840"/>
      <c r="W238" s="840"/>
      <c r="X238" s="840"/>
      <c r="Y238" s="840"/>
    </row>
    <row r="239" ht="15.75" customHeight="1">
      <c r="A239" s="840"/>
      <c r="B239" s="887"/>
      <c r="C239" s="887"/>
      <c r="D239" s="887"/>
      <c r="E239" s="887"/>
      <c r="F239" s="887"/>
      <c r="G239" s="840"/>
      <c r="H239" s="840"/>
      <c r="I239" s="840"/>
      <c r="J239" s="840"/>
      <c r="K239" s="840"/>
      <c r="L239" s="840"/>
      <c r="M239" s="840"/>
      <c r="N239" s="840"/>
      <c r="O239" s="840"/>
      <c r="P239" s="840"/>
      <c r="Q239" s="840"/>
      <c r="R239" s="840"/>
      <c r="S239" s="840"/>
      <c r="T239" s="840"/>
      <c r="U239" s="840"/>
      <c r="V239" s="840"/>
      <c r="W239" s="840"/>
      <c r="X239" s="840"/>
      <c r="Y239" s="840"/>
    </row>
    <row r="240" ht="15.75" customHeight="1">
      <c r="A240" s="840"/>
      <c r="B240" s="887"/>
      <c r="C240" s="887"/>
      <c r="D240" s="887"/>
      <c r="E240" s="887"/>
      <c r="F240" s="887"/>
      <c r="G240" s="840"/>
      <c r="H240" s="840"/>
      <c r="I240" s="840"/>
      <c r="J240" s="840"/>
      <c r="K240" s="840"/>
      <c r="L240" s="840"/>
      <c r="M240" s="840"/>
      <c r="N240" s="840"/>
      <c r="O240" s="840"/>
      <c r="P240" s="840"/>
      <c r="Q240" s="840"/>
      <c r="R240" s="840"/>
      <c r="S240" s="840"/>
      <c r="T240" s="840"/>
      <c r="U240" s="840"/>
      <c r="V240" s="840"/>
      <c r="W240" s="840"/>
      <c r="X240" s="840"/>
      <c r="Y240" s="840"/>
    </row>
    <row r="241" ht="15.75" customHeight="1">
      <c r="A241" s="840"/>
      <c r="B241" s="887"/>
      <c r="C241" s="887"/>
      <c r="D241" s="887"/>
      <c r="E241" s="887"/>
      <c r="F241" s="887"/>
      <c r="G241" s="840"/>
      <c r="H241" s="840"/>
      <c r="I241" s="840"/>
      <c r="J241" s="840"/>
      <c r="K241" s="840"/>
      <c r="L241" s="840"/>
      <c r="M241" s="840"/>
      <c r="N241" s="840"/>
      <c r="O241" s="840"/>
      <c r="P241" s="840"/>
      <c r="Q241" s="840"/>
      <c r="R241" s="840"/>
      <c r="S241" s="840"/>
      <c r="T241" s="840"/>
      <c r="U241" s="840"/>
      <c r="V241" s="840"/>
      <c r="W241" s="840"/>
      <c r="X241" s="840"/>
      <c r="Y241" s="840"/>
    </row>
    <row r="242" ht="15.75" customHeight="1">
      <c r="A242" s="840"/>
      <c r="B242" s="887"/>
      <c r="C242" s="887"/>
      <c r="D242" s="887"/>
      <c r="E242" s="887"/>
      <c r="F242" s="887"/>
      <c r="G242" s="840"/>
      <c r="H242" s="840"/>
      <c r="I242" s="840"/>
      <c r="J242" s="840"/>
      <c r="K242" s="840"/>
      <c r="L242" s="840"/>
      <c r="M242" s="840"/>
      <c r="N242" s="840"/>
      <c r="O242" s="840"/>
      <c r="P242" s="840"/>
      <c r="Q242" s="840"/>
      <c r="R242" s="840"/>
      <c r="S242" s="840"/>
      <c r="T242" s="840"/>
      <c r="U242" s="840"/>
      <c r="V242" s="840"/>
      <c r="W242" s="840"/>
      <c r="X242" s="840"/>
      <c r="Y242" s="840"/>
    </row>
    <row r="243" ht="15.75" customHeight="1">
      <c r="A243" s="840"/>
      <c r="B243" s="887"/>
      <c r="C243" s="887"/>
      <c r="D243" s="887"/>
      <c r="E243" s="887"/>
      <c r="F243" s="887"/>
      <c r="G243" s="840"/>
      <c r="H243" s="840"/>
      <c r="I243" s="840"/>
      <c r="J243" s="840"/>
      <c r="K243" s="840"/>
      <c r="L243" s="840"/>
      <c r="M243" s="840"/>
      <c r="N243" s="840"/>
      <c r="O243" s="840"/>
      <c r="P243" s="840"/>
      <c r="Q243" s="840"/>
      <c r="R243" s="840"/>
      <c r="S243" s="840"/>
      <c r="T243" s="840"/>
      <c r="U243" s="840"/>
      <c r="V243" s="840"/>
      <c r="W243" s="840"/>
      <c r="X243" s="840"/>
      <c r="Y243" s="840"/>
    </row>
    <row r="244" ht="15.75" customHeight="1">
      <c r="A244" s="840"/>
      <c r="B244" s="887"/>
      <c r="C244" s="887"/>
      <c r="D244" s="887"/>
      <c r="E244" s="887"/>
      <c r="F244" s="887"/>
      <c r="G244" s="840"/>
      <c r="H244" s="840"/>
      <c r="I244" s="840"/>
      <c r="J244" s="840"/>
      <c r="K244" s="840"/>
      <c r="L244" s="840"/>
      <c r="M244" s="840"/>
      <c r="N244" s="840"/>
      <c r="O244" s="840"/>
      <c r="P244" s="840"/>
      <c r="Q244" s="840"/>
      <c r="R244" s="840"/>
      <c r="S244" s="840"/>
      <c r="T244" s="840"/>
      <c r="U244" s="840"/>
      <c r="V244" s="840"/>
      <c r="W244" s="840"/>
      <c r="X244" s="840"/>
      <c r="Y244" s="840"/>
    </row>
    <row r="245" ht="15.75" customHeight="1">
      <c r="A245" s="840"/>
      <c r="B245" s="887"/>
      <c r="C245" s="887"/>
      <c r="D245" s="887"/>
      <c r="E245" s="887"/>
      <c r="F245" s="887"/>
      <c r="G245" s="840"/>
      <c r="H245" s="840"/>
      <c r="I245" s="840"/>
      <c r="J245" s="840"/>
      <c r="K245" s="840"/>
      <c r="L245" s="840"/>
      <c r="M245" s="840"/>
      <c r="N245" s="840"/>
      <c r="O245" s="840"/>
      <c r="P245" s="840"/>
      <c r="Q245" s="840"/>
      <c r="R245" s="840"/>
      <c r="S245" s="840"/>
      <c r="T245" s="840"/>
      <c r="U245" s="840"/>
      <c r="V245" s="840"/>
      <c r="W245" s="840"/>
      <c r="X245" s="840"/>
      <c r="Y245" s="840"/>
    </row>
    <row r="246" ht="15.75" customHeight="1">
      <c r="A246" s="840"/>
      <c r="B246" s="887"/>
      <c r="C246" s="887"/>
      <c r="D246" s="887"/>
      <c r="E246" s="887"/>
      <c r="F246" s="887"/>
      <c r="G246" s="840"/>
      <c r="H246" s="840"/>
      <c r="I246" s="840"/>
      <c r="J246" s="840"/>
      <c r="K246" s="840"/>
      <c r="L246" s="840"/>
      <c r="M246" s="840"/>
      <c r="N246" s="840"/>
      <c r="O246" s="840"/>
      <c r="P246" s="840"/>
      <c r="Q246" s="840"/>
      <c r="R246" s="840"/>
      <c r="S246" s="840"/>
      <c r="T246" s="840"/>
      <c r="U246" s="840"/>
      <c r="V246" s="840"/>
      <c r="W246" s="840"/>
      <c r="X246" s="840"/>
      <c r="Y246" s="840"/>
    </row>
    <row r="247" ht="15.75" customHeight="1">
      <c r="A247" s="840"/>
      <c r="B247" s="887"/>
      <c r="C247" s="887"/>
      <c r="D247" s="887"/>
      <c r="E247" s="887"/>
      <c r="F247" s="887"/>
      <c r="G247" s="840"/>
      <c r="H247" s="840"/>
      <c r="I247" s="840"/>
      <c r="J247" s="840"/>
      <c r="K247" s="840"/>
      <c r="L247" s="840"/>
      <c r="M247" s="840"/>
      <c r="N247" s="840"/>
      <c r="O247" s="840"/>
      <c r="P247" s="840"/>
      <c r="Q247" s="840"/>
      <c r="R247" s="840"/>
      <c r="S247" s="840"/>
      <c r="T247" s="840"/>
      <c r="U247" s="840"/>
      <c r="V247" s="840"/>
      <c r="W247" s="840"/>
      <c r="X247" s="840"/>
      <c r="Y247" s="840"/>
    </row>
    <row r="248" ht="15.75" customHeight="1">
      <c r="A248" s="840"/>
      <c r="B248" s="887"/>
      <c r="C248" s="887"/>
      <c r="D248" s="887"/>
      <c r="E248" s="887"/>
      <c r="F248" s="887"/>
      <c r="G248" s="840"/>
      <c r="H248" s="840"/>
      <c r="I248" s="840"/>
      <c r="J248" s="840"/>
      <c r="K248" s="840"/>
      <c r="L248" s="840"/>
      <c r="M248" s="840"/>
      <c r="N248" s="840"/>
      <c r="O248" s="840"/>
      <c r="P248" s="840"/>
      <c r="Q248" s="840"/>
      <c r="R248" s="840"/>
      <c r="S248" s="840"/>
      <c r="T248" s="840"/>
      <c r="U248" s="840"/>
      <c r="V248" s="840"/>
      <c r="W248" s="840"/>
      <c r="X248" s="840"/>
      <c r="Y248" s="840"/>
    </row>
    <row r="249" ht="15.75" customHeight="1">
      <c r="A249" s="840"/>
      <c r="B249" s="887"/>
      <c r="C249" s="887"/>
      <c r="D249" s="887"/>
      <c r="E249" s="887"/>
      <c r="F249" s="887"/>
      <c r="G249" s="840"/>
      <c r="H249" s="840"/>
      <c r="I249" s="840"/>
      <c r="J249" s="840"/>
      <c r="K249" s="840"/>
      <c r="L249" s="840"/>
      <c r="M249" s="840"/>
      <c r="N249" s="840"/>
      <c r="O249" s="840"/>
      <c r="P249" s="840"/>
      <c r="Q249" s="840"/>
      <c r="R249" s="840"/>
      <c r="S249" s="840"/>
      <c r="T249" s="840"/>
      <c r="U249" s="840"/>
      <c r="V249" s="840"/>
      <c r="W249" s="840"/>
      <c r="X249" s="840"/>
      <c r="Y249" s="840"/>
    </row>
    <row r="250" ht="15.75" customHeight="1">
      <c r="A250" s="840"/>
      <c r="B250" s="887"/>
      <c r="C250" s="887"/>
      <c r="D250" s="887"/>
      <c r="E250" s="887"/>
      <c r="F250" s="887"/>
      <c r="G250" s="840"/>
      <c r="H250" s="840"/>
      <c r="I250" s="840"/>
      <c r="J250" s="840"/>
      <c r="K250" s="840"/>
      <c r="L250" s="840"/>
      <c r="M250" s="840"/>
      <c r="N250" s="840"/>
      <c r="O250" s="840"/>
      <c r="P250" s="840"/>
      <c r="Q250" s="840"/>
      <c r="R250" s="840"/>
      <c r="S250" s="840"/>
      <c r="T250" s="840"/>
      <c r="U250" s="840"/>
      <c r="V250" s="840"/>
      <c r="W250" s="840"/>
      <c r="X250" s="840"/>
      <c r="Y250" s="840"/>
    </row>
    <row r="251" ht="15.75" customHeight="1">
      <c r="A251" s="840"/>
      <c r="B251" s="887"/>
      <c r="C251" s="887"/>
      <c r="D251" s="887"/>
      <c r="E251" s="887"/>
      <c r="F251" s="887"/>
      <c r="G251" s="840"/>
      <c r="H251" s="840"/>
      <c r="I251" s="840"/>
      <c r="J251" s="840"/>
      <c r="K251" s="840"/>
      <c r="L251" s="840"/>
      <c r="M251" s="840"/>
      <c r="N251" s="840"/>
      <c r="O251" s="840"/>
      <c r="P251" s="840"/>
      <c r="Q251" s="840"/>
      <c r="R251" s="840"/>
      <c r="S251" s="840"/>
      <c r="T251" s="840"/>
      <c r="U251" s="840"/>
      <c r="V251" s="840"/>
      <c r="W251" s="840"/>
      <c r="X251" s="840"/>
      <c r="Y251" s="840"/>
    </row>
    <row r="252" ht="15.75" customHeight="1">
      <c r="A252" s="840"/>
      <c r="B252" s="887"/>
      <c r="C252" s="887"/>
      <c r="D252" s="887"/>
      <c r="E252" s="887"/>
      <c r="F252" s="887"/>
      <c r="G252" s="840"/>
      <c r="H252" s="840"/>
      <c r="I252" s="840"/>
      <c r="J252" s="840"/>
      <c r="K252" s="840"/>
      <c r="L252" s="840"/>
      <c r="M252" s="840"/>
      <c r="N252" s="840"/>
      <c r="O252" s="840"/>
      <c r="P252" s="840"/>
      <c r="Q252" s="840"/>
      <c r="R252" s="840"/>
      <c r="S252" s="840"/>
      <c r="T252" s="840"/>
      <c r="U252" s="840"/>
      <c r="V252" s="840"/>
      <c r="W252" s="840"/>
      <c r="X252" s="840"/>
      <c r="Y252" s="840"/>
    </row>
    <row r="253" ht="15.75" customHeight="1">
      <c r="A253" s="840"/>
      <c r="B253" s="887"/>
      <c r="C253" s="887"/>
      <c r="D253" s="887"/>
      <c r="E253" s="887"/>
      <c r="F253" s="887"/>
      <c r="G253" s="840"/>
      <c r="H253" s="840"/>
      <c r="I253" s="840"/>
      <c r="J253" s="840"/>
      <c r="K253" s="840"/>
      <c r="L253" s="840"/>
      <c r="M253" s="840"/>
      <c r="N253" s="840"/>
      <c r="O253" s="840"/>
      <c r="P253" s="840"/>
      <c r="Q253" s="840"/>
      <c r="R253" s="840"/>
      <c r="S253" s="840"/>
      <c r="T253" s="840"/>
      <c r="U253" s="840"/>
      <c r="V253" s="840"/>
      <c r="W253" s="840"/>
      <c r="X253" s="840"/>
      <c r="Y253" s="840"/>
    </row>
    <row r="254" ht="15.75" customHeight="1">
      <c r="A254" s="840"/>
      <c r="B254" s="887"/>
      <c r="C254" s="887"/>
      <c r="D254" s="887"/>
      <c r="E254" s="887"/>
      <c r="F254" s="887"/>
      <c r="G254" s="840"/>
      <c r="H254" s="840"/>
      <c r="I254" s="840"/>
      <c r="J254" s="840"/>
      <c r="K254" s="840"/>
      <c r="L254" s="840"/>
      <c r="M254" s="840"/>
      <c r="N254" s="840"/>
      <c r="O254" s="840"/>
      <c r="P254" s="840"/>
      <c r="Q254" s="840"/>
      <c r="R254" s="840"/>
      <c r="S254" s="840"/>
      <c r="T254" s="840"/>
      <c r="U254" s="840"/>
      <c r="V254" s="840"/>
      <c r="W254" s="840"/>
      <c r="X254" s="840"/>
      <c r="Y254" s="840"/>
    </row>
    <row r="255" ht="15.75" customHeight="1">
      <c r="A255" s="840"/>
      <c r="B255" s="887"/>
      <c r="C255" s="887"/>
      <c r="D255" s="887"/>
      <c r="E255" s="887"/>
      <c r="F255" s="887"/>
      <c r="G255" s="840"/>
      <c r="H255" s="840"/>
      <c r="I255" s="840"/>
      <c r="J255" s="840"/>
      <c r="K255" s="840"/>
      <c r="L255" s="840"/>
      <c r="M255" s="840"/>
      <c r="N255" s="840"/>
      <c r="O255" s="840"/>
      <c r="P255" s="840"/>
      <c r="Q255" s="840"/>
      <c r="R255" s="840"/>
      <c r="S255" s="840"/>
      <c r="T255" s="840"/>
      <c r="U255" s="840"/>
      <c r="V255" s="840"/>
      <c r="W255" s="840"/>
      <c r="X255" s="840"/>
      <c r="Y255" s="840"/>
    </row>
    <row r="256" ht="15.75" customHeight="1">
      <c r="A256" s="840"/>
      <c r="B256" s="887"/>
      <c r="C256" s="887"/>
      <c r="D256" s="887"/>
      <c r="E256" s="887"/>
      <c r="F256" s="887"/>
      <c r="G256" s="840"/>
      <c r="H256" s="840"/>
      <c r="I256" s="840"/>
      <c r="J256" s="840"/>
      <c r="K256" s="840"/>
      <c r="L256" s="840"/>
      <c r="M256" s="840"/>
      <c r="N256" s="840"/>
      <c r="O256" s="840"/>
      <c r="P256" s="840"/>
      <c r="Q256" s="840"/>
      <c r="R256" s="840"/>
      <c r="S256" s="840"/>
      <c r="T256" s="840"/>
      <c r="U256" s="840"/>
      <c r="V256" s="840"/>
      <c r="W256" s="840"/>
      <c r="X256" s="840"/>
      <c r="Y256" s="840"/>
    </row>
    <row r="257" ht="15.75" customHeight="1">
      <c r="A257" s="840"/>
      <c r="B257" s="887"/>
      <c r="C257" s="887"/>
      <c r="D257" s="887"/>
      <c r="E257" s="887"/>
      <c r="F257" s="887"/>
      <c r="G257" s="840"/>
      <c r="H257" s="840"/>
      <c r="I257" s="840"/>
      <c r="J257" s="840"/>
      <c r="K257" s="840"/>
      <c r="L257" s="840"/>
      <c r="M257" s="840"/>
      <c r="N257" s="840"/>
      <c r="O257" s="840"/>
      <c r="P257" s="840"/>
      <c r="Q257" s="840"/>
      <c r="R257" s="840"/>
      <c r="S257" s="840"/>
      <c r="T257" s="840"/>
      <c r="U257" s="840"/>
      <c r="V257" s="840"/>
      <c r="W257" s="840"/>
      <c r="X257" s="840"/>
      <c r="Y257" s="840"/>
    </row>
    <row r="258" ht="15.75" customHeight="1">
      <c r="A258" s="840"/>
      <c r="B258" s="887"/>
      <c r="C258" s="887"/>
      <c r="D258" s="887"/>
      <c r="E258" s="887"/>
      <c r="F258" s="887"/>
      <c r="G258" s="840"/>
      <c r="H258" s="840"/>
      <c r="I258" s="840"/>
      <c r="J258" s="840"/>
      <c r="K258" s="840"/>
      <c r="L258" s="840"/>
      <c r="M258" s="840"/>
      <c r="N258" s="840"/>
      <c r="O258" s="840"/>
      <c r="P258" s="840"/>
      <c r="Q258" s="840"/>
      <c r="R258" s="840"/>
      <c r="S258" s="840"/>
      <c r="T258" s="840"/>
      <c r="U258" s="840"/>
      <c r="V258" s="840"/>
      <c r="W258" s="840"/>
      <c r="X258" s="840"/>
      <c r="Y258" s="840"/>
    </row>
    <row r="259" ht="15.75" customHeight="1">
      <c r="A259" s="840"/>
      <c r="B259" s="887"/>
      <c r="C259" s="887"/>
      <c r="D259" s="887"/>
      <c r="E259" s="887"/>
      <c r="F259" s="887"/>
      <c r="G259" s="840"/>
      <c r="H259" s="840"/>
      <c r="I259" s="840"/>
      <c r="J259" s="840"/>
      <c r="K259" s="840"/>
      <c r="L259" s="840"/>
      <c r="M259" s="840"/>
      <c r="N259" s="840"/>
      <c r="O259" s="840"/>
      <c r="P259" s="840"/>
      <c r="Q259" s="840"/>
      <c r="R259" s="840"/>
      <c r="S259" s="840"/>
      <c r="T259" s="840"/>
      <c r="U259" s="840"/>
      <c r="V259" s="840"/>
      <c r="W259" s="840"/>
      <c r="X259" s="840"/>
      <c r="Y259" s="840"/>
    </row>
    <row r="260" ht="15.75" customHeight="1">
      <c r="A260" s="840"/>
      <c r="B260" s="887"/>
      <c r="C260" s="887"/>
      <c r="D260" s="887"/>
      <c r="E260" s="887"/>
      <c r="F260" s="887"/>
      <c r="G260" s="840"/>
      <c r="H260" s="840"/>
      <c r="I260" s="840"/>
      <c r="J260" s="840"/>
      <c r="K260" s="840"/>
      <c r="L260" s="840"/>
      <c r="M260" s="840"/>
      <c r="N260" s="840"/>
      <c r="O260" s="840"/>
      <c r="P260" s="840"/>
      <c r="Q260" s="840"/>
      <c r="R260" s="840"/>
      <c r="S260" s="840"/>
      <c r="T260" s="840"/>
      <c r="U260" s="840"/>
      <c r="V260" s="840"/>
      <c r="W260" s="840"/>
      <c r="X260" s="840"/>
      <c r="Y260" s="840"/>
    </row>
    <row r="261" ht="15.75" customHeight="1">
      <c r="A261" s="840"/>
      <c r="B261" s="887"/>
      <c r="C261" s="887"/>
      <c r="D261" s="887"/>
      <c r="E261" s="887"/>
      <c r="F261" s="887"/>
      <c r="G261" s="840"/>
      <c r="H261" s="840"/>
      <c r="I261" s="840"/>
      <c r="J261" s="840"/>
      <c r="K261" s="840"/>
      <c r="L261" s="840"/>
      <c r="M261" s="840"/>
      <c r="N261" s="840"/>
      <c r="O261" s="840"/>
      <c r="P261" s="840"/>
      <c r="Q261" s="840"/>
      <c r="R261" s="840"/>
      <c r="S261" s="840"/>
      <c r="T261" s="840"/>
      <c r="U261" s="840"/>
      <c r="V261" s="840"/>
      <c r="W261" s="840"/>
      <c r="X261" s="840"/>
      <c r="Y261" s="840"/>
    </row>
    <row r="262" ht="15.75" customHeight="1">
      <c r="A262" s="840"/>
      <c r="B262" s="887"/>
      <c r="C262" s="887"/>
      <c r="D262" s="887"/>
      <c r="E262" s="887"/>
      <c r="F262" s="887"/>
      <c r="G262" s="840"/>
      <c r="H262" s="840"/>
      <c r="I262" s="840"/>
      <c r="J262" s="840"/>
      <c r="K262" s="840"/>
      <c r="L262" s="840"/>
      <c r="M262" s="840"/>
      <c r="N262" s="840"/>
      <c r="O262" s="840"/>
      <c r="P262" s="840"/>
      <c r="Q262" s="840"/>
      <c r="R262" s="840"/>
      <c r="S262" s="840"/>
      <c r="T262" s="840"/>
      <c r="U262" s="840"/>
      <c r="V262" s="840"/>
      <c r="W262" s="840"/>
      <c r="X262" s="840"/>
      <c r="Y262" s="840"/>
    </row>
    <row r="263" ht="15.75" customHeight="1">
      <c r="A263" s="840"/>
      <c r="B263" s="887"/>
      <c r="C263" s="887"/>
      <c r="D263" s="887"/>
      <c r="E263" s="887"/>
      <c r="F263" s="887"/>
      <c r="G263" s="840"/>
      <c r="H263" s="840"/>
      <c r="I263" s="840"/>
      <c r="J263" s="840"/>
      <c r="K263" s="840"/>
      <c r="L263" s="840"/>
      <c r="M263" s="840"/>
      <c r="N263" s="840"/>
      <c r="O263" s="840"/>
      <c r="P263" s="840"/>
      <c r="Q263" s="840"/>
      <c r="R263" s="840"/>
      <c r="S263" s="840"/>
      <c r="T263" s="840"/>
      <c r="U263" s="840"/>
      <c r="V263" s="840"/>
      <c r="W263" s="840"/>
      <c r="X263" s="840"/>
      <c r="Y263" s="840"/>
    </row>
    <row r="264" ht="15.75" customHeight="1">
      <c r="A264" s="840"/>
      <c r="B264" s="887"/>
      <c r="C264" s="887"/>
      <c r="D264" s="887"/>
      <c r="E264" s="887"/>
      <c r="F264" s="887"/>
      <c r="G264" s="840"/>
      <c r="H264" s="840"/>
      <c r="I264" s="840"/>
      <c r="J264" s="840"/>
      <c r="K264" s="840"/>
      <c r="L264" s="840"/>
      <c r="M264" s="840"/>
      <c r="N264" s="840"/>
      <c r="O264" s="840"/>
      <c r="P264" s="840"/>
      <c r="Q264" s="840"/>
      <c r="R264" s="840"/>
      <c r="S264" s="840"/>
      <c r="T264" s="840"/>
      <c r="U264" s="840"/>
      <c r="V264" s="840"/>
      <c r="W264" s="840"/>
      <c r="X264" s="840"/>
      <c r="Y264" s="840"/>
    </row>
    <row r="265" ht="15.75" customHeight="1">
      <c r="A265" s="840"/>
      <c r="B265" s="887"/>
      <c r="C265" s="887"/>
      <c r="D265" s="887"/>
      <c r="E265" s="887"/>
      <c r="F265" s="887"/>
      <c r="G265" s="840"/>
      <c r="H265" s="840"/>
      <c r="I265" s="840"/>
      <c r="J265" s="840"/>
      <c r="K265" s="840"/>
      <c r="L265" s="840"/>
      <c r="M265" s="840"/>
      <c r="N265" s="840"/>
      <c r="O265" s="840"/>
      <c r="P265" s="840"/>
      <c r="Q265" s="840"/>
      <c r="R265" s="840"/>
      <c r="S265" s="840"/>
      <c r="T265" s="840"/>
      <c r="U265" s="840"/>
      <c r="V265" s="840"/>
      <c r="W265" s="840"/>
      <c r="X265" s="840"/>
      <c r="Y265" s="840"/>
    </row>
    <row r="266" ht="15.75" customHeight="1">
      <c r="A266" s="840"/>
      <c r="B266" s="887"/>
      <c r="C266" s="887"/>
      <c r="D266" s="887"/>
      <c r="E266" s="887"/>
      <c r="F266" s="887"/>
      <c r="G266" s="840"/>
      <c r="H266" s="840"/>
      <c r="I266" s="840"/>
      <c r="J266" s="840"/>
      <c r="K266" s="840"/>
      <c r="L266" s="840"/>
      <c r="M266" s="840"/>
      <c r="N266" s="840"/>
      <c r="O266" s="840"/>
      <c r="P266" s="840"/>
      <c r="Q266" s="840"/>
      <c r="R266" s="840"/>
      <c r="S266" s="840"/>
      <c r="T266" s="840"/>
      <c r="U266" s="840"/>
      <c r="V266" s="840"/>
      <c r="W266" s="840"/>
      <c r="X266" s="840"/>
      <c r="Y266" s="840"/>
    </row>
    <row r="267" ht="15.75" customHeight="1">
      <c r="A267" s="840"/>
      <c r="B267" s="887"/>
      <c r="C267" s="887"/>
      <c r="D267" s="887"/>
      <c r="E267" s="887"/>
      <c r="F267" s="887"/>
      <c r="G267" s="840"/>
      <c r="H267" s="840"/>
      <c r="I267" s="840"/>
      <c r="J267" s="840"/>
      <c r="K267" s="840"/>
      <c r="L267" s="840"/>
      <c r="M267" s="840"/>
      <c r="N267" s="840"/>
      <c r="O267" s="840"/>
      <c r="P267" s="840"/>
      <c r="Q267" s="840"/>
      <c r="R267" s="840"/>
      <c r="S267" s="840"/>
      <c r="T267" s="840"/>
      <c r="U267" s="840"/>
      <c r="V267" s="840"/>
      <c r="W267" s="840"/>
      <c r="X267" s="840"/>
      <c r="Y267" s="840"/>
    </row>
    <row r="268" ht="15.75" customHeight="1">
      <c r="A268" s="840"/>
      <c r="B268" s="887"/>
      <c r="C268" s="887"/>
      <c r="D268" s="887"/>
      <c r="E268" s="887"/>
      <c r="F268" s="887"/>
      <c r="G268" s="840"/>
      <c r="H268" s="840"/>
      <c r="I268" s="840"/>
      <c r="J268" s="840"/>
      <c r="K268" s="840"/>
      <c r="L268" s="840"/>
      <c r="M268" s="840"/>
      <c r="N268" s="840"/>
      <c r="O268" s="840"/>
      <c r="P268" s="840"/>
      <c r="Q268" s="840"/>
      <c r="R268" s="840"/>
      <c r="S268" s="840"/>
      <c r="T268" s="840"/>
      <c r="U268" s="840"/>
      <c r="V268" s="840"/>
      <c r="W268" s="840"/>
      <c r="X268" s="840"/>
      <c r="Y268" s="840"/>
    </row>
    <row r="269" ht="15.75" customHeight="1">
      <c r="A269" s="840"/>
      <c r="B269" s="887"/>
      <c r="C269" s="887"/>
      <c r="D269" s="887"/>
      <c r="E269" s="887"/>
      <c r="F269" s="887"/>
      <c r="G269" s="840"/>
      <c r="H269" s="840"/>
      <c r="I269" s="840"/>
      <c r="J269" s="840"/>
      <c r="K269" s="840"/>
      <c r="L269" s="840"/>
      <c r="M269" s="840"/>
      <c r="N269" s="840"/>
      <c r="O269" s="840"/>
      <c r="P269" s="840"/>
      <c r="Q269" s="840"/>
      <c r="R269" s="840"/>
      <c r="S269" s="840"/>
      <c r="T269" s="840"/>
      <c r="U269" s="840"/>
      <c r="V269" s="840"/>
      <c r="W269" s="840"/>
      <c r="X269" s="840"/>
      <c r="Y269" s="840"/>
    </row>
    <row r="270" ht="15.75" customHeight="1">
      <c r="A270" s="840"/>
      <c r="B270" s="887"/>
      <c r="C270" s="887"/>
      <c r="D270" s="887"/>
      <c r="E270" s="887"/>
      <c r="F270" s="887"/>
      <c r="G270" s="840"/>
      <c r="H270" s="840"/>
      <c r="I270" s="840"/>
      <c r="J270" s="840"/>
      <c r="K270" s="840"/>
      <c r="L270" s="840"/>
      <c r="M270" s="840"/>
      <c r="N270" s="840"/>
      <c r="O270" s="840"/>
      <c r="P270" s="840"/>
      <c r="Q270" s="840"/>
      <c r="R270" s="840"/>
      <c r="S270" s="840"/>
      <c r="T270" s="840"/>
      <c r="U270" s="840"/>
      <c r="V270" s="840"/>
      <c r="W270" s="840"/>
      <c r="X270" s="840"/>
      <c r="Y270" s="840"/>
    </row>
    <row r="271" ht="15.75" customHeight="1">
      <c r="A271" s="840"/>
      <c r="B271" s="887"/>
      <c r="C271" s="887"/>
      <c r="D271" s="887"/>
      <c r="E271" s="887"/>
      <c r="F271" s="887"/>
      <c r="G271" s="840"/>
      <c r="H271" s="840"/>
      <c r="I271" s="840"/>
      <c r="J271" s="840"/>
      <c r="K271" s="840"/>
      <c r="L271" s="840"/>
      <c r="M271" s="840"/>
      <c r="N271" s="840"/>
      <c r="O271" s="840"/>
      <c r="P271" s="840"/>
      <c r="Q271" s="840"/>
      <c r="R271" s="840"/>
      <c r="S271" s="840"/>
      <c r="T271" s="840"/>
      <c r="U271" s="840"/>
      <c r="V271" s="840"/>
      <c r="W271" s="840"/>
      <c r="X271" s="840"/>
      <c r="Y271" s="840"/>
    </row>
    <row r="272" ht="15.75" customHeight="1">
      <c r="A272" s="840"/>
      <c r="B272" s="887"/>
      <c r="C272" s="887"/>
      <c r="D272" s="887"/>
      <c r="E272" s="887"/>
      <c r="F272" s="887"/>
      <c r="G272" s="840"/>
      <c r="H272" s="840"/>
      <c r="I272" s="840"/>
      <c r="J272" s="840"/>
      <c r="K272" s="840"/>
      <c r="L272" s="840"/>
      <c r="M272" s="840"/>
      <c r="N272" s="840"/>
      <c r="O272" s="840"/>
      <c r="P272" s="840"/>
      <c r="Q272" s="840"/>
      <c r="R272" s="840"/>
      <c r="S272" s="840"/>
      <c r="T272" s="840"/>
      <c r="U272" s="840"/>
      <c r="V272" s="840"/>
      <c r="W272" s="840"/>
      <c r="X272" s="840"/>
      <c r="Y272" s="840"/>
    </row>
    <row r="273" ht="15.75" customHeight="1">
      <c r="A273" s="840"/>
      <c r="B273" s="887"/>
      <c r="C273" s="887"/>
      <c r="D273" s="887"/>
      <c r="E273" s="887"/>
      <c r="F273" s="887"/>
      <c r="G273" s="840"/>
      <c r="H273" s="840"/>
      <c r="I273" s="840"/>
      <c r="J273" s="840"/>
      <c r="K273" s="840"/>
      <c r="L273" s="840"/>
      <c r="M273" s="840"/>
      <c r="N273" s="840"/>
      <c r="O273" s="840"/>
      <c r="P273" s="840"/>
      <c r="Q273" s="840"/>
      <c r="R273" s="840"/>
      <c r="S273" s="840"/>
      <c r="T273" s="840"/>
      <c r="U273" s="840"/>
      <c r="V273" s="840"/>
      <c r="W273" s="840"/>
      <c r="X273" s="840"/>
      <c r="Y273" s="840"/>
    </row>
    <row r="274" ht="15.75" customHeight="1">
      <c r="A274" s="840"/>
      <c r="B274" s="887"/>
      <c r="C274" s="887"/>
      <c r="D274" s="887"/>
      <c r="E274" s="887"/>
      <c r="F274" s="887"/>
      <c r="G274" s="840"/>
      <c r="H274" s="840"/>
      <c r="I274" s="840"/>
      <c r="J274" s="840"/>
      <c r="K274" s="840"/>
      <c r="L274" s="840"/>
      <c r="M274" s="840"/>
      <c r="N274" s="840"/>
      <c r="O274" s="840"/>
      <c r="P274" s="840"/>
      <c r="Q274" s="840"/>
      <c r="R274" s="840"/>
      <c r="S274" s="840"/>
      <c r="T274" s="840"/>
      <c r="U274" s="840"/>
      <c r="V274" s="840"/>
      <c r="W274" s="840"/>
      <c r="X274" s="840"/>
      <c r="Y274" s="840"/>
    </row>
    <row r="275" ht="15.75" customHeight="1">
      <c r="A275" s="840"/>
      <c r="B275" s="887"/>
      <c r="C275" s="887"/>
      <c r="D275" s="887"/>
      <c r="E275" s="887"/>
      <c r="F275" s="887"/>
      <c r="G275" s="840"/>
      <c r="H275" s="840"/>
      <c r="I275" s="840"/>
      <c r="J275" s="840"/>
      <c r="K275" s="840"/>
      <c r="L275" s="840"/>
      <c r="M275" s="840"/>
      <c r="N275" s="840"/>
      <c r="O275" s="840"/>
      <c r="P275" s="840"/>
      <c r="Q275" s="840"/>
      <c r="R275" s="840"/>
      <c r="S275" s="840"/>
      <c r="T275" s="840"/>
      <c r="U275" s="840"/>
      <c r="V275" s="840"/>
      <c r="W275" s="840"/>
      <c r="X275" s="840"/>
      <c r="Y275" s="840"/>
    </row>
    <row r="276" ht="15.75" customHeight="1">
      <c r="A276" s="840"/>
      <c r="B276" s="887"/>
      <c r="C276" s="887"/>
      <c r="D276" s="887"/>
      <c r="E276" s="887"/>
      <c r="F276" s="887"/>
      <c r="G276" s="840"/>
      <c r="H276" s="840"/>
      <c r="I276" s="840"/>
      <c r="J276" s="840"/>
      <c r="K276" s="840"/>
      <c r="L276" s="840"/>
      <c r="M276" s="840"/>
      <c r="N276" s="840"/>
      <c r="O276" s="840"/>
      <c r="P276" s="840"/>
      <c r="Q276" s="840"/>
      <c r="R276" s="840"/>
      <c r="S276" s="840"/>
      <c r="T276" s="840"/>
      <c r="U276" s="840"/>
      <c r="V276" s="840"/>
      <c r="W276" s="840"/>
      <c r="X276" s="840"/>
      <c r="Y276" s="840"/>
    </row>
    <row r="277" ht="15.75" customHeight="1">
      <c r="A277" s="840"/>
      <c r="B277" s="887"/>
      <c r="C277" s="887"/>
      <c r="D277" s="887"/>
      <c r="E277" s="887"/>
      <c r="F277" s="887"/>
      <c r="G277" s="840"/>
      <c r="H277" s="840"/>
      <c r="I277" s="840"/>
      <c r="J277" s="840"/>
      <c r="K277" s="840"/>
      <c r="L277" s="840"/>
      <c r="M277" s="840"/>
      <c r="N277" s="840"/>
      <c r="O277" s="840"/>
      <c r="P277" s="840"/>
      <c r="Q277" s="840"/>
      <c r="R277" s="840"/>
      <c r="S277" s="840"/>
      <c r="T277" s="840"/>
      <c r="U277" s="840"/>
      <c r="V277" s="840"/>
      <c r="W277" s="840"/>
      <c r="X277" s="840"/>
      <c r="Y277" s="840"/>
    </row>
    <row r="278" ht="15.75" customHeight="1">
      <c r="A278" s="840"/>
      <c r="B278" s="887"/>
      <c r="C278" s="887"/>
      <c r="D278" s="887"/>
      <c r="E278" s="887"/>
      <c r="F278" s="887"/>
      <c r="G278" s="840"/>
      <c r="H278" s="840"/>
      <c r="I278" s="840"/>
      <c r="J278" s="840"/>
      <c r="K278" s="840"/>
      <c r="L278" s="840"/>
      <c r="M278" s="840"/>
      <c r="N278" s="840"/>
      <c r="O278" s="840"/>
      <c r="P278" s="840"/>
      <c r="Q278" s="840"/>
      <c r="R278" s="840"/>
      <c r="S278" s="840"/>
      <c r="T278" s="840"/>
      <c r="U278" s="840"/>
      <c r="V278" s="840"/>
      <c r="W278" s="840"/>
      <c r="X278" s="840"/>
      <c r="Y278" s="840"/>
    </row>
    <row r="279" ht="15.75" customHeight="1">
      <c r="A279" s="840"/>
      <c r="B279" s="887"/>
      <c r="C279" s="887"/>
      <c r="D279" s="887"/>
      <c r="E279" s="887"/>
      <c r="F279" s="887"/>
      <c r="G279" s="840"/>
      <c r="H279" s="840"/>
      <c r="I279" s="840"/>
      <c r="J279" s="840"/>
      <c r="K279" s="840"/>
      <c r="L279" s="840"/>
      <c r="M279" s="840"/>
      <c r="N279" s="840"/>
      <c r="O279" s="840"/>
      <c r="P279" s="840"/>
      <c r="Q279" s="840"/>
      <c r="R279" s="840"/>
      <c r="S279" s="840"/>
      <c r="T279" s="840"/>
      <c r="U279" s="840"/>
      <c r="V279" s="840"/>
      <c r="W279" s="840"/>
      <c r="X279" s="840"/>
      <c r="Y279" s="840"/>
    </row>
    <row r="280" ht="15.75" customHeight="1">
      <c r="A280" s="840"/>
      <c r="B280" s="887"/>
      <c r="C280" s="887"/>
      <c r="D280" s="887"/>
      <c r="E280" s="887"/>
      <c r="F280" s="887"/>
      <c r="G280" s="840"/>
      <c r="H280" s="840"/>
      <c r="I280" s="840"/>
      <c r="J280" s="840"/>
      <c r="K280" s="840"/>
      <c r="L280" s="840"/>
      <c r="M280" s="840"/>
      <c r="N280" s="840"/>
      <c r="O280" s="840"/>
      <c r="P280" s="840"/>
      <c r="Q280" s="840"/>
      <c r="R280" s="840"/>
      <c r="S280" s="840"/>
      <c r="T280" s="840"/>
      <c r="U280" s="840"/>
      <c r="V280" s="840"/>
      <c r="W280" s="840"/>
      <c r="X280" s="840"/>
      <c r="Y280" s="840"/>
    </row>
    <row r="281" ht="15.75" customHeight="1">
      <c r="A281" s="840"/>
      <c r="B281" s="887"/>
      <c r="C281" s="887"/>
      <c r="D281" s="887"/>
      <c r="E281" s="887"/>
      <c r="F281" s="887"/>
      <c r="G281" s="840"/>
      <c r="H281" s="840"/>
      <c r="I281" s="840"/>
      <c r="J281" s="840"/>
      <c r="K281" s="840"/>
      <c r="L281" s="840"/>
      <c r="M281" s="840"/>
      <c r="N281" s="840"/>
      <c r="O281" s="840"/>
      <c r="P281" s="840"/>
      <c r="Q281" s="840"/>
      <c r="R281" s="840"/>
      <c r="S281" s="840"/>
      <c r="T281" s="840"/>
      <c r="U281" s="840"/>
      <c r="V281" s="840"/>
      <c r="W281" s="840"/>
      <c r="X281" s="840"/>
      <c r="Y281" s="840"/>
    </row>
    <row r="282" ht="15.75" customHeight="1">
      <c r="A282" s="840"/>
      <c r="B282" s="887"/>
      <c r="C282" s="887"/>
      <c r="D282" s="887"/>
      <c r="E282" s="887"/>
      <c r="F282" s="887"/>
      <c r="G282" s="840"/>
      <c r="H282" s="840"/>
      <c r="I282" s="840"/>
      <c r="J282" s="840"/>
      <c r="K282" s="840"/>
      <c r="L282" s="840"/>
      <c r="M282" s="840"/>
      <c r="N282" s="840"/>
      <c r="O282" s="840"/>
      <c r="P282" s="840"/>
      <c r="Q282" s="840"/>
      <c r="R282" s="840"/>
      <c r="S282" s="840"/>
      <c r="T282" s="840"/>
      <c r="U282" s="840"/>
      <c r="V282" s="840"/>
      <c r="W282" s="840"/>
      <c r="X282" s="840"/>
      <c r="Y282" s="840"/>
    </row>
    <row r="283" ht="15.75" customHeight="1">
      <c r="A283" s="840"/>
      <c r="B283" s="887"/>
      <c r="C283" s="887"/>
      <c r="D283" s="887"/>
      <c r="E283" s="887"/>
      <c r="F283" s="887"/>
      <c r="G283" s="840"/>
      <c r="H283" s="840"/>
      <c r="I283" s="840"/>
      <c r="J283" s="840"/>
      <c r="K283" s="840"/>
      <c r="L283" s="840"/>
      <c r="M283" s="840"/>
      <c r="N283" s="840"/>
      <c r="O283" s="840"/>
      <c r="P283" s="840"/>
      <c r="Q283" s="840"/>
      <c r="R283" s="840"/>
      <c r="S283" s="840"/>
      <c r="T283" s="840"/>
      <c r="U283" s="840"/>
      <c r="V283" s="840"/>
      <c r="W283" s="840"/>
      <c r="X283" s="840"/>
      <c r="Y283" s="840"/>
    </row>
    <row r="284" ht="15.75" customHeight="1">
      <c r="A284" s="840"/>
      <c r="B284" s="887"/>
      <c r="C284" s="887"/>
      <c r="D284" s="887"/>
      <c r="E284" s="887"/>
      <c r="F284" s="887"/>
      <c r="G284" s="840"/>
      <c r="H284" s="840"/>
      <c r="I284" s="840"/>
      <c r="J284" s="840"/>
      <c r="K284" s="840"/>
      <c r="L284" s="840"/>
      <c r="M284" s="840"/>
      <c r="N284" s="840"/>
      <c r="O284" s="840"/>
      <c r="P284" s="840"/>
      <c r="Q284" s="840"/>
      <c r="R284" s="840"/>
      <c r="S284" s="840"/>
      <c r="T284" s="840"/>
      <c r="U284" s="840"/>
      <c r="V284" s="840"/>
      <c r="W284" s="840"/>
      <c r="X284" s="840"/>
      <c r="Y284" s="840"/>
    </row>
    <row r="285" ht="15.75" customHeight="1">
      <c r="A285" s="840"/>
      <c r="B285" s="887"/>
      <c r="C285" s="887"/>
      <c r="D285" s="887"/>
      <c r="E285" s="887"/>
      <c r="F285" s="887"/>
      <c r="G285" s="840"/>
      <c r="H285" s="840"/>
      <c r="I285" s="840"/>
      <c r="J285" s="840"/>
      <c r="K285" s="840"/>
      <c r="L285" s="840"/>
      <c r="M285" s="840"/>
      <c r="N285" s="840"/>
      <c r="O285" s="840"/>
      <c r="P285" s="840"/>
      <c r="Q285" s="840"/>
      <c r="R285" s="840"/>
      <c r="S285" s="840"/>
      <c r="T285" s="840"/>
      <c r="U285" s="840"/>
      <c r="V285" s="840"/>
      <c r="W285" s="840"/>
      <c r="X285" s="840"/>
      <c r="Y285" s="840"/>
    </row>
    <row r="286" ht="15.75" customHeight="1">
      <c r="A286" s="840"/>
      <c r="B286" s="887"/>
      <c r="C286" s="887"/>
      <c r="D286" s="887"/>
      <c r="E286" s="887"/>
      <c r="F286" s="887"/>
      <c r="G286" s="840"/>
      <c r="H286" s="840"/>
      <c r="I286" s="840"/>
      <c r="J286" s="840"/>
      <c r="K286" s="840"/>
      <c r="L286" s="840"/>
      <c r="M286" s="840"/>
      <c r="N286" s="840"/>
      <c r="O286" s="840"/>
      <c r="P286" s="840"/>
      <c r="Q286" s="840"/>
      <c r="R286" s="840"/>
      <c r="S286" s="840"/>
      <c r="T286" s="840"/>
      <c r="U286" s="840"/>
      <c r="V286" s="840"/>
      <c r="W286" s="840"/>
      <c r="X286" s="840"/>
      <c r="Y286" s="840"/>
    </row>
    <row r="287" ht="15.75" customHeight="1">
      <c r="A287" s="840"/>
      <c r="B287" s="887"/>
      <c r="C287" s="887"/>
      <c r="D287" s="887"/>
      <c r="E287" s="887"/>
      <c r="F287" s="887"/>
      <c r="G287" s="840"/>
      <c r="H287" s="840"/>
      <c r="I287" s="840"/>
      <c r="J287" s="840"/>
      <c r="K287" s="840"/>
      <c r="L287" s="840"/>
      <c r="M287" s="840"/>
      <c r="N287" s="840"/>
      <c r="O287" s="840"/>
      <c r="P287" s="840"/>
      <c r="Q287" s="840"/>
      <c r="R287" s="840"/>
      <c r="S287" s="840"/>
      <c r="T287" s="840"/>
      <c r="U287" s="840"/>
      <c r="V287" s="840"/>
      <c r="W287" s="840"/>
      <c r="X287" s="840"/>
      <c r="Y287" s="840"/>
    </row>
    <row r="288" ht="15.75" customHeight="1">
      <c r="A288" s="840"/>
      <c r="B288" s="887"/>
      <c r="C288" s="887"/>
      <c r="D288" s="887"/>
      <c r="E288" s="887"/>
      <c r="F288" s="887"/>
      <c r="G288" s="840"/>
      <c r="H288" s="840"/>
      <c r="I288" s="840"/>
      <c r="J288" s="840"/>
      <c r="K288" s="840"/>
      <c r="L288" s="840"/>
      <c r="M288" s="840"/>
      <c r="N288" s="840"/>
      <c r="O288" s="840"/>
      <c r="P288" s="840"/>
      <c r="Q288" s="840"/>
      <c r="R288" s="840"/>
      <c r="S288" s="840"/>
      <c r="T288" s="840"/>
      <c r="U288" s="840"/>
      <c r="V288" s="840"/>
      <c r="W288" s="840"/>
      <c r="X288" s="840"/>
      <c r="Y288" s="840"/>
    </row>
    <row r="289" ht="15.75" customHeight="1">
      <c r="A289" s="840"/>
      <c r="B289" s="887"/>
      <c r="C289" s="887"/>
      <c r="D289" s="887"/>
      <c r="E289" s="887"/>
      <c r="F289" s="887"/>
      <c r="G289" s="840"/>
      <c r="H289" s="840"/>
      <c r="I289" s="840"/>
      <c r="J289" s="840"/>
      <c r="K289" s="840"/>
      <c r="L289" s="840"/>
      <c r="M289" s="840"/>
      <c r="N289" s="840"/>
      <c r="O289" s="840"/>
      <c r="P289" s="840"/>
      <c r="Q289" s="840"/>
      <c r="R289" s="840"/>
      <c r="S289" s="840"/>
      <c r="T289" s="840"/>
      <c r="U289" s="840"/>
      <c r="V289" s="840"/>
      <c r="W289" s="840"/>
      <c r="X289" s="840"/>
      <c r="Y289" s="840"/>
    </row>
    <row r="290" ht="15.75" customHeight="1">
      <c r="A290" s="840"/>
      <c r="B290" s="887"/>
      <c r="C290" s="887"/>
      <c r="D290" s="887"/>
      <c r="E290" s="887"/>
      <c r="F290" s="887"/>
      <c r="G290" s="840"/>
      <c r="H290" s="840"/>
      <c r="I290" s="840"/>
      <c r="J290" s="840"/>
      <c r="K290" s="840"/>
      <c r="L290" s="840"/>
      <c r="M290" s="840"/>
      <c r="N290" s="840"/>
      <c r="O290" s="840"/>
      <c r="P290" s="840"/>
      <c r="Q290" s="840"/>
      <c r="R290" s="840"/>
      <c r="S290" s="840"/>
      <c r="T290" s="840"/>
      <c r="U290" s="840"/>
      <c r="V290" s="840"/>
      <c r="W290" s="840"/>
      <c r="X290" s="840"/>
      <c r="Y290" s="840"/>
    </row>
    <row r="291" ht="15.75" customHeight="1">
      <c r="A291" s="840"/>
      <c r="B291" s="887"/>
      <c r="C291" s="887"/>
      <c r="D291" s="887"/>
      <c r="E291" s="887"/>
      <c r="F291" s="887"/>
      <c r="G291" s="840"/>
      <c r="H291" s="840"/>
      <c r="I291" s="840"/>
      <c r="J291" s="840"/>
      <c r="K291" s="840"/>
      <c r="L291" s="840"/>
      <c r="M291" s="840"/>
      <c r="N291" s="840"/>
      <c r="O291" s="840"/>
      <c r="P291" s="840"/>
      <c r="Q291" s="840"/>
      <c r="R291" s="840"/>
      <c r="S291" s="840"/>
      <c r="T291" s="840"/>
      <c r="U291" s="840"/>
      <c r="V291" s="840"/>
      <c r="W291" s="840"/>
      <c r="X291" s="840"/>
      <c r="Y291" s="840"/>
    </row>
    <row r="292" ht="15.75" customHeight="1">
      <c r="A292" s="840"/>
      <c r="B292" s="887"/>
      <c r="C292" s="887"/>
      <c r="D292" s="887"/>
      <c r="E292" s="887"/>
      <c r="F292" s="887"/>
      <c r="G292" s="840"/>
      <c r="H292" s="840"/>
      <c r="I292" s="840"/>
      <c r="J292" s="840"/>
      <c r="K292" s="840"/>
      <c r="L292" s="840"/>
      <c r="M292" s="840"/>
      <c r="N292" s="840"/>
      <c r="O292" s="840"/>
      <c r="P292" s="840"/>
      <c r="Q292" s="840"/>
      <c r="R292" s="840"/>
      <c r="S292" s="840"/>
      <c r="T292" s="840"/>
      <c r="U292" s="840"/>
      <c r="V292" s="840"/>
      <c r="W292" s="840"/>
      <c r="X292" s="840"/>
      <c r="Y292" s="840"/>
    </row>
    <row r="293" ht="15.75" customHeight="1">
      <c r="A293" s="840"/>
      <c r="B293" s="887"/>
      <c r="C293" s="887"/>
      <c r="D293" s="887"/>
      <c r="E293" s="887"/>
      <c r="F293" s="887"/>
      <c r="G293" s="840"/>
      <c r="H293" s="840"/>
      <c r="I293" s="840"/>
      <c r="J293" s="840"/>
      <c r="K293" s="840"/>
      <c r="L293" s="840"/>
      <c r="M293" s="840"/>
      <c r="N293" s="840"/>
      <c r="O293" s="840"/>
      <c r="P293" s="840"/>
      <c r="Q293" s="840"/>
      <c r="R293" s="840"/>
      <c r="S293" s="840"/>
      <c r="T293" s="840"/>
      <c r="U293" s="840"/>
      <c r="V293" s="840"/>
      <c r="W293" s="840"/>
      <c r="X293" s="840"/>
      <c r="Y293" s="840"/>
    </row>
    <row r="294" ht="15.75" customHeight="1">
      <c r="A294" s="840"/>
      <c r="B294" s="887"/>
      <c r="C294" s="887"/>
      <c r="D294" s="887"/>
      <c r="E294" s="887"/>
      <c r="F294" s="887"/>
      <c r="G294" s="840"/>
      <c r="H294" s="840"/>
      <c r="I294" s="840"/>
      <c r="J294" s="840"/>
      <c r="K294" s="840"/>
      <c r="L294" s="840"/>
      <c r="M294" s="840"/>
      <c r="N294" s="840"/>
      <c r="O294" s="840"/>
      <c r="P294" s="840"/>
      <c r="Q294" s="840"/>
      <c r="R294" s="840"/>
      <c r="S294" s="840"/>
      <c r="T294" s="840"/>
      <c r="U294" s="840"/>
      <c r="V294" s="840"/>
      <c r="W294" s="840"/>
      <c r="X294" s="840"/>
      <c r="Y294" s="840"/>
    </row>
    <row r="295" ht="15.75" customHeight="1">
      <c r="A295" s="840"/>
      <c r="B295" s="887"/>
      <c r="C295" s="887"/>
      <c r="D295" s="887"/>
      <c r="E295" s="887"/>
      <c r="F295" s="887"/>
      <c r="G295" s="840"/>
      <c r="H295" s="840"/>
      <c r="I295" s="840"/>
      <c r="J295" s="840"/>
      <c r="K295" s="840"/>
      <c r="L295" s="840"/>
      <c r="M295" s="840"/>
      <c r="N295" s="840"/>
      <c r="O295" s="840"/>
      <c r="P295" s="840"/>
      <c r="Q295" s="840"/>
      <c r="R295" s="840"/>
      <c r="S295" s="840"/>
      <c r="T295" s="840"/>
      <c r="U295" s="840"/>
      <c r="V295" s="840"/>
      <c r="W295" s="840"/>
      <c r="X295" s="840"/>
      <c r="Y295" s="840"/>
    </row>
    <row r="296" ht="15.75" customHeight="1">
      <c r="A296" s="840"/>
      <c r="B296" s="887"/>
      <c r="C296" s="887"/>
      <c r="D296" s="887"/>
      <c r="E296" s="887"/>
      <c r="F296" s="887"/>
      <c r="G296" s="840"/>
      <c r="H296" s="840"/>
      <c r="I296" s="840"/>
      <c r="J296" s="840"/>
      <c r="K296" s="840"/>
      <c r="L296" s="840"/>
      <c r="M296" s="840"/>
      <c r="N296" s="840"/>
      <c r="O296" s="840"/>
      <c r="P296" s="840"/>
      <c r="Q296" s="840"/>
      <c r="R296" s="840"/>
      <c r="S296" s="840"/>
      <c r="T296" s="840"/>
      <c r="U296" s="840"/>
      <c r="V296" s="840"/>
      <c r="W296" s="840"/>
      <c r="X296" s="840"/>
      <c r="Y296" s="840"/>
    </row>
    <row r="297" ht="15.75" customHeight="1">
      <c r="A297" s="840"/>
      <c r="B297" s="887"/>
      <c r="C297" s="887"/>
      <c r="D297" s="887"/>
      <c r="E297" s="887"/>
      <c r="F297" s="887"/>
      <c r="G297" s="840"/>
      <c r="H297" s="840"/>
      <c r="I297" s="840"/>
      <c r="J297" s="840"/>
      <c r="K297" s="840"/>
      <c r="L297" s="840"/>
      <c r="M297" s="840"/>
      <c r="N297" s="840"/>
      <c r="O297" s="840"/>
      <c r="P297" s="840"/>
      <c r="Q297" s="840"/>
      <c r="R297" s="840"/>
      <c r="S297" s="840"/>
      <c r="T297" s="840"/>
      <c r="U297" s="840"/>
      <c r="V297" s="840"/>
      <c r="W297" s="840"/>
      <c r="X297" s="840"/>
      <c r="Y297" s="840"/>
    </row>
    <row r="298" ht="15.75" customHeight="1">
      <c r="A298" s="840"/>
      <c r="B298" s="887"/>
      <c r="C298" s="887"/>
      <c r="D298" s="887"/>
      <c r="E298" s="887"/>
      <c r="F298" s="887"/>
      <c r="G298" s="840"/>
      <c r="H298" s="840"/>
      <c r="I298" s="840"/>
      <c r="J298" s="840"/>
      <c r="K298" s="840"/>
      <c r="L298" s="840"/>
      <c r="M298" s="840"/>
      <c r="N298" s="840"/>
      <c r="O298" s="840"/>
      <c r="P298" s="840"/>
      <c r="Q298" s="840"/>
      <c r="R298" s="840"/>
      <c r="S298" s="840"/>
      <c r="T298" s="840"/>
      <c r="U298" s="840"/>
      <c r="V298" s="840"/>
      <c r="W298" s="840"/>
      <c r="X298" s="840"/>
      <c r="Y298" s="840"/>
    </row>
    <row r="299" ht="15.75" customHeight="1">
      <c r="A299" s="840"/>
      <c r="B299" s="887"/>
      <c r="C299" s="887"/>
      <c r="D299" s="887"/>
      <c r="E299" s="887"/>
      <c r="F299" s="887"/>
      <c r="G299" s="840"/>
      <c r="H299" s="840"/>
      <c r="I299" s="840"/>
      <c r="J299" s="840"/>
      <c r="K299" s="840"/>
      <c r="L299" s="840"/>
      <c r="M299" s="840"/>
      <c r="N299" s="840"/>
      <c r="O299" s="840"/>
      <c r="P299" s="840"/>
      <c r="Q299" s="840"/>
      <c r="R299" s="840"/>
      <c r="S299" s="840"/>
      <c r="T299" s="840"/>
      <c r="U299" s="840"/>
      <c r="V299" s="840"/>
      <c r="W299" s="840"/>
      <c r="X299" s="840"/>
      <c r="Y299" s="840"/>
    </row>
    <row r="300" ht="15.75" customHeight="1">
      <c r="A300" s="840"/>
      <c r="B300" s="887"/>
      <c r="C300" s="887"/>
      <c r="D300" s="887"/>
      <c r="E300" s="887"/>
      <c r="F300" s="887"/>
      <c r="G300" s="840"/>
      <c r="H300" s="840"/>
      <c r="I300" s="840"/>
      <c r="J300" s="840"/>
      <c r="K300" s="840"/>
      <c r="L300" s="840"/>
      <c r="M300" s="840"/>
      <c r="N300" s="840"/>
      <c r="O300" s="840"/>
      <c r="P300" s="840"/>
      <c r="Q300" s="840"/>
      <c r="R300" s="840"/>
      <c r="S300" s="840"/>
      <c r="T300" s="840"/>
      <c r="U300" s="840"/>
      <c r="V300" s="840"/>
      <c r="W300" s="840"/>
      <c r="X300" s="840"/>
      <c r="Y300" s="840"/>
    </row>
    <row r="301" ht="15.75" customHeight="1">
      <c r="A301" s="840"/>
      <c r="B301" s="887"/>
      <c r="C301" s="887"/>
      <c r="D301" s="887"/>
      <c r="E301" s="887"/>
      <c r="F301" s="887"/>
      <c r="G301" s="840"/>
      <c r="H301" s="840"/>
      <c r="I301" s="840"/>
      <c r="J301" s="840"/>
      <c r="K301" s="840"/>
      <c r="L301" s="840"/>
      <c r="M301" s="840"/>
      <c r="N301" s="840"/>
      <c r="O301" s="840"/>
      <c r="P301" s="840"/>
      <c r="Q301" s="840"/>
      <c r="R301" s="840"/>
      <c r="S301" s="840"/>
      <c r="T301" s="840"/>
      <c r="U301" s="840"/>
      <c r="V301" s="840"/>
      <c r="W301" s="840"/>
      <c r="X301" s="840"/>
      <c r="Y301" s="840"/>
    </row>
    <row r="302" ht="15.75" customHeight="1">
      <c r="A302" s="840"/>
      <c r="B302" s="887"/>
      <c r="C302" s="887"/>
      <c r="D302" s="887"/>
      <c r="E302" s="887"/>
      <c r="F302" s="887"/>
      <c r="G302" s="840"/>
      <c r="H302" s="840"/>
      <c r="I302" s="840"/>
      <c r="J302" s="840"/>
      <c r="K302" s="840"/>
      <c r="L302" s="840"/>
      <c r="M302" s="840"/>
      <c r="N302" s="840"/>
      <c r="O302" s="840"/>
      <c r="P302" s="840"/>
      <c r="Q302" s="840"/>
      <c r="R302" s="840"/>
      <c r="S302" s="840"/>
      <c r="T302" s="840"/>
      <c r="U302" s="840"/>
      <c r="V302" s="840"/>
      <c r="W302" s="840"/>
      <c r="X302" s="840"/>
      <c r="Y302" s="840"/>
    </row>
    <row r="303" ht="15.75" customHeight="1">
      <c r="A303" s="840"/>
      <c r="B303" s="887"/>
      <c r="C303" s="887"/>
      <c r="D303" s="887"/>
      <c r="E303" s="887"/>
      <c r="F303" s="887"/>
      <c r="G303" s="840"/>
      <c r="H303" s="840"/>
      <c r="I303" s="840"/>
      <c r="J303" s="840"/>
      <c r="K303" s="840"/>
      <c r="L303" s="840"/>
      <c r="M303" s="840"/>
      <c r="N303" s="840"/>
      <c r="O303" s="840"/>
      <c r="P303" s="840"/>
      <c r="Q303" s="840"/>
      <c r="R303" s="840"/>
      <c r="S303" s="840"/>
      <c r="T303" s="840"/>
      <c r="U303" s="840"/>
      <c r="V303" s="840"/>
      <c r="W303" s="840"/>
      <c r="X303" s="840"/>
      <c r="Y303" s="840"/>
    </row>
    <row r="304" ht="15.75" customHeight="1">
      <c r="A304" s="840"/>
      <c r="B304" s="887"/>
      <c r="C304" s="887"/>
      <c r="D304" s="887"/>
      <c r="E304" s="887"/>
      <c r="F304" s="887"/>
      <c r="G304" s="840"/>
      <c r="H304" s="840"/>
      <c r="I304" s="840"/>
      <c r="J304" s="840"/>
      <c r="K304" s="840"/>
      <c r="L304" s="840"/>
      <c r="M304" s="840"/>
      <c r="N304" s="840"/>
      <c r="O304" s="840"/>
      <c r="P304" s="840"/>
      <c r="Q304" s="840"/>
      <c r="R304" s="840"/>
      <c r="S304" s="840"/>
      <c r="T304" s="840"/>
      <c r="U304" s="840"/>
      <c r="V304" s="840"/>
      <c r="W304" s="840"/>
      <c r="X304" s="840"/>
      <c r="Y304" s="840"/>
    </row>
    <row r="305" ht="15.75" customHeight="1">
      <c r="A305" s="840"/>
      <c r="B305" s="887"/>
      <c r="C305" s="887"/>
      <c r="D305" s="887"/>
      <c r="E305" s="887"/>
      <c r="F305" s="887"/>
      <c r="G305" s="840"/>
      <c r="H305" s="840"/>
      <c r="I305" s="840"/>
      <c r="J305" s="840"/>
      <c r="K305" s="840"/>
      <c r="L305" s="840"/>
      <c r="M305" s="840"/>
      <c r="N305" s="840"/>
      <c r="O305" s="840"/>
      <c r="P305" s="840"/>
      <c r="Q305" s="840"/>
      <c r="R305" s="840"/>
      <c r="S305" s="840"/>
      <c r="T305" s="840"/>
      <c r="U305" s="840"/>
      <c r="V305" s="840"/>
      <c r="W305" s="840"/>
      <c r="X305" s="840"/>
      <c r="Y305" s="840"/>
    </row>
    <row r="306" ht="15.75" customHeight="1">
      <c r="A306" s="840"/>
      <c r="B306" s="887"/>
      <c r="C306" s="887"/>
      <c r="D306" s="887"/>
      <c r="E306" s="887"/>
      <c r="F306" s="887"/>
      <c r="G306" s="840"/>
      <c r="H306" s="840"/>
      <c r="I306" s="840"/>
      <c r="J306" s="840"/>
      <c r="K306" s="840"/>
      <c r="L306" s="840"/>
      <c r="M306" s="840"/>
      <c r="N306" s="840"/>
      <c r="O306" s="840"/>
      <c r="P306" s="840"/>
      <c r="Q306" s="840"/>
      <c r="R306" s="840"/>
      <c r="S306" s="840"/>
      <c r="T306" s="840"/>
      <c r="U306" s="840"/>
      <c r="V306" s="840"/>
      <c r="W306" s="840"/>
      <c r="X306" s="840"/>
      <c r="Y306" s="840"/>
    </row>
    <row r="307" ht="15.75" customHeight="1">
      <c r="A307" s="840"/>
      <c r="B307" s="887"/>
      <c r="C307" s="887"/>
      <c r="D307" s="887"/>
      <c r="E307" s="887"/>
      <c r="F307" s="887"/>
      <c r="G307" s="840"/>
      <c r="H307" s="840"/>
      <c r="I307" s="840"/>
      <c r="J307" s="840"/>
      <c r="K307" s="840"/>
      <c r="L307" s="840"/>
      <c r="M307" s="840"/>
      <c r="N307" s="840"/>
      <c r="O307" s="840"/>
      <c r="P307" s="840"/>
      <c r="Q307" s="840"/>
      <c r="R307" s="840"/>
      <c r="S307" s="840"/>
      <c r="T307" s="840"/>
      <c r="U307" s="840"/>
      <c r="V307" s="840"/>
      <c r="W307" s="840"/>
      <c r="X307" s="840"/>
      <c r="Y307" s="840"/>
    </row>
    <row r="308" ht="15.75" customHeight="1">
      <c r="A308" s="840"/>
      <c r="B308" s="887"/>
      <c r="C308" s="887"/>
      <c r="D308" s="887"/>
      <c r="E308" s="887"/>
      <c r="F308" s="887"/>
      <c r="G308" s="840"/>
      <c r="H308" s="840"/>
      <c r="I308" s="840"/>
      <c r="J308" s="840"/>
      <c r="K308" s="840"/>
      <c r="L308" s="840"/>
      <c r="M308" s="840"/>
      <c r="N308" s="840"/>
      <c r="O308" s="840"/>
      <c r="P308" s="840"/>
      <c r="Q308" s="840"/>
      <c r="R308" s="840"/>
      <c r="S308" s="840"/>
      <c r="T308" s="840"/>
      <c r="U308" s="840"/>
      <c r="V308" s="840"/>
      <c r="W308" s="840"/>
      <c r="X308" s="840"/>
      <c r="Y308" s="840"/>
    </row>
    <row r="309" ht="15.75" customHeight="1">
      <c r="A309" s="840"/>
      <c r="B309" s="887"/>
      <c r="C309" s="887"/>
      <c r="D309" s="887"/>
      <c r="E309" s="887"/>
      <c r="F309" s="887"/>
      <c r="G309" s="840"/>
      <c r="H309" s="840"/>
      <c r="I309" s="840"/>
      <c r="J309" s="840"/>
      <c r="K309" s="840"/>
      <c r="L309" s="840"/>
      <c r="M309" s="840"/>
      <c r="N309" s="840"/>
      <c r="O309" s="840"/>
      <c r="P309" s="840"/>
      <c r="Q309" s="840"/>
      <c r="R309" s="840"/>
      <c r="S309" s="840"/>
      <c r="T309" s="840"/>
      <c r="U309" s="840"/>
      <c r="V309" s="840"/>
      <c r="W309" s="840"/>
      <c r="X309" s="840"/>
      <c r="Y309" s="840"/>
    </row>
    <row r="310" ht="15.75" customHeight="1">
      <c r="A310" s="840"/>
      <c r="B310" s="887"/>
      <c r="C310" s="887"/>
      <c r="D310" s="887"/>
      <c r="E310" s="887"/>
      <c r="F310" s="887"/>
      <c r="G310" s="840"/>
      <c r="H310" s="840"/>
      <c r="I310" s="840"/>
      <c r="J310" s="840"/>
      <c r="K310" s="840"/>
      <c r="L310" s="840"/>
      <c r="M310" s="840"/>
      <c r="N310" s="840"/>
      <c r="O310" s="840"/>
      <c r="P310" s="840"/>
      <c r="Q310" s="840"/>
      <c r="R310" s="840"/>
      <c r="S310" s="840"/>
      <c r="T310" s="840"/>
      <c r="U310" s="840"/>
      <c r="V310" s="840"/>
      <c r="W310" s="840"/>
      <c r="X310" s="840"/>
      <c r="Y310" s="840"/>
    </row>
    <row r="311" ht="15.75" customHeight="1">
      <c r="A311" s="840"/>
      <c r="B311" s="887"/>
      <c r="C311" s="887"/>
      <c r="D311" s="887"/>
      <c r="E311" s="887"/>
      <c r="F311" s="887"/>
      <c r="G311" s="840"/>
      <c r="H311" s="840"/>
      <c r="I311" s="840"/>
      <c r="J311" s="840"/>
      <c r="K311" s="840"/>
      <c r="L311" s="840"/>
      <c r="M311" s="840"/>
      <c r="N311" s="840"/>
      <c r="O311" s="840"/>
      <c r="P311" s="840"/>
      <c r="Q311" s="840"/>
      <c r="R311" s="840"/>
      <c r="S311" s="840"/>
      <c r="T311" s="840"/>
      <c r="U311" s="840"/>
      <c r="V311" s="840"/>
      <c r="W311" s="840"/>
      <c r="X311" s="840"/>
      <c r="Y311" s="840"/>
    </row>
    <row r="312" ht="15.75" customHeight="1">
      <c r="A312" s="840"/>
      <c r="B312" s="887"/>
      <c r="C312" s="887"/>
      <c r="D312" s="887"/>
      <c r="E312" s="887"/>
      <c r="F312" s="887"/>
      <c r="G312" s="840"/>
      <c r="H312" s="840"/>
      <c r="I312" s="840"/>
      <c r="J312" s="840"/>
      <c r="K312" s="840"/>
      <c r="L312" s="840"/>
      <c r="M312" s="840"/>
      <c r="N312" s="840"/>
      <c r="O312" s="840"/>
      <c r="P312" s="840"/>
      <c r="Q312" s="840"/>
      <c r="R312" s="840"/>
      <c r="S312" s="840"/>
      <c r="T312" s="840"/>
      <c r="U312" s="840"/>
      <c r="V312" s="840"/>
      <c r="W312" s="840"/>
      <c r="X312" s="840"/>
      <c r="Y312" s="840"/>
    </row>
    <row r="313" ht="15.75" customHeight="1">
      <c r="A313" s="840"/>
      <c r="B313" s="887"/>
      <c r="C313" s="887"/>
      <c r="D313" s="887"/>
      <c r="E313" s="887"/>
      <c r="F313" s="887"/>
      <c r="G313" s="840"/>
      <c r="H313" s="840"/>
      <c r="I313" s="840"/>
      <c r="J313" s="840"/>
      <c r="K313" s="840"/>
      <c r="L313" s="840"/>
      <c r="M313" s="840"/>
      <c r="N313" s="840"/>
      <c r="O313" s="840"/>
      <c r="P313" s="840"/>
      <c r="Q313" s="840"/>
      <c r="R313" s="840"/>
      <c r="S313" s="840"/>
      <c r="T313" s="840"/>
      <c r="U313" s="840"/>
      <c r="V313" s="840"/>
      <c r="W313" s="840"/>
      <c r="X313" s="840"/>
      <c r="Y313" s="840"/>
    </row>
    <row r="314" ht="15.75" customHeight="1">
      <c r="A314" s="840"/>
      <c r="B314" s="887"/>
      <c r="C314" s="887"/>
      <c r="D314" s="887"/>
      <c r="E314" s="887"/>
      <c r="F314" s="887"/>
      <c r="G314" s="840"/>
      <c r="H314" s="840"/>
      <c r="I314" s="840"/>
      <c r="J314" s="840"/>
      <c r="K314" s="840"/>
      <c r="L314" s="840"/>
      <c r="M314" s="840"/>
      <c r="N314" s="840"/>
      <c r="O314" s="840"/>
      <c r="P314" s="840"/>
      <c r="Q314" s="840"/>
      <c r="R314" s="840"/>
      <c r="S314" s="840"/>
      <c r="T314" s="840"/>
      <c r="U314" s="840"/>
      <c r="V314" s="840"/>
      <c r="W314" s="840"/>
      <c r="X314" s="840"/>
      <c r="Y314" s="840"/>
    </row>
    <row r="315" ht="15.75" customHeight="1">
      <c r="A315" s="840"/>
      <c r="B315" s="887"/>
      <c r="C315" s="887"/>
      <c r="D315" s="887"/>
      <c r="E315" s="887"/>
      <c r="F315" s="887"/>
      <c r="G315" s="840"/>
      <c r="H315" s="840"/>
      <c r="I315" s="840"/>
      <c r="J315" s="840"/>
      <c r="K315" s="840"/>
      <c r="L315" s="840"/>
      <c r="M315" s="840"/>
      <c r="N315" s="840"/>
      <c r="O315" s="840"/>
      <c r="P315" s="840"/>
      <c r="Q315" s="840"/>
      <c r="R315" s="840"/>
      <c r="S315" s="840"/>
      <c r="T315" s="840"/>
      <c r="U315" s="840"/>
      <c r="V315" s="840"/>
      <c r="W315" s="840"/>
      <c r="X315" s="840"/>
      <c r="Y315" s="840"/>
    </row>
    <row r="316" ht="15.75" customHeight="1">
      <c r="A316" s="840"/>
      <c r="B316" s="887"/>
      <c r="C316" s="887"/>
      <c r="D316" s="887"/>
      <c r="E316" s="887"/>
      <c r="F316" s="887"/>
      <c r="G316" s="840"/>
      <c r="H316" s="840"/>
      <c r="I316" s="840"/>
      <c r="J316" s="840"/>
      <c r="K316" s="840"/>
      <c r="L316" s="840"/>
      <c r="M316" s="840"/>
      <c r="N316" s="840"/>
      <c r="O316" s="840"/>
      <c r="P316" s="840"/>
      <c r="Q316" s="840"/>
      <c r="R316" s="840"/>
      <c r="S316" s="840"/>
      <c r="T316" s="840"/>
      <c r="U316" s="840"/>
      <c r="V316" s="840"/>
      <c r="W316" s="840"/>
      <c r="X316" s="840"/>
      <c r="Y316" s="840"/>
    </row>
    <row r="317" ht="15.75" customHeight="1">
      <c r="A317" s="840"/>
      <c r="B317" s="887"/>
      <c r="C317" s="887"/>
      <c r="D317" s="887"/>
      <c r="E317" s="887"/>
      <c r="F317" s="887"/>
      <c r="G317" s="840"/>
      <c r="H317" s="840"/>
      <c r="I317" s="840"/>
      <c r="J317" s="840"/>
      <c r="K317" s="840"/>
      <c r="L317" s="840"/>
      <c r="M317" s="840"/>
      <c r="N317" s="840"/>
      <c r="O317" s="840"/>
      <c r="P317" s="840"/>
      <c r="Q317" s="840"/>
      <c r="R317" s="840"/>
      <c r="S317" s="840"/>
      <c r="T317" s="840"/>
      <c r="U317" s="840"/>
      <c r="V317" s="840"/>
      <c r="W317" s="840"/>
      <c r="X317" s="840"/>
      <c r="Y317" s="840"/>
    </row>
    <row r="318" ht="15.75" customHeight="1">
      <c r="A318" s="840"/>
      <c r="B318" s="887"/>
      <c r="C318" s="887"/>
      <c r="D318" s="887"/>
      <c r="E318" s="887"/>
      <c r="F318" s="887"/>
      <c r="G318" s="840"/>
      <c r="H318" s="840"/>
      <c r="I318" s="840"/>
      <c r="J318" s="840"/>
      <c r="K318" s="840"/>
      <c r="L318" s="840"/>
      <c r="M318" s="840"/>
      <c r="N318" s="840"/>
      <c r="O318" s="840"/>
      <c r="P318" s="840"/>
      <c r="Q318" s="840"/>
      <c r="R318" s="840"/>
      <c r="S318" s="840"/>
      <c r="T318" s="840"/>
      <c r="U318" s="840"/>
      <c r="V318" s="840"/>
      <c r="W318" s="840"/>
      <c r="X318" s="840"/>
      <c r="Y318" s="840"/>
    </row>
    <row r="319" ht="15.75" customHeight="1">
      <c r="A319" s="840"/>
      <c r="B319" s="887"/>
      <c r="C319" s="887"/>
      <c r="D319" s="887"/>
      <c r="E319" s="887"/>
      <c r="F319" s="887"/>
      <c r="G319" s="840"/>
      <c r="H319" s="840"/>
      <c r="I319" s="840"/>
      <c r="J319" s="840"/>
      <c r="K319" s="840"/>
      <c r="L319" s="840"/>
      <c r="M319" s="840"/>
      <c r="N319" s="840"/>
      <c r="O319" s="840"/>
      <c r="P319" s="840"/>
      <c r="Q319" s="840"/>
      <c r="R319" s="840"/>
      <c r="S319" s="840"/>
      <c r="T319" s="840"/>
      <c r="U319" s="840"/>
      <c r="V319" s="840"/>
      <c r="W319" s="840"/>
      <c r="X319" s="840"/>
      <c r="Y319" s="840"/>
    </row>
    <row r="320" ht="15.75" customHeight="1">
      <c r="A320" s="840"/>
      <c r="B320" s="887"/>
      <c r="C320" s="887"/>
      <c r="D320" s="887"/>
      <c r="E320" s="887"/>
      <c r="F320" s="887"/>
      <c r="G320" s="840"/>
      <c r="H320" s="840"/>
      <c r="I320" s="840"/>
      <c r="J320" s="840"/>
      <c r="K320" s="840"/>
      <c r="L320" s="840"/>
      <c r="M320" s="840"/>
      <c r="N320" s="840"/>
      <c r="O320" s="840"/>
      <c r="P320" s="840"/>
      <c r="Q320" s="840"/>
      <c r="R320" s="840"/>
      <c r="S320" s="840"/>
      <c r="T320" s="840"/>
      <c r="U320" s="840"/>
      <c r="V320" s="840"/>
      <c r="W320" s="840"/>
      <c r="X320" s="840"/>
      <c r="Y320" s="840"/>
    </row>
    <row r="321" ht="15.75" customHeight="1">
      <c r="A321" s="840"/>
      <c r="B321" s="887"/>
      <c r="C321" s="887"/>
      <c r="D321" s="887"/>
      <c r="E321" s="887"/>
      <c r="F321" s="887"/>
      <c r="G321" s="840"/>
      <c r="H321" s="840"/>
      <c r="I321" s="840"/>
      <c r="J321" s="840"/>
      <c r="K321" s="840"/>
      <c r="L321" s="840"/>
      <c r="M321" s="840"/>
      <c r="N321" s="840"/>
      <c r="O321" s="840"/>
      <c r="P321" s="840"/>
      <c r="Q321" s="840"/>
      <c r="R321" s="840"/>
      <c r="S321" s="840"/>
      <c r="T321" s="840"/>
      <c r="U321" s="840"/>
      <c r="V321" s="840"/>
      <c r="W321" s="840"/>
      <c r="X321" s="840"/>
      <c r="Y321" s="840"/>
    </row>
    <row r="322" ht="15.75" customHeight="1">
      <c r="A322" s="840"/>
      <c r="B322" s="887"/>
      <c r="C322" s="887"/>
      <c r="D322" s="887"/>
      <c r="E322" s="887"/>
      <c r="F322" s="887"/>
      <c r="G322" s="840"/>
      <c r="H322" s="840"/>
      <c r="I322" s="840"/>
      <c r="J322" s="840"/>
      <c r="K322" s="840"/>
      <c r="L322" s="840"/>
      <c r="M322" s="840"/>
      <c r="N322" s="840"/>
      <c r="O322" s="840"/>
      <c r="P322" s="840"/>
      <c r="Q322" s="840"/>
      <c r="R322" s="840"/>
      <c r="S322" s="840"/>
      <c r="T322" s="840"/>
      <c r="U322" s="840"/>
      <c r="V322" s="840"/>
      <c r="W322" s="840"/>
      <c r="X322" s="840"/>
      <c r="Y322" s="840"/>
    </row>
    <row r="323" ht="15.75" customHeight="1">
      <c r="A323" s="840"/>
      <c r="B323" s="887"/>
      <c r="C323" s="887"/>
      <c r="D323" s="887"/>
      <c r="E323" s="887"/>
      <c r="F323" s="887"/>
      <c r="G323" s="840"/>
      <c r="H323" s="840"/>
      <c r="I323" s="840"/>
      <c r="J323" s="840"/>
      <c r="K323" s="840"/>
      <c r="L323" s="840"/>
      <c r="M323" s="840"/>
      <c r="N323" s="840"/>
      <c r="O323" s="840"/>
      <c r="P323" s="840"/>
      <c r="Q323" s="840"/>
      <c r="R323" s="840"/>
      <c r="S323" s="840"/>
      <c r="T323" s="840"/>
      <c r="U323" s="840"/>
      <c r="V323" s="840"/>
      <c r="W323" s="840"/>
      <c r="X323" s="840"/>
      <c r="Y323" s="840"/>
    </row>
    <row r="324" ht="15.75" customHeight="1">
      <c r="A324" s="840"/>
      <c r="B324" s="887"/>
      <c r="C324" s="887"/>
      <c r="D324" s="887"/>
      <c r="E324" s="887"/>
      <c r="F324" s="887"/>
      <c r="G324" s="840"/>
      <c r="H324" s="840"/>
      <c r="I324" s="840"/>
      <c r="J324" s="840"/>
      <c r="K324" s="840"/>
      <c r="L324" s="840"/>
      <c r="M324" s="840"/>
      <c r="N324" s="840"/>
      <c r="O324" s="840"/>
      <c r="P324" s="840"/>
      <c r="Q324" s="840"/>
      <c r="R324" s="840"/>
      <c r="S324" s="840"/>
      <c r="T324" s="840"/>
      <c r="U324" s="840"/>
      <c r="V324" s="840"/>
      <c r="W324" s="840"/>
      <c r="X324" s="840"/>
      <c r="Y324" s="840"/>
    </row>
    <row r="325" ht="15.75" customHeight="1">
      <c r="A325" s="840"/>
      <c r="B325" s="887"/>
      <c r="C325" s="887"/>
      <c r="D325" s="887"/>
      <c r="E325" s="887"/>
      <c r="F325" s="887"/>
      <c r="G325" s="840"/>
      <c r="H325" s="840"/>
      <c r="I325" s="840"/>
      <c r="J325" s="840"/>
      <c r="K325" s="840"/>
      <c r="L325" s="840"/>
      <c r="M325" s="840"/>
      <c r="N325" s="840"/>
      <c r="O325" s="840"/>
      <c r="P325" s="840"/>
      <c r="Q325" s="840"/>
      <c r="R325" s="840"/>
      <c r="S325" s="840"/>
      <c r="T325" s="840"/>
      <c r="U325" s="840"/>
      <c r="V325" s="840"/>
      <c r="W325" s="840"/>
      <c r="X325" s="840"/>
      <c r="Y325" s="840"/>
    </row>
    <row r="326" ht="15.75" customHeight="1">
      <c r="A326" s="840"/>
      <c r="B326" s="887"/>
      <c r="C326" s="887"/>
      <c r="D326" s="887"/>
      <c r="E326" s="887"/>
      <c r="F326" s="887"/>
      <c r="G326" s="840"/>
      <c r="H326" s="840"/>
      <c r="I326" s="840"/>
      <c r="J326" s="840"/>
      <c r="K326" s="840"/>
      <c r="L326" s="840"/>
      <c r="M326" s="840"/>
      <c r="N326" s="840"/>
      <c r="O326" s="840"/>
      <c r="P326" s="840"/>
      <c r="Q326" s="840"/>
      <c r="R326" s="840"/>
      <c r="S326" s="840"/>
      <c r="T326" s="840"/>
      <c r="U326" s="840"/>
      <c r="V326" s="840"/>
      <c r="W326" s="840"/>
      <c r="X326" s="840"/>
      <c r="Y326" s="840"/>
    </row>
    <row r="327" ht="15.75" customHeight="1">
      <c r="A327" s="840"/>
      <c r="B327" s="887"/>
      <c r="C327" s="887"/>
      <c r="D327" s="887"/>
      <c r="E327" s="887"/>
      <c r="F327" s="887"/>
      <c r="G327" s="840"/>
      <c r="H327" s="840"/>
      <c r="I327" s="840"/>
      <c r="J327" s="840"/>
      <c r="K327" s="840"/>
      <c r="L327" s="840"/>
      <c r="M327" s="840"/>
      <c r="N327" s="840"/>
      <c r="O327" s="840"/>
      <c r="P327" s="840"/>
      <c r="Q327" s="840"/>
      <c r="R327" s="840"/>
      <c r="S327" s="840"/>
      <c r="T327" s="840"/>
      <c r="U327" s="840"/>
      <c r="V327" s="840"/>
      <c r="W327" s="840"/>
      <c r="X327" s="840"/>
      <c r="Y327" s="840"/>
    </row>
    <row r="328" ht="15.75" customHeight="1">
      <c r="A328" s="840"/>
      <c r="B328" s="887"/>
      <c r="C328" s="887"/>
      <c r="D328" s="887"/>
      <c r="E328" s="887"/>
      <c r="F328" s="887"/>
      <c r="G328" s="840"/>
      <c r="H328" s="840"/>
      <c r="I328" s="840"/>
      <c r="J328" s="840"/>
      <c r="K328" s="840"/>
      <c r="L328" s="840"/>
      <c r="M328" s="840"/>
      <c r="N328" s="840"/>
      <c r="O328" s="840"/>
      <c r="P328" s="840"/>
      <c r="Q328" s="840"/>
      <c r="R328" s="840"/>
      <c r="S328" s="840"/>
      <c r="T328" s="840"/>
      <c r="U328" s="840"/>
      <c r="V328" s="840"/>
      <c r="W328" s="840"/>
      <c r="X328" s="840"/>
      <c r="Y328" s="840"/>
    </row>
    <row r="329" ht="15.75" customHeight="1">
      <c r="A329" s="840"/>
      <c r="B329" s="887"/>
      <c r="C329" s="887"/>
      <c r="D329" s="887"/>
      <c r="E329" s="887"/>
      <c r="F329" s="887"/>
      <c r="G329" s="840"/>
      <c r="H329" s="840"/>
      <c r="I329" s="840"/>
      <c r="J329" s="840"/>
      <c r="K329" s="840"/>
      <c r="L329" s="840"/>
      <c r="M329" s="840"/>
      <c r="N329" s="840"/>
      <c r="O329" s="840"/>
      <c r="P329" s="840"/>
      <c r="Q329" s="840"/>
      <c r="R329" s="840"/>
      <c r="S329" s="840"/>
      <c r="T329" s="840"/>
      <c r="U329" s="840"/>
      <c r="V329" s="840"/>
      <c r="W329" s="840"/>
      <c r="X329" s="840"/>
      <c r="Y329" s="840"/>
    </row>
    <row r="330" ht="15.75" customHeight="1">
      <c r="A330" s="840"/>
      <c r="B330" s="887"/>
      <c r="C330" s="887"/>
      <c r="D330" s="887"/>
      <c r="E330" s="887"/>
      <c r="F330" s="887"/>
      <c r="G330" s="840"/>
      <c r="H330" s="840"/>
      <c r="I330" s="840"/>
      <c r="J330" s="840"/>
      <c r="K330" s="840"/>
      <c r="L330" s="840"/>
      <c r="M330" s="840"/>
      <c r="N330" s="840"/>
      <c r="O330" s="840"/>
      <c r="P330" s="840"/>
      <c r="Q330" s="840"/>
      <c r="R330" s="840"/>
      <c r="S330" s="840"/>
      <c r="T330" s="840"/>
      <c r="U330" s="840"/>
      <c r="V330" s="840"/>
      <c r="W330" s="840"/>
      <c r="X330" s="840"/>
      <c r="Y330" s="840"/>
    </row>
    <row r="331" ht="15.75" customHeight="1">
      <c r="A331" s="840"/>
      <c r="B331" s="887"/>
      <c r="C331" s="887"/>
      <c r="D331" s="887"/>
      <c r="E331" s="887"/>
      <c r="F331" s="887"/>
      <c r="G331" s="840"/>
      <c r="H331" s="840"/>
      <c r="I331" s="840"/>
      <c r="J331" s="840"/>
      <c r="K331" s="840"/>
      <c r="L331" s="840"/>
      <c r="M331" s="840"/>
      <c r="N331" s="840"/>
      <c r="O331" s="840"/>
      <c r="P331" s="840"/>
      <c r="Q331" s="840"/>
      <c r="R331" s="840"/>
      <c r="S331" s="840"/>
      <c r="T331" s="840"/>
      <c r="U331" s="840"/>
      <c r="V331" s="840"/>
      <c r="W331" s="840"/>
      <c r="X331" s="840"/>
      <c r="Y331" s="840"/>
    </row>
    <row r="332" ht="15.75" customHeight="1">
      <c r="A332" s="840"/>
      <c r="B332" s="887"/>
      <c r="C332" s="887"/>
      <c r="D332" s="887"/>
      <c r="E332" s="887"/>
      <c r="F332" s="887"/>
      <c r="G332" s="840"/>
      <c r="H332" s="840"/>
      <c r="I332" s="840"/>
      <c r="J332" s="840"/>
      <c r="K332" s="840"/>
      <c r="L332" s="840"/>
      <c r="M332" s="840"/>
      <c r="N332" s="840"/>
      <c r="O332" s="840"/>
      <c r="P332" s="840"/>
      <c r="Q332" s="840"/>
      <c r="R332" s="840"/>
      <c r="S332" s="840"/>
      <c r="T332" s="840"/>
      <c r="U332" s="840"/>
      <c r="V332" s="840"/>
      <c r="W332" s="840"/>
      <c r="X332" s="840"/>
      <c r="Y332" s="840"/>
    </row>
    <row r="333" ht="15.75" customHeight="1">
      <c r="A333" s="840"/>
      <c r="B333" s="887"/>
      <c r="C333" s="887"/>
      <c r="D333" s="887"/>
      <c r="E333" s="887"/>
      <c r="F333" s="887"/>
      <c r="G333" s="840"/>
      <c r="H333" s="840"/>
      <c r="I333" s="840"/>
      <c r="J333" s="840"/>
      <c r="K333" s="840"/>
      <c r="L333" s="840"/>
      <c r="M333" s="840"/>
      <c r="N333" s="840"/>
      <c r="O333" s="840"/>
      <c r="P333" s="840"/>
      <c r="Q333" s="840"/>
      <c r="R333" s="840"/>
      <c r="S333" s="840"/>
      <c r="T333" s="840"/>
      <c r="U333" s="840"/>
      <c r="V333" s="840"/>
      <c r="W333" s="840"/>
      <c r="X333" s="840"/>
      <c r="Y333" s="840"/>
    </row>
    <row r="334" ht="15.75" customHeight="1">
      <c r="A334" s="840"/>
      <c r="B334" s="887"/>
      <c r="C334" s="887"/>
      <c r="D334" s="887"/>
      <c r="E334" s="887"/>
      <c r="F334" s="887"/>
      <c r="G334" s="840"/>
      <c r="H334" s="840"/>
      <c r="I334" s="840"/>
      <c r="J334" s="840"/>
      <c r="K334" s="840"/>
      <c r="L334" s="840"/>
      <c r="M334" s="840"/>
      <c r="N334" s="840"/>
      <c r="O334" s="840"/>
      <c r="P334" s="840"/>
      <c r="Q334" s="840"/>
      <c r="R334" s="840"/>
      <c r="S334" s="840"/>
      <c r="T334" s="840"/>
      <c r="U334" s="840"/>
      <c r="V334" s="840"/>
      <c r="W334" s="840"/>
      <c r="X334" s="840"/>
      <c r="Y334" s="840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Row="1"/>
  <cols>
    <col customWidth="1" min="1" max="1" width="8.43"/>
    <col customWidth="1" min="2" max="2" width="47.29"/>
    <col customWidth="1" min="3" max="3" width="26.71"/>
    <col customWidth="1" min="4" max="4" width="22.57"/>
    <col customWidth="1" min="5" max="6" width="14.43"/>
    <col customWidth="1" min="7" max="8" width="11.71"/>
    <col customWidth="1" min="15" max="15" width="9.43"/>
  </cols>
  <sheetData>
    <row r="1" ht="15.75" customHeight="1">
      <c r="A1" s="888"/>
      <c r="B1" s="889" t="s">
        <v>2084</v>
      </c>
      <c r="C1" s="390" t="s">
        <v>2085</v>
      </c>
      <c r="D1" s="797" t="s">
        <v>2086</v>
      </c>
      <c r="E1" s="595"/>
      <c r="F1" s="602"/>
      <c r="G1" s="301"/>
      <c r="H1" s="301"/>
      <c r="I1" s="603"/>
      <c r="J1" s="839"/>
      <c r="K1" s="285"/>
      <c r="L1" s="413"/>
      <c r="M1" s="331"/>
      <c r="N1" s="285"/>
      <c r="O1" s="300"/>
      <c r="P1" s="840"/>
      <c r="Q1" s="840"/>
      <c r="R1" s="840"/>
      <c r="S1" s="840"/>
      <c r="T1" s="840"/>
      <c r="U1" s="840"/>
      <c r="V1" s="840"/>
      <c r="W1" s="840"/>
      <c r="X1" s="840"/>
      <c r="Y1" s="840"/>
      <c r="Z1" s="840"/>
      <c r="AA1" s="840"/>
      <c r="AB1" s="840"/>
      <c r="AC1" s="840"/>
    </row>
    <row r="2" ht="30.0" customHeight="1">
      <c r="A2" s="285">
        <v>399.0</v>
      </c>
      <c r="C2" s="595" t="s">
        <v>2087</v>
      </c>
      <c r="D2" s="595" t="s">
        <v>1606</v>
      </c>
      <c r="E2" s="595"/>
      <c r="F2" s="602"/>
      <c r="G2" s="281"/>
      <c r="H2" s="281"/>
      <c r="I2" s="603"/>
      <c r="J2" s="839" t="str">
        <f>AVERAGE(J5:J266)</f>
        <v>#REF!</v>
      </c>
      <c r="K2" s="285"/>
      <c r="L2" s="413"/>
      <c r="M2" s="331"/>
      <c r="N2" s="285"/>
      <c r="O2" s="28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</row>
    <row r="3" ht="31.5" customHeight="1">
      <c r="A3" s="285"/>
      <c r="B3" s="595" t="s">
        <v>498</v>
      </c>
      <c r="C3" s="595" t="s">
        <v>1324</v>
      </c>
      <c r="D3" s="595" t="s">
        <v>1015</v>
      </c>
      <c r="E3" s="595" t="s">
        <v>2088</v>
      </c>
      <c r="F3" s="280" t="s">
        <v>96</v>
      </c>
      <c r="G3" s="281" t="s">
        <v>503</v>
      </c>
      <c r="H3" s="281" t="s">
        <v>2089</v>
      </c>
      <c r="I3" s="841" t="s">
        <v>99</v>
      </c>
      <c r="J3" s="284" t="s">
        <v>100</v>
      </c>
      <c r="K3" s="285" t="s">
        <v>466</v>
      </c>
      <c r="L3" s="286" t="s">
        <v>102</v>
      </c>
      <c r="M3" s="287" t="s">
        <v>505</v>
      </c>
      <c r="N3" s="285" t="s">
        <v>506</v>
      </c>
      <c r="O3" s="280" t="s">
        <v>1174</v>
      </c>
      <c r="P3" s="840"/>
      <c r="Q3" s="840"/>
      <c r="R3" s="840"/>
      <c r="S3" s="840"/>
      <c r="T3" s="840"/>
      <c r="U3" s="840"/>
      <c r="V3" s="840"/>
      <c r="W3" s="840"/>
      <c r="X3" s="840"/>
      <c r="Y3" s="840"/>
      <c r="Z3" s="840"/>
      <c r="AA3" s="840"/>
      <c r="AB3" s="840"/>
      <c r="AC3" s="840"/>
    </row>
    <row r="4" ht="14.25" customHeight="1">
      <c r="A4" s="842">
        <f t="array" ref="A4:A302">SEQUENCE(360,1,1,1)</f>
        <v>1</v>
      </c>
      <c r="B4" s="594" t="s">
        <v>1325</v>
      </c>
      <c r="C4" s="290"/>
      <c r="D4" s="290"/>
      <c r="E4" s="290"/>
      <c r="F4" s="293"/>
      <c r="G4" s="301"/>
      <c r="H4" s="301"/>
      <c r="I4" s="843"/>
      <c r="J4" s="297">
        <f>AVERAGE(J9:J14)</f>
        <v>0.06029739777</v>
      </c>
      <c r="K4" s="298"/>
      <c r="L4" s="297"/>
      <c r="M4" s="299"/>
      <c r="N4" s="297"/>
      <c r="O4" s="298"/>
      <c r="P4" s="844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</row>
    <row r="5" ht="14.25" customHeight="1">
      <c r="A5" s="803">
        <v>2.0</v>
      </c>
      <c r="B5" s="594" t="s">
        <v>511</v>
      </c>
      <c r="C5" s="290"/>
      <c r="D5" s="290"/>
      <c r="E5" s="290"/>
      <c r="F5" s="293"/>
      <c r="G5" s="301"/>
      <c r="H5" s="301"/>
      <c r="I5" s="843"/>
      <c r="J5" s="890">
        <f>AVERAGE(J6:J7)</f>
        <v>0.06029739777</v>
      </c>
      <c r="K5" s="300"/>
      <c r="L5" s="413"/>
      <c r="M5" s="331"/>
      <c r="N5" s="285"/>
      <c r="O5" s="298"/>
      <c r="P5" s="844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</row>
    <row r="6" ht="14.25" customHeight="1" outlineLevel="1">
      <c r="A6" s="285">
        <v>3.0</v>
      </c>
      <c r="B6" s="606" t="s">
        <v>2090</v>
      </c>
      <c r="C6" s="606" t="s">
        <v>1004</v>
      </c>
      <c r="D6" s="606"/>
      <c r="E6" s="606" t="s">
        <v>1327</v>
      </c>
      <c r="F6" s="607">
        <v>700.0</v>
      </c>
      <c r="G6" s="311">
        <v>269.0</v>
      </c>
      <c r="H6" s="311">
        <v>269.0</v>
      </c>
      <c r="I6" s="608">
        <v>16.22</v>
      </c>
      <c r="J6" s="314">
        <f t="shared" ref="J6:J7" si="1">I6/H6</f>
        <v>0.06029739777</v>
      </c>
      <c r="K6" s="315">
        <f t="shared" ref="K6:K7" si="2">O6-I6</f>
        <v>242.78</v>
      </c>
      <c r="L6" s="316">
        <f t="shared" ref="L6:L7" si="3">O6/I6-1</f>
        <v>14.96794081</v>
      </c>
      <c r="M6" s="317"/>
      <c r="N6" s="318" t="s">
        <v>112</v>
      </c>
      <c r="O6" s="319">
        <v>259.0</v>
      </c>
      <c r="P6" s="844"/>
      <c r="Q6" s="840"/>
      <c r="R6" s="840"/>
      <c r="S6" s="840"/>
      <c r="T6" s="840"/>
      <c r="U6" s="840"/>
      <c r="V6" s="840"/>
      <c r="W6" s="840"/>
      <c r="X6" s="840"/>
      <c r="Y6" s="840"/>
      <c r="Z6" s="840"/>
      <c r="AA6" s="840"/>
      <c r="AB6" s="840"/>
      <c r="AC6" s="840"/>
    </row>
    <row r="7" ht="14.25" customHeight="1" outlineLevel="1">
      <c r="A7" s="845">
        <v>4.0</v>
      </c>
      <c r="B7" s="606" t="s">
        <v>2091</v>
      </c>
      <c r="C7" s="606" t="s">
        <v>1004</v>
      </c>
      <c r="D7" s="606"/>
      <c r="E7" s="606" t="s">
        <v>1327</v>
      </c>
      <c r="F7" s="607">
        <v>700.0</v>
      </c>
      <c r="G7" s="311">
        <v>269.0</v>
      </c>
      <c r="H7" s="311">
        <v>269.0</v>
      </c>
      <c r="I7" s="608">
        <v>16.22</v>
      </c>
      <c r="J7" s="314">
        <f t="shared" si="1"/>
        <v>0.06029739777</v>
      </c>
      <c r="K7" s="315">
        <f t="shared" si="2"/>
        <v>242.78</v>
      </c>
      <c r="L7" s="316">
        <f t="shared" si="3"/>
        <v>14.96794081</v>
      </c>
      <c r="M7" s="317"/>
      <c r="N7" s="318" t="s">
        <v>112</v>
      </c>
      <c r="O7" s="319">
        <v>259.0</v>
      </c>
      <c r="P7" s="844"/>
      <c r="Q7" s="840"/>
      <c r="R7" s="840"/>
      <c r="S7" s="840"/>
      <c r="T7" s="840"/>
      <c r="U7" s="840"/>
      <c r="V7" s="840"/>
      <c r="W7" s="840"/>
      <c r="X7" s="840"/>
      <c r="Y7" s="840"/>
      <c r="Z7" s="840"/>
      <c r="AA7" s="840"/>
      <c r="AB7" s="840"/>
      <c r="AC7" s="840"/>
    </row>
    <row r="8" ht="14.25" customHeight="1">
      <c r="A8" s="803">
        <v>5.0</v>
      </c>
      <c r="B8" s="594" t="s">
        <v>516</v>
      </c>
      <c r="C8" s="290"/>
      <c r="D8" s="290"/>
      <c r="E8" s="290"/>
      <c r="F8" s="293"/>
      <c r="G8" s="301"/>
      <c r="H8" s="301"/>
      <c r="I8" s="843"/>
      <c r="J8" s="297"/>
      <c r="K8" s="298"/>
      <c r="L8" s="297"/>
      <c r="M8" s="299"/>
      <c r="N8" s="297"/>
      <c r="O8" s="298"/>
      <c r="P8" s="844"/>
      <c r="Q8" s="840"/>
      <c r="R8" s="840"/>
      <c r="S8" s="840"/>
      <c r="T8" s="840"/>
      <c r="U8" s="840"/>
      <c r="V8" s="840"/>
      <c r="W8" s="840"/>
      <c r="X8" s="840"/>
      <c r="Y8" s="840"/>
      <c r="Z8" s="840"/>
      <c r="AA8" s="840"/>
      <c r="AB8" s="840"/>
      <c r="AC8" s="840"/>
    </row>
    <row r="9" ht="14.25" customHeight="1" outlineLevel="1">
      <c r="A9" s="845">
        <v>6.0</v>
      </c>
      <c r="B9" s="606" t="s">
        <v>1607</v>
      </c>
      <c r="C9" s="606" t="s">
        <v>1004</v>
      </c>
      <c r="D9" s="606"/>
      <c r="E9" s="606" t="s">
        <v>1327</v>
      </c>
      <c r="F9" s="607">
        <v>700.0</v>
      </c>
      <c r="G9" s="311">
        <v>269.0</v>
      </c>
      <c r="H9" s="311">
        <v>269.0</v>
      </c>
      <c r="I9" s="608">
        <v>16.22</v>
      </c>
      <c r="J9" s="314">
        <f t="shared" ref="J9:J11" si="4">I9/H9</f>
        <v>0.06029739777</v>
      </c>
      <c r="K9" s="315">
        <f t="shared" ref="K9:K11" si="5">O9-I9</f>
        <v>242.78</v>
      </c>
      <c r="L9" s="316">
        <f t="shared" ref="L9:L11" si="6">O9/I9-1</f>
        <v>14.96794081</v>
      </c>
      <c r="M9" s="317"/>
      <c r="N9" s="318" t="s">
        <v>112</v>
      </c>
      <c r="O9" s="319">
        <v>259.0</v>
      </c>
      <c r="P9" s="844"/>
      <c r="Q9" s="840"/>
      <c r="R9" s="840"/>
      <c r="S9" s="840"/>
      <c r="T9" s="840"/>
      <c r="U9" s="840"/>
      <c r="V9" s="840"/>
      <c r="W9" s="840"/>
      <c r="X9" s="840"/>
      <c r="Y9" s="840"/>
      <c r="Z9" s="840"/>
      <c r="AA9" s="840"/>
      <c r="AB9" s="840"/>
      <c r="AC9" s="840"/>
    </row>
    <row r="10" ht="14.25" customHeight="1" outlineLevel="1">
      <c r="A10" s="845">
        <v>7.0</v>
      </c>
      <c r="B10" s="606" t="s">
        <v>1608</v>
      </c>
      <c r="C10" s="606" t="s">
        <v>1004</v>
      </c>
      <c r="D10" s="606"/>
      <c r="E10" s="606" t="s">
        <v>1327</v>
      </c>
      <c r="F10" s="607">
        <v>700.0</v>
      </c>
      <c r="G10" s="311">
        <v>269.0</v>
      </c>
      <c r="H10" s="311">
        <v>269.0</v>
      </c>
      <c r="I10" s="608">
        <v>16.22</v>
      </c>
      <c r="J10" s="314">
        <f t="shared" si="4"/>
        <v>0.06029739777</v>
      </c>
      <c r="K10" s="315">
        <f t="shared" si="5"/>
        <v>242.78</v>
      </c>
      <c r="L10" s="316">
        <f t="shared" si="6"/>
        <v>14.96794081</v>
      </c>
      <c r="M10" s="317"/>
      <c r="N10" s="318" t="s">
        <v>112</v>
      </c>
      <c r="O10" s="319">
        <v>259.0</v>
      </c>
      <c r="P10" s="844"/>
      <c r="Q10" s="840"/>
      <c r="R10" s="840"/>
      <c r="S10" s="840"/>
      <c r="T10" s="840"/>
      <c r="U10" s="840"/>
      <c r="V10" s="840"/>
      <c r="W10" s="840"/>
      <c r="X10" s="840"/>
      <c r="Y10" s="840"/>
      <c r="Z10" s="840"/>
      <c r="AA10" s="840"/>
      <c r="AB10" s="840"/>
      <c r="AC10" s="840"/>
    </row>
    <row r="11" ht="14.25" customHeight="1" outlineLevel="1">
      <c r="A11" s="845">
        <v>8.0</v>
      </c>
      <c r="B11" s="606" t="s">
        <v>2092</v>
      </c>
      <c r="C11" s="606" t="s">
        <v>1004</v>
      </c>
      <c r="D11" s="606"/>
      <c r="E11" s="606" t="s">
        <v>1327</v>
      </c>
      <c r="F11" s="607">
        <v>700.0</v>
      </c>
      <c r="G11" s="311">
        <v>269.0</v>
      </c>
      <c r="H11" s="311">
        <v>269.0</v>
      </c>
      <c r="I11" s="608">
        <v>16.22</v>
      </c>
      <c r="J11" s="314">
        <f t="shared" si="4"/>
        <v>0.06029739777</v>
      </c>
      <c r="K11" s="315">
        <f t="shared" si="5"/>
        <v>242.78</v>
      </c>
      <c r="L11" s="316">
        <f t="shared" si="6"/>
        <v>14.96794081</v>
      </c>
      <c r="M11" s="317"/>
      <c r="N11" s="318" t="s">
        <v>112</v>
      </c>
      <c r="O11" s="319">
        <v>259.0</v>
      </c>
      <c r="P11" s="840"/>
      <c r="Q11" s="840"/>
      <c r="R11" s="840"/>
      <c r="S11" s="840"/>
      <c r="T11" s="840"/>
      <c r="U11" s="840"/>
      <c r="V11" s="840"/>
      <c r="W11" s="840"/>
      <c r="X11" s="840"/>
      <c r="Y11" s="840"/>
      <c r="Z11" s="840"/>
      <c r="AA11" s="840"/>
      <c r="AB11" s="840"/>
      <c r="AC11" s="840"/>
    </row>
    <row r="12" ht="14.25" customHeight="1">
      <c r="A12" s="803">
        <v>9.0</v>
      </c>
      <c r="B12" s="594" t="s">
        <v>522</v>
      </c>
      <c r="C12" s="290"/>
      <c r="D12" s="290"/>
      <c r="E12" s="290"/>
      <c r="F12" s="293"/>
      <c r="G12" s="301"/>
      <c r="H12" s="301"/>
      <c r="I12" s="843"/>
      <c r="J12" s="297"/>
      <c r="K12" s="298"/>
      <c r="L12" s="297"/>
      <c r="M12" s="299"/>
      <c r="N12" s="290"/>
      <c r="O12" s="298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</row>
    <row r="13" ht="14.25" customHeight="1" outlineLevel="1">
      <c r="A13" s="845">
        <v>10.0</v>
      </c>
      <c r="B13" s="606" t="s">
        <v>1609</v>
      </c>
      <c r="C13" s="606" t="s">
        <v>1004</v>
      </c>
      <c r="D13" s="606"/>
      <c r="E13" s="606" t="s">
        <v>1327</v>
      </c>
      <c r="F13" s="607">
        <v>700.0</v>
      </c>
      <c r="G13" s="311">
        <v>269.0</v>
      </c>
      <c r="H13" s="311">
        <v>269.0</v>
      </c>
      <c r="I13" s="608">
        <v>16.22</v>
      </c>
      <c r="J13" s="314">
        <f t="shared" ref="J13:J14" si="7">I13/H13</f>
        <v>0.06029739777</v>
      </c>
      <c r="K13" s="315">
        <f t="shared" ref="K13:K14" si="8">O13-I13</f>
        <v>242.78</v>
      </c>
      <c r="L13" s="316">
        <f t="shared" ref="L13:L14" si="9">O13/I13-1</f>
        <v>14.96794081</v>
      </c>
      <c r="M13" s="317"/>
      <c r="N13" s="318" t="s">
        <v>112</v>
      </c>
      <c r="O13" s="319">
        <v>259.0</v>
      </c>
      <c r="P13" s="844"/>
      <c r="Q13" s="840"/>
      <c r="R13" s="840"/>
      <c r="S13" s="840"/>
      <c r="T13" s="840"/>
      <c r="U13" s="840"/>
      <c r="V13" s="840"/>
      <c r="W13" s="840"/>
      <c r="X13" s="840"/>
      <c r="Y13" s="840"/>
      <c r="Z13" s="840"/>
      <c r="AA13" s="840"/>
      <c r="AB13" s="840"/>
      <c r="AC13" s="840"/>
    </row>
    <row r="14" ht="14.25" customHeight="1" outlineLevel="1">
      <c r="A14" s="845">
        <v>11.0</v>
      </c>
      <c r="B14" s="606" t="s">
        <v>1610</v>
      </c>
      <c r="C14" s="606" t="s">
        <v>1004</v>
      </c>
      <c r="D14" s="606"/>
      <c r="E14" s="606" t="s">
        <v>1327</v>
      </c>
      <c r="F14" s="607">
        <v>700.0</v>
      </c>
      <c r="G14" s="311">
        <v>269.0</v>
      </c>
      <c r="H14" s="311">
        <v>269.0</v>
      </c>
      <c r="I14" s="608">
        <v>16.22</v>
      </c>
      <c r="J14" s="314">
        <f t="shared" si="7"/>
        <v>0.06029739777</v>
      </c>
      <c r="K14" s="315">
        <f t="shared" si="8"/>
        <v>242.78</v>
      </c>
      <c r="L14" s="316">
        <f t="shared" si="9"/>
        <v>14.96794081</v>
      </c>
      <c r="M14" s="317"/>
      <c r="N14" s="318" t="s">
        <v>112</v>
      </c>
      <c r="O14" s="319">
        <v>259.0</v>
      </c>
      <c r="P14" s="844"/>
      <c r="Q14" s="840"/>
      <c r="R14" s="840"/>
      <c r="S14" s="840"/>
      <c r="T14" s="840"/>
      <c r="U14" s="840"/>
      <c r="V14" s="840"/>
      <c r="W14" s="840"/>
      <c r="X14" s="840"/>
      <c r="Y14" s="840"/>
      <c r="Z14" s="840"/>
      <c r="AA14" s="840"/>
      <c r="AB14" s="840"/>
      <c r="AC14" s="840"/>
    </row>
    <row r="15" ht="14.25" customHeight="1">
      <c r="A15" s="803">
        <v>12.0</v>
      </c>
      <c r="B15" s="594" t="s">
        <v>528</v>
      </c>
      <c r="C15" s="290"/>
      <c r="D15" s="290"/>
      <c r="E15" s="290"/>
      <c r="F15" s="293"/>
      <c r="G15" s="301"/>
      <c r="H15" s="301"/>
      <c r="I15" s="843"/>
      <c r="J15" s="297"/>
      <c r="K15" s="298"/>
      <c r="L15" s="297"/>
      <c r="M15" s="299"/>
      <c r="N15" s="297"/>
      <c r="O15" s="298"/>
      <c r="P15" s="844"/>
      <c r="Q15" s="840"/>
      <c r="R15" s="840"/>
      <c r="S15" s="840"/>
      <c r="T15" s="840"/>
      <c r="U15" s="840"/>
      <c r="V15" s="840"/>
      <c r="W15" s="840"/>
      <c r="X15" s="840"/>
      <c r="Y15" s="840"/>
      <c r="Z15" s="840"/>
      <c r="AA15" s="840"/>
      <c r="AB15" s="840"/>
      <c r="AC15" s="840"/>
    </row>
    <row r="16" ht="14.25" customHeight="1" outlineLevel="1">
      <c r="A16" s="845">
        <v>13.0</v>
      </c>
      <c r="B16" s="595" t="s">
        <v>2093</v>
      </c>
      <c r="C16" s="595" t="s">
        <v>2094</v>
      </c>
      <c r="D16" s="595" t="s">
        <v>2095</v>
      </c>
      <c r="E16" s="606" t="s">
        <v>1327</v>
      </c>
      <c r="F16" s="607">
        <v>600.0</v>
      </c>
      <c r="G16" s="311">
        <v>329.0</v>
      </c>
      <c r="H16" s="311">
        <v>329.0</v>
      </c>
      <c r="I16" s="608">
        <v>36.85</v>
      </c>
      <c r="J16" s="846">
        <f t="shared" ref="J16:J19" si="10">I16/H16</f>
        <v>0.112006079</v>
      </c>
      <c r="K16" s="411">
        <f t="shared" ref="K16:K20" si="11">O16-I16</f>
        <v>262.15</v>
      </c>
      <c r="L16" s="316">
        <f t="shared" ref="L16:L20" si="12">O16/I16-1</f>
        <v>7.113975577</v>
      </c>
      <c r="M16" s="317"/>
      <c r="N16" s="318" t="s">
        <v>112</v>
      </c>
      <c r="O16" s="319">
        <v>299.0</v>
      </c>
      <c r="P16" s="840"/>
      <c r="Q16" s="840"/>
      <c r="R16" s="840"/>
      <c r="S16" s="840"/>
      <c r="T16" s="840"/>
      <c r="U16" s="840"/>
      <c r="V16" s="840"/>
      <c r="W16" s="840"/>
      <c r="X16" s="840"/>
      <c r="Y16" s="840"/>
      <c r="Z16" s="840"/>
      <c r="AA16" s="840"/>
      <c r="AB16" s="840"/>
      <c r="AC16" s="840"/>
    </row>
    <row r="17" ht="14.25" customHeight="1" outlineLevel="1">
      <c r="A17" s="845">
        <v>14.0</v>
      </c>
      <c r="B17" s="595" t="s">
        <v>2096</v>
      </c>
      <c r="C17" s="595" t="s">
        <v>2097</v>
      </c>
      <c r="D17" s="595" t="s">
        <v>2098</v>
      </c>
      <c r="E17" s="606" t="s">
        <v>1327</v>
      </c>
      <c r="F17" s="607">
        <v>600.0</v>
      </c>
      <c r="G17" s="311">
        <v>329.0</v>
      </c>
      <c r="H17" s="311">
        <v>329.0</v>
      </c>
      <c r="I17" s="608">
        <v>29.04</v>
      </c>
      <c r="J17" s="846">
        <f t="shared" si="10"/>
        <v>0.0882674772</v>
      </c>
      <c r="K17" s="315">
        <f t="shared" si="11"/>
        <v>269.96</v>
      </c>
      <c r="L17" s="316">
        <f t="shared" si="12"/>
        <v>9.296143251</v>
      </c>
      <c r="M17" s="317"/>
      <c r="N17" s="318" t="s">
        <v>112</v>
      </c>
      <c r="O17" s="319">
        <v>299.0</v>
      </c>
      <c r="P17" s="844"/>
      <c r="Q17" s="840"/>
      <c r="R17" s="840"/>
      <c r="S17" s="840"/>
      <c r="T17" s="840"/>
      <c r="U17" s="840"/>
      <c r="V17" s="840"/>
      <c r="W17" s="840"/>
      <c r="X17" s="840"/>
      <c r="Y17" s="840"/>
      <c r="Z17" s="840"/>
      <c r="AA17" s="840"/>
      <c r="AB17" s="840"/>
      <c r="AC17" s="840"/>
    </row>
    <row r="18" ht="14.25" customHeight="1" outlineLevel="1">
      <c r="A18" s="845">
        <v>15.0</v>
      </c>
      <c r="B18" s="595" t="s">
        <v>2099</v>
      </c>
      <c r="C18" s="595" t="s">
        <v>2100</v>
      </c>
      <c r="D18" s="595" t="s">
        <v>2101</v>
      </c>
      <c r="E18" s="606" t="s">
        <v>1327</v>
      </c>
      <c r="F18" s="607">
        <v>600.0</v>
      </c>
      <c r="G18" s="311">
        <v>329.0</v>
      </c>
      <c r="H18" s="311">
        <v>329.0</v>
      </c>
      <c r="I18" s="608">
        <v>43.24</v>
      </c>
      <c r="J18" s="846">
        <f t="shared" si="10"/>
        <v>0.1314285714</v>
      </c>
      <c r="K18" s="315">
        <f t="shared" si="11"/>
        <v>255.76</v>
      </c>
      <c r="L18" s="316">
        <f t="shared" si="12"/>
        <v>5.914893617</v>
      </c>
      <c r="M18" s="317"/>
      <c r="N18" s="318" t="s">
        <v>112</v>
      </c>
      <c r="O18" s="319">
        <v>299.0</v>
      </c>
      <c r="P18" s="840"/>
      <c r="Q18" s="840"/>
      <c r="R18" s="840"/>
      <c r="S18" s="840"/>
      <c r="T18" s="840"/>
      <c r="U18" s="840"/>
      <c r="V18" s="840"/>
      <c r="W18" s="840"/>
      <c r="X18" s="840"/>
      <c r="Y18" s="840"/>
      <c r="Z18" s="840"/>
      <c r="AA18" s="840"/>
      <c r="AB18" s="840"/>
      <c r="AC18" s="840"/>
    </row>
    <row r="19" ht="14.25" customHeight="1" outlineLevel="1">
      <c r="A19" s="845">
        <v>16.0</v>
      </c>
      <c r="B19" s="595" t="s">
        <v>1611</v>
      </c>
      <c r="C19" s="595" t="s">
        <v>1332</v>
      </c>
      <c r="D19" s="595" t="s">
        <v>1612</v>
      </c>
      <c r="E19" s="595" t="s">
        <v>1327</v>
      </c>
      <c r="F19" s="602">
        <v>600.0</v>
      </c>
      <c r="G19" s="311">
        <v>329.0</v>
      </c>
      <c r="H19" s="311">
        <v>329.0</v>
      </c>
      <c r="I19" s="603">
        <v>36.79</v>
      </c>
      <c r="J19" s="846">
        <f t="shared" si="10"/>
        <v>0.1118237082</v>
      </c>
      <c r="K19" s="300">
        <f t="shared" si="11"/>
        <v>262.21</v>
      </c>
      <c r="L19" s="413">
        <f t="shared" si="12"/>
        <v>7.127208481</v>
      </c>
      <c r="M19" s="331"/>
      <c r="N19" s="318" t="s">
        <v>112</v>
      </c>
      <c r="O19" s="319">
        <v>299.0</v>
      </c>
      <c r="P19" s="840"/>
      <c r="Q19" s="840"/>
      <c r="R19" s="840"/>
      <c r="S19" s="840"/>
      <c r="T19" s="840"/>
      <c r="U19" s="840"/>
      <c r="V19" s="840"/>
      <c r="W19" s="840"/>
      <c r="X19" s="840"/>
      <c r="Y19" s="840"/>
      <c r="Z19" s="840"/>
      <c r="AA19" s="840"/>
      <c r="AB19" s="840"/>
      <c r="AC19" s="840"/>
    </row>
    <row r="20" ht="15.75" customHeight="1" outlineLevel="1">
      <c r="A20" s="847">
        <v>17.0</v>
      </c>
      <c r="B20" s="416" t="s">
        <v>1613</v>
      </c>
      <c r="C20" s="321" t="s">
        <v>1335</v>
      </c>
      <c r="D20" s="422" t="s">
        <v>1614</v>
      </c>
      <c r="E20" s="321"/>
      <c r="F20" s="848">
        <v>600.0</v>
      </c>
      <c r="G20" s="301">
        <v>329.0</v>
      </c>
      <c r="H20" s="301">
        <v>329.0</v>
      </c>
      <c r="I20" s="849">
        <v>47.26</v>
      </c>
      <c r="J20" s="332">
        <f>I20/O20</f>
        <v>0.169390681</v>
      </c>
      <c r="K20" s="319">
        <f t="shared" si="11"/>
        <v>231.74</v>
      </c>
      <c r="L20" s="332">
        <f t="shared" si="12"/>
        <v>4.903512484</v>
      </c>
      <c r="M20" s="331"/>
      <c r="N20" s="332" t="s">
        <v>112</v>
      </c>
      <c r="O20" s="429">
        <v>279.0</v>
      </c>
      <c r="P20" s="760"/>
      <c r="Q20" s="760"/>
      <c r="R20" s="760"/>
      <c r="S20" s="760"/>
      <c r="T20" s="760"/>
      <c r="U20" s="760"/>
      <c r="V20" s="760"/>
      <c r="W20" s="760"/>
      <c r="X20" s="760"/>
      <c r="Y20" s="760"/>
      <c r="Z20" s="760"/>
      <c r="AA20" s="760"/>
      <c r="AB20" s="760"/>
      <c r="AC20" s="760"/>
    </row>
    <row r="21" ht="14.25" customHeight="1" collapsed="1">
      <c r="A21" s="803">
        <v>18.0</v>
      </c>
      <c r="B21" s="594" t="s">
        <v>2102</v>
      </c>
      <c r="C21" s="290"/>
      <c r="D21" s="290"/>
      <c r="E21" s="290"/>
      <c r="F21" s="293"/>
      <c r="G21" s="301"/>
      <c r="H21" s="301"/>
      <c r="I21" s="843"/>
      <c r="J21" s="297"/>
      <c r="K21" s="298"/>
      <c r="L21" s="297"/>
      <c r="M21" s="299"/>
      <c r="N21" s="290"/>
      <c r="O21" s="298"/>
      <c r="P21" s="844"/>
      <c r="Q21" s="840"/>
      <c r="R21" s="840"/>
      <c r="S21" s="840"/>
      <c r="T21" s="840"/>
      <c r="U21" s="840"/>
      <c r="V21" s="840"/>
      <c r="W21" s="840"/>
      <c r="X21" s="840"/>
      <c r="Y21" s="840"/>
      <c r="Z21" s="840"/>
      <c r="AA21" s="840"/>
      <c r="AB21" s="840"/>
      <c r="AC21" s="840"/>
    </row>
    <row r="22" ht="15.75" hidden="1" customHeight="1" outlineLevel="1">
      <c r="A22" s="847">
        <v>19.0</v>
      </c>
      <c r="B22" s="416" t="s">
        <v>2103</v>
      </c>
      <c r="C22" s="321" t="s">
        <v>2104</v>
      </c>
      <c r="D22" s="422" t="s">
        <v>2105</v>
      </c>
      <c r="E22" s="321"/>
      <c r="F22" s="848">
        <v>180.0</v>
      </c>
      <c r="G22" s="301">
        <v>299.0</v>
      </c>
      <c r="H22" s="301">
        <v>299.0</v>
      </c>
      <c r="I22" s="849">
        <v>54.16</v>
      </c>
      <c r="J22" s="332">
        <f t="shared" ref="J22:J29" si="13">I22/O22</f>
        <v>0.1811371237</v>
      </c>
      <c r="K22" s="319">
        <f t="shared" ref="K22:K29" si="14">O22-I22</f>
        <v>244.84</v>
      </c>
      <c r="L22" s="332">
        <f t="shared" ref="L22:L29" si="15">O22/I22-1</f>
        <v>4.520679468</v>
      </c>
      <c r="M22" s="331"/>
      <c r="N22" s="332" t="s">
        <v>112</v>
      </c>
      <c r="O22" s="429">
        <v>299.0</v>
      </c>
      <c r="P22" s="760"/>
      <c r="Q22" s="760"/>
      <c r="R22" s="760"/>
      <c r="S22" s="760"/>
      <c r="T22" s="760"/>
      <c r="U22" s="760"/>
      <c r="V22" s="760"/>
      <c r="W22" s="760"/>
      <c r="X22" s="760"/>
      <c r="Y22" s="760"/>
      <c r="Z22" s="760"/>
      <c r="AA22" s="760"/>
      <c r="AB22" s="760"/>
      <c r="AC22" s="760"/>
    </row>
    <row r="23" ht="15.75" hidden="1" customHeight="1" outlineLevel="1">
      <c r="A23" s="847">
        <v>20.0</v>
      </c>
      <c r="B23" s="416" t="s">
        <v>2103</v>
      </c>
      <c r="C23" s="321" t="s">
        <v>2104</v>
      </c>
      <c r="D23" s="422" t="s">
        <v>2105</v>
      </c>
      <c r="E23" s="321"/>
      <c r="F23" s="848">
        <v>360.0</v>
      </c>
      <c r="G23" s="301">
        <v>499.0</v>
      </c>
      <c r="H23" s="301">
        <v>499.0</v>
      </c>
      <c r="I23" s="849">
        <v>99.63</v>
      </c>
      <c r="J23" s="332">
        <f t="shared" si="13"/>
        <v>0.1996593186</v>
      </c>
      <c r="K23" s="319">
        <f t="shared" si="14"/>
        <v>399.37</v>
      </c>
      <c r="L23" s="332">
        <f t="shared" si="15"/>
        <v>4.008531567</v>
      </c>
      <c r="M23" s="331"/>
      <c r="N23" s="332" t="s">
        <v>112</v>
      </c>
      <c r="O23" s="429">
        <v>499.0</v>
      </c>
      <c r="P23" s="760"/>
      <c r="Q23" s="760"/>
      <c r="R23" s="760"/>
      <c r="S23" s="760"/>
      <c r="T23" s="760"/>
      <c r="U23" s="760"/>
      <c r="V23" s="760"/>
      <c r="W23" s="760"/>
      <c r="X23" s="760"/>
      <c r="Y23" s="760"/>
      <c r="Z23" s="760"/>
      <c r="AA23" s="760"/>
      <c r="AB23" s="760"/>
      <c r="AC23" s="760"/>
    </row>
    <row r="24" ht="15.75" hidden="1" customHeight="1" outlineLevel="1">
      <c r="A24" s="847">
        <v>21.0</v>
      </c>
      <c r="B24" s="416" t="s">
        <v>2106</v>
      </c>
      <c r="C24" s="321" t="s">
        <v>2107</v>
      </c>
      <c r="D24" s="422" t="s">
        <v>2108</v>
      </c>
      <c r="E24" s="321"/>
      <c r="F24" s="848">
        <v>180.0</v>
      </c>
      <c r="G24" s="301">
        <v>299.0</v>
      </c>
      <c r="H24" s="301">
        <v>299.0</v>
      </c>
      <c r="I24" s="849">
        <v>56.47</v>
      </c>
      <c r="J24" s="332">
        <f t="shared" si="13"/>
        <v>0.1888628763</v>
      </c>
      <c r="K24" s="319">
        <f t="shared" si="14"/>
        <v>242.53</v>
      </c>
      <c r="L24" s="332">
        <f t="shared" si="15"/>
        <v>4.294846821</v>
      </c>
      <c r="M24" s="331"/>
      <c r="N24" s="332" t="s">
        <v>112</v>
      </c>
      <c r="O24" s="429">
        <v>299.0</v>
      </c>
      <c r="P24" s="760"/>
      <c r="Q24" s="760"/>
      <c r="R24" s="760"/>
      <c r="S24" s="760"/>
      <c r="T24" s="760"/>
      <c r="U24" s="760"/>
      <c r="V24" s="760"/>
      <c r="W24" s="760"/>
      <c r="X24" s="760"/>
      <c r="Y24" s="760"/>
      <c r="Z24" s="760"/>
      <c r="AA24" s="760"/>
      <c r="AB24" s="760"/>
      <c r="AC24" s="760"/>
    </row>
    <row r="25" ht="15.75" hidden="1" customHeight="1" outlineLevel="1">
      <c r="A25" s="847">
        <v>22.0</v>
      </c>
      <c r="B25" s="416" t="s">
        <v>2106</v>
      </c>
      <c r="C25" s="321" t="s">
        <v>2107</v>
      </c>
      <c r="D25" s="422" t="s">
        <v>2108</v>
      </c>
      <c r="E25" s="321"/>
      <c r="F25" s="848">
        <v>360.0</v>
      </c>
      <c r="G25" s="301">
        <v>499.0</v>
      </c>
      <c r="H25" s="301">
        <v>499.0</v>
      </c>
      <c r="I25" s="849">
        <v>104.25</v>
      </c>
      <c r="J25" s="332">
        <f t="shared" si="13"/>
        <v>0.2089178357</v>
      </c>
      <c r="K25" s="319">
        <f t="shared" si="14"/>
        <v>394.75</v>
      </c>
      <c r="L25" s="332">
        <f t="shared" si="15"/>
        <v>3.786570743</v>
      </c>
      <c r="M25" s="331"/>
      <c r="N25" s="332" t="s">
        <v>112</v>
      </c>
      <c r="O25" s="429">
        <v>499.0</v>
      </c>
      <c r="P25" s="760"/>
      <c r="Q25" s="760"/>
      <c r="R25" s="760"/>
      <c r="S25" s="760"/>
      <c r="T25" s="760"/>
      <c r="U25" s="760"/>
      <c r="V25" s="760"/>
      <c r="W25" s="760"/>
      <c r="X25" s="760"/>
      <c r="Y25" s="760"/>
      <c r="Z25" s="760"/>
      <c r="AA25" s="760"/>
      <c r="AB25" s="760"/>
      <c r="AC25" s="760"/>
    </row>
    <row r="26" ht="15.75" hidden="1" customHeight="1" outlineLevel="1">
      <c r="A26" s="847">
        <v>23.0</v>
      </c>
      <c r="B26" s="416" t="s">
        <v>2109</v>
      </c>
      <c r="C26" s="321" t="s">
        <v>2110</v>
      </c>
      <c r="D26" s="422" t="s">
        <v>2111</v>
      </c>
      <c r="E26" s="321"/>
      <c r="F26" s="848">
        <v>180.0</v>
      </c>
      <c r="G26" s="301">
        <v>199.0</v>
      </c>
      <c r="H26" s="301">
        <v>199.0</v>
      </c>
      <c r="I26" s="849">
        <v>34.11</v>
      </c>
      <c r="J26" s="332">
        <f t="shared" si="13"/>
        <v>0.1714070352</v>
      </c>
      <c r="K26" s="319">
        <f t="shared" si="14"/>
        <v>164.89</v>
      </c>
      <c r="L26" s="332">
        <f t="shared" si="15"/>
        <v>4.834066256</v>
      </c>
      <c r="M26" s="331"/>
      <c r="N26" s="332" t="s">
        <v>112</v>
      </c>
      <c r="O26" s="429">
        <v>199.0</v>
      </c>
      <c r="P26" s="760"/>
      <c r="Q26" s="760"/>
      <c r="R26" s="760"/>
      <c r="S26" s="760"/>
      <c r="T26" s="760"/>
      <c r="U26" s="760"/>
      <c r="V26" s="760"/>
      <c r="W26" s="760"/>
      <c r="X26" s="760"/>
      <c r="Y26" s="760"/>
      <c r="Z26" s="760"/>
      <c r="AA26" s="760"/>
      <c r="AB26" s="760"/>
      <c r="AC26" s="760"/>
    </row>
    <row r="27" ht="15.75" hidden="1" customHeight="1" outlineLevel="1">
      <c r="A27" s="847">
        <v>24.0</v>
      </c>
      <c r="B27" s="416" t="s">
        <v>2109</v>
      </c>
      <c r="C27" s="321" t="s">
        <v>2110</v>
      </c>
      <c r="D27" s="422" t="s">
        <v>2111</v>
      </c>
      <c r="E27" s="321"/>
      <c r="F27" s="848">
        <v>360.0</v>
      </c>
      <c r="G27" s="301">
        <v>349.0</v>
      </c>
      <c r="H27" s="301">
        <v>349.0</v>
      </c>
      <c r="I27" s="849">
        <v>60.0</v>
      </c>
      <c r="J27" s="332">
        <f t="shared" si="13"/>
        <v>0.1719197708</v>
      </c>
      <c r="K27" s="319">
        <f t="shared" si="14"/>
        <v>289</v>
      </c>
      <c r="L27" s="332">
        <f t="shared" si="15"/>
        <v>4.816666667</v>
      </c>
      <c r="M27" s="331"/>
      <c r="N27" s="332" t="s">
        <v>112</v>
      </c>
      <c r="O27" s="429">
        <v>349.0</v>
      </c>
      <c r="P27" s="760"/>
      <c r="Q27" s="760"/>
      <c r="R27" s="760"/>
      <c r="S27" s="760"/>
      <c r="T27" s="760"/>
      <c r="U27" s="760"/>
      <c r="V27" s="760"/>
      <c r="W27" s="760"/>
      <c r="X27" s="760"/>
      <c r="Y27" s="760"/>
      <c r="Z27" s="760"/>
      <c r="AA27" s="760"/>
      <c r="AB27" s="760"/>
      <c r="AC27" s="760"/>
    </row>
    <row r="28" ht="15.75" hidden="1" customHeight="1" outlineLevel="1">
      <c r="A28" s="847">
        <v>25.0</v>
      </c>
      <c r="B28" s="416" t="s">
        <v>2112</v>
      </c>
      <c r="C28" s="321" t="s">
        <v>2113</v>
      </c>
      <c r="D28" s="422" t="s">
        <v>2114</v>
      </c>
      <c r="E28" s="321"/>
      <c r="F28" s="848">
        <v>180.0</v>
      </c>
      <c r="G28" s="301">
        <v>199.0</v>
      </c>
      <c r="H28" s="301">
        <v>199.0</v>
      </c>
      <c r="I28" s="849">
        <v>36.81</v>
      </c>
      <c r="J28" s="332">
        <f t="shared" si="13"/>
        <v>0.1849748744</v>
      </c>
      <c r="K28" s="319">
        <f t="shared" si="14"/>
        <v>162.19</v>
      </c>
      <c r="L28" s="332">
        <f t="shared" si="15"/>
        <v>4.406139636</v>
      </c>
      <c r="M28" s="331"/>
      <c r="N28" s="332" t="s">
        <v>112</v>
      </c>
      <c r="O28" s="429">
        <v>199.0</v>
      </c>
      <c r="P28" s="760"/>
      <c r="Q28" s="760"/>
      <c r="R28" s="760"/>
      <c r="S28" s="760"/>
      <c r="T28" s="760"/>
      <c r="U28" s="760"/>
      <c r="V28" s="760"/>
      <c r="W28" s="760"/>
      <c r="X28" s="760"/>
      <c r="Y28" s="760"/>
      <c r="Z28" s="760"/>
      <c r="AA28" s="760"/>
      <c r="AB28" s="760"/>
      <c r="AC28" s="760"/>
    </row>
    <row r="29" ht="15.75" hidden="1" customHeight="1" outlineLevel="1">
      <c r="A29" s="847">
        <v>26.0</v>
      </c>
      <c r="B29" s="416" t="s">
        <v>2112</v>
      </c>
      <c r="C29" s="321" t="s">
        <v>2113</v>
      </c>
      <c r="D29" s="422" t="s">
        <v>2114</v>
      </c>
      <c r="E29" s="321"/>
      <c r="F29" s="848">
        <v>360.0</v>
      </c>
      <c r="G29" s="301">
        <v>349.0</v>
      </c>
      <c r="H29" s="301">
        <v>349.0</v>
      </c>
      <c r="I29" s="849">
        <v>62.79</v>
      </c>
      <c r="J29" s="332">
        <f t="shared" si="13"/>
        <v>0.1799140401</v>
      </c>
      <c r="K29" s="319">
        <f t="shared" si="14"/>
        <v>286.21</v>
      </c>
      <c r="L29" s="332">
        <f t="shared" si="15"/>
        <v>4.558209906</v>
      </c>
      <c r="M29" s="331"/>
      <c r="N29" s="332" t="s">
        <v>112</v>
      </c>
      <c r="O29" s="429">
        <v>349.0</v>
      </c>
      <c r="P29" s="760"/>
      <c r="Q29" s="760"/>
      <c r="R29" s="760"/>
      <c r="S29" s="760"/>
      <c r="T29" s="760"/>
      <c r="U29" s="760"/>
      <c r="V29" s="760"/>
      <c r="W29" s="760"/>
      <c r="X29" s="760"/>
      <c r="Y29" s="760"/>
      <c r="Z29" s="760"/>
      <c r="AA29" s="760"/>
      <c r="AB29" s="760"/>
      <c r="AC29" s="760"/>
    </row>
    <row r="30" ht="14.25" customHeight="1">
      <c r="A30" s="803">
        <v>27.0</v>
      </c>
      <c r="B30" s="594" t="s">
        <v>543</v>
      </c>
      <c r="C30" s="290"/>
      <c r="D30" s="290"/>
      <c r="E30" s="290"/>
      <c r="F30" s="293"/>
      <c r="G30" s="301"/>
      <c r="H30" s="301"/>
      <c r="I30" s="843"/>
      <c r="J30" s="297"/>
      <c r="K30" s="298"/>
      <c r="L30" s="297"/>
      <c r="M30" s="299"/>
      <c r="N30" s="290"/>
      <c r="O30" s="298"/>
      <c r="P30" s="844"/>
      <c r="Q30" s="840"/>
      <c r="R30" s="840"/>
      <c r="S30" s="840"/>
      <c r="T30" s="840"/>
      <c r="U30" s="840"/>
      <c r="V30" s="840"/>
      <c r="W30" s="840"/>
      <c r="X30" s="840"/>
      <c r="Y30" s="840"/>
      <c r="Z30" s="840"/>
      <c r="AA30" s="840"/>
      <c r="AB30" s="840"/>
      <c r="AC30" s="840"/>
    </row>
    <row r="31" ht="14.25" customHeight="1" outlineLevel="1">
      <c r="A31" s="285">
        <v>28.0</v>
      </c>
      <c r="B31" s="595" t="s">
        <v>545</v>
      </c>
      <c r="C31" s="595"/>
      <c r="D31" s="595"/>
      <c r="E31" s="595" t="s">
        <v>2115</v>
      </c>
      <c r="F31" s="602">
        <v>10.0</v>
      </c>
      <c r="G31" s="301">
        <v>15.0</v>
      </c>
      <c r="H31" s="301">
        <v>15.0</v>
      </c>
      <c r="I31" s="603">
        <v>3.23</v>
      </c>
      <c r="J31" s="481">
        <f t="shared" ref="J31:J35" si="16">I31/H31</f>
        <v>0.2153333333</v>
      </c>
      <c r="K31" s="300">
        <f t="shared" ref="K31:K35" si="17">O31-I31</f>
        <v>11.77</v>
      </c>
      <c r="L31" s="413">
        <f t="shared" ref="L31:L35" si="18">O31/I31-1</f>
        <v>3.643962848</v>
      </c>
      <c r="M31" s="331"/>
      <c r="N31" s="318" t="s">
        <v>112</v>
      </c>
      <c r="O31" s="300">
        <v>15.0</v>
      </c>
      <c r="P31" s="844"/>
      <c r="Q31" s="840"/>
      <c r="R31" s="840"/>
      <c r="S31" s="840"/>
      <c r="T31" s="840"/>
      <c r="U31" s="840"/>
      <c r="V31" s="840"/>
      <c r="W31" s="840"/>
      <c r="X31" s="840"/>
      <c r="Y31" s="840"/>
      <c r="Z31" s="840"/>
      <c r="AA31" s="840"/>
      <c r="AB31" s="840"/>
      <c r="AC31" s="840"/>
    </row>
    <row r="32" ht="14.25" customHeight="1" outlineLevel="1">
      <c r="A32" s="285">
        <v>29.0</v>
      </c>
      <c r="B32" s="595" t="s">
        <v>546</v>
      </c>
      <c r="C32" s="595"/>
      <c r="D32" s="595"/>
      <c r="E32" s="595" t="s">
        <v>2115</v>
      </c>
      <c r="F32" s="602">
        <v>5.0</v>
      </c>
      <c r="G32" s="301">
        <v>39.0</v>
      </c>
      <c r="H32" s="301">
        <v>39.0</v>
      </c>
      <c r="I32" s="603">
        <v>2.63</v>
      </c>
      <c r="J32" s="481">
        <f t="shared" si="16"/>
        <v>0.06743589744</v>
      </c>
      <c r="K32" s="300">
        <f t="shared" si="17"/>
        <v>26.37</v>
      </c>
      <c r="L32" s="413">
        <f t="shared" si="18"/>
        <v>10.02661597</v>
      </c>
      <c r="M32" s="331"/>
      <c r="N32" s="318" t="s">
        <v>112</v>
      </c>
      <c r="O32" s="300">
        <v>29.0</v>
      </c>
      <c r="P32" s="844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</row>
    <row r="33" ht="14.25" customHeight="1" outlineLevel="1">
      <c r="A33" s="285">
        <v>30.0</v>
      </c>
      <c r="B33" s="595" t="s">
        <v>547</v>
      </c>
      <c r="C33" s="595"/>
      <c r="D33" s="595"/>
      <c r="E33" s="595" t="s">
        <v>2115</v>
      </c>
      <c r="F33" s="602">
        <v>3.0</v>
      </c>
      <c r="G33" s="301">
        <v>39.0</v>
      </c>
      <c r="H33" s="301">
        <v>39.0</v>
      </c>
      <c r="I33" s="603">
        <v>3.69</v>
      </c>
      <c r="J33" s="481">
        <f t="shared" si="16"/>
        <v>0.09461538462</v>
      </c>
      <c r="K33" s="300">
        <f t="shared" si="17"/>
        <v>25.31</v>
      </c>
      <c r="L33" s="413">
        <f t="shared" si="18"/>
        <v>6.859078591</v>
      </c>
      <c r="M33" s="331"/>
      <c r="N33" s="318" t="s">
        <v>112</v>
      </c>
      <c r="O33" s="300">
        <v>29.0</v>
      </c>
      <c r="P33" s="844"/>
      <c r="Q33" s="840"/>
      <c r="R33" s="840"/>
      <c r="S33" s="840"/>
      <c r="T33" s="840"/>
      <c r="U33" s="840"/>
      <c r="V33" s="840"/>
      <c r="W33" s="840"/>
      <c r="X33" s="840"/>
      <c r="Y33" s="840"/>
      <c r="Z33" s="840"/>
      <c r="AA33" s="840"/>
      <c r="AB33" s="840"/>
      <c r="AC33" s="840"/>
    </row>
    <row r="34" ht="14.25" customHeight="1" outlineLevel="1">
      <c r="A34" s="285">
        <v>31.0</v>
      </c>
      <c r="B34" s="595" t="s">
        <v>548</v>
      </c>
      <c r="C34" s="595"/>
      <c r="D34" s="595"/>
      <c r="E34" s="595" t="s">
        <v>2115</v>
      </c>
      <c r="F34" s="602">
        <v>50.0</v>
      </c>
      <c r="G34" s="301">
        <v>59.0</v>
      </c>
      <c r="H34" s="301">
        <v>59.0</v>
      </c>
      <c r="I34" s="603">
        <v>5.74</v>
      </c>
      <c r="J34" s="481">
        <f t="shared" si="16"/>
        <v>0.09728813559</v>
      </c>
      <c r="K34" s="300">
        <f t="shared" si="17"/>
        <v>53.26</v>
      </c>
      <c r="L34" s="413">
        <f t="shared" si="18"/>
        <v>9.278745645</v>
      </c>
      <c r="M34" s="331"/>
      <c r="N34" s="318" t="s">
        <v>112</v>
      </c>
      <c r="O34" s="300">
        <v>59.0</v>
      </c>
      <c r="P34" s="844"/>
      <c r="Q34" s="840"/>
      <c r="R34" s="840"/>
      <c r="S34" s="840"/>
      <c r="T34" s="840"/>
      <c r="U34" s="840"/>
      <c r="V34" s="840"/>
      <c r="W34" s="840"/>
      <c r="X34" s="840"/>
      <c r="Y34" s="840"/>
      <c r="Z34" s="840"/>
      <c r="AA34" s="840"/>
      <c r="AB34" s="840"/>
      <c r="AC34" s="840"/>
    </row>
    <row r="35" ht="14.25" customHeight="1" outlineLevel="1">
      <c r="A35" s="285">
        <v>32.0</v>
      </c>
      <c r="B35" s="595" t="s">
        <v>549</v>
      </c>
      <c r="C35" s="595"/>
      <c r="D35" s="595"/>
      <c r="E35" s="595" t="s">
        <v>2115</v>
      </c>
      <c r="F35" s="602">
        <v>15.0</v>
      </c>
      <c r="G35" s="301">
        <v>39.0</v>
      </c>
      <c r="H35" s="301">
        <v>39.0</v>
      </c>
      <c r="I35" s="603">
        <v>15.27</v>
      </c>
      <c r="J35" s="481">
        <f t="shared" si="16"/>
        <v>0.3915384615</v>
      </c>
      <c r="K35" s="300">
        <f t="shared" si="17"/>
        <v>43.73</v>
      </c>
      <c r="L35" s="413">
        <f t="shared" si="18"/>
        <v>2.8637852</v>
      </c>
      <c r="M35" s="331"/>
      <c r="N35" s="318" t="s">
        <v>112</v>
      </c>
      <c r="O35" s="300">
        <v>59.0</v>
      </c>
      <c r="P35" s="844"/>
      <c r="Q35" s="840"/>
      <c r="R35" s="840"/>
      <c r="S35" s="840"/>
      <c r="T35" s="840"/>
      <c r="U35" s="840"/>
      <c r="V35" s="840"/>
      <c r="W35" s="840"/>
      <c r="X35" s="840"/>
      <c r="Y35" s="840"/>
      <c r="Z35" s="840"/>
      <c r="AA35" s="840"/>
      <c r="AB35" s="840"/>
      <c r="AC35" s="840"/>
    </row>
    <row r="36" ht="14.25" customHeight="1">
      <c r="A36" s="803">
        <v>33.0</v>
      </c>
      <c r="B36" s="594" t="s">
        <v>550</v>
      </c>
      <c r="C36" s="594"/>
      <c r="D36" s="290"/>
      <c r="E36" s="290"/>
      <c r="F36" s="293"/>
      <c r="G36" s="301"/>
      <c r="H36" s="301"/>
      <c r="I36" s="843"/>
      <c r="J36" s="297"/>
      <c r="K36" s="298"/>
      <c r="L36" s="297"/>
      <c r="M36" s="299"/>
      <c r="N36" s="290"/>
      <c r="O36" s="298"/>
      <c r="P36" s="844"/>
      <c r="Q36" s="840"/>
      <c r="R36" s="840"/>
      <c r="S36" s="840"/>
      <c r="T36" s="840"/>
      <c r="U36" s="840"/>
      <c r="V36" s="840"/>
      <c r="W36" s="840"/>
      <c r="X36" s="840"/>
      <c r="Y36" s="840"/>
      <c r="Z36" s="840"/>
      <c r="AA36" s="840"/>
      <c r="AB36" s="840"/>
      <c r="AC36" s="840"/>
    </row>
    <row r="37" ht="14.25" customHeight="1" outlineLevel="1">
      <c r="A37" s="285">
        <v>34.0</v>
      </c>
      <c r="B37" s="595" t="s">
        <v>551</v>
      </c>
      <c r="C37" s="595"/>
      <c r="D37" s="595"/>
      <c r="E37" s="595" t="s">
        <v>2116</v>
      </c>
      <c r="F37" s="602">
        <v>20.0</v>
      </c>
      <c r="G37" s="301">
        <v>39.0</v>
      </c>
      <c r="H37" s="301">
        <v>39.0</v>
      </c>
      <c r="I37" s="603">
        <v>10.25</v>
      </c>
      <c r="J37" s="498">
        <f t="shared" ref="J37:J39" si="19">I37/H37</f>
        <v>0.2628205128</v>
      </c>
      <c r="K37" s="300">
        <f t="shared" ref="K37:K39" si="20">O37-I37</f>
        <v>28.75</v>
      </c>
      <c r="L37" s="413">
        <f t="shared" ref="L37:L39" si="21">O37/I37-1</f>
        <v>2.804878049</v>
      </c>
      <c r="M37" s="331"/>
      <c r="N37" s="318" t="s">
        <v>112</v>
      </c>
      <c r="O37" s="300">
        <v>39.0</v>
      </c>
      <c r="P37" s="844"/>
      <c r="Q37" s="840"/>
      <c r="R37" s="840"/>
      <c r="S37" s="840"/>
      <c r="T37" s="840"/>
      <c r="U37" s="840"/>
      <c r="V37" s="840"/>
      <c r="W37" s="840"/>
      <c r="X37" s="840"/>
      <c r="Y37" s="840"/>
      <c r="Z37" s="840"/>
      <c r="AA37" s="840"/>
      <c r="AB37" s="840"/>
      <c r="AC37" s="840"/>
    </row>
    <row r="38" ht="14.25" customHeight="1" outlineLevel="1">
      <c r="A38" s="285">
        <v>35.0</v>
      </c>
      <c r="B38" s="595" t="s">
        <v>2117</v>
      </c>
      <c r="C38" s="595"/>
      <c r="D38" s="595"/>
      <c r="E38" s="595" t="s">
        <v>2116</v>
      </c>
      <c r="F38" s="602">
        <v>50.0</v>
      </c>
      <c r="G38" s="301">
        <v>49.0</v>
      </c>
      <c r="H38" s="301">
        <v>49.0</v>
      </c>
      <c r="I38" s="603">
        <v>7.94</v>
      </c>
      <c r="J38" s="498">
        <f t="shared" si="19"/>
        <v>0.1620408163</v>
      </c>
      <c r="K38" s="300">
        <f t="shared" si="20"/>
        <v>41.06</v>
      </c>
      <c r="L38" s="413">
        <f t="shared" si="21"/>
        <v>5.171284635</v>
      </c>
      <c r="M38" s="331"/>
      <c r="N38" s="318"/>
      <c r="O38" s="300">
        <v>49.0</v>
      </c>
      <c r="P38" s="844"/>
      <c r="Q38" s="840"/>
      <c r="R38" s="840"/>
      <c r="S38" s="840"/>
      <c r="T38" s="840"/>
      <c r="U38" s="840"/>
      <c r="V38" s="840"/>
      <c r="W38" s="840"/>
      <c r="X38" s="840"/>
      <c r="Y38" s="840"/>
      <c r="Z38" s="840"/>
      <c r="AA38" s="840"/>
      <c r="AB38" s="840"/>
      <c r="AC38" s="840"/>
    </row>
    <row r="39" ht="14.25" customHeight="1" outlineLevel="1">
      <c r="A39" s="285">
        <v>36.0</v>
      </c>
      <c r="B39" s="595" t="s">
        <v>2118</v>
      </c>
      <c r="C39" s="595"/>
      <c r="D39" s="595"/>
      <c r="E39" s="595" t="s">
        <v>2116</v>
      </c>
      <c r="F39" s="602">
        <v>50.0</v>
      </c>
      <c r="G39" s="301">
        <v>39.0</v>
      </c>
      <c r="H39" s="301">
        <v>39.0</v>
      </c>
      <c r="I39" s="603">
        <v>3.8</v>
      </c>
      <c r="J39" s="498">
        <f t="shared" si="19"/>
        <v>0.09743589744</v>
      </c>
      <c r="K39" s="300">
        <f t="shared" si="20"/>
        <v>35.2</v>
      </c>
      <c r="L39" s="413">
        <f t="shared" si="21"/>
        <v>9.263157895</v>
      </c>
      <c r="M39" s="331"/>
      <c r="N39" s="318"/>
      <c r="O39" s="300">
        <v>39.0</v>
      </c>
      <c r="P39" s="844"/>
      <c r="Q39" s="840"/>
      <c r="R39" s="840"/>
      <c r="S39" s="840"/>
      <c r="T39" s="840"/>
      <c r="U39" s="840"/>
      <c r="V39" s="840"/>
      <c r="W39" s="840"/>
      <c r="X39" s="840"/>
      <c r="Y39" s="840"/>
      <c r="Z39" s="840"/>
      <c r="AA39" s="840"/>
      <c r="AB39" s="840"/>
      <c r="AC39" s="840"/>
    </row>
    <row r="40" ht="14.25" customHeight="1">
      <c r="A40" s="803">
        <v>37.0</v>
      </c>
      <c r="B40" s="594" t="s">
        <v>555</v>
      </c>
      <c r="C40" s="594"/>
      <c r="D40" s="290"/>
      <c r="E40" s="290"/>
      <c r="F40" s="293"/>
      <c r="G40" s="301"/>
      <c r="H40" s="301"/>
      <c r="I40" s="843"/>
      <c r="J40" s="297"/>
      <c r="K40" s="298"/>
      <c r="L40" s="297"/>
      <c r="M40" s="299"/>
      <c r="N40" s="297"/>
      <c r="O40" s="298"/>
      <c r="P40" s="844"/>
      <c r="Q40" s="840"/>
      <c r="R40" s="840"/>
      <c r="S40" s="840"/>
      <c r="T40" s="840"/>
      <c r="U40" s="840"/>
      <c r="V40" s="840"/>
      <c r="W40" s="840"/>
      <c r="X40" s="840"/>
      <c r="Y40" s="840"/>
      <c r="Z40" s="840"/>
      <c r="AA40" s="840"/>
      <c r="AB40" s="840"/>
      <c r="AC40" s="840"/>
    </row>
    <row r="41" ht="14.25" customHeight="1" outlineLevel="1">
      <c r="A41" s="285">
        <v>38.0</v>
      </c>
      <c r="B41" s="595" t="s">
        <v>556</v>
      </c>
      <c r="C41" s="595"/>
      <c r="D41" s="595"/>
      <c r="E41" s="595" t="s">
        <v>1336</v>
      </c>
      <c r="F41" s="602">
        <v>30.0</v>
      </c>
      <c r="G41" s="301">
        <v>129.0</v>
      </c>
      <c r="H41" s="301">
        <v>129.0</v>
      </c>
      <c r="I41" s="603">
        <v>19.39</v>
      </c>
      <c r="J41" s="521">
        <f t="shared" ref="J41:J50" si="22">I41/H41</f>
        <v>0.1503100775</v>
      </c>
      <c r="K41" s="300">
        <f t="shared" ref="K41:K50" si="23">O41-I41</f>
        <v>99.61</v>
      </c>
      <c r="L41" s="413">
        <f t="shared" ref="L41:L50" si="24">O41/I41-1</f>
        <v>5.137184116</v>
      </c>
      <c r="M41" s="331"/>
      <c r="N41" s="318" t="s">
        <v>112</v>
      </c>
      <c r="O41" s="300">
        <v>119.0</v>
      </c>
      <c r="P41" s="840"/>
      <c r="Q41" s="840"/>
      <c r="R41" s="840"/>
      <c r="S41" s="840"/>
      <c r="T41" s="840"/>
      <c r="U41" s="840"/>
      <c r="V41" s="840"/>
      <c r="W41" s="840"/>
      <c r="X41" s="840"/>
      <c r="Y41" s="840"/>
      <c r="Z41" s="840"/>
      <c r="AA41" s="840"/>
      <c r="AB41" s="840"/>
      <c r="AC41" s="840"/>
    </row>
    <row r="42" ht="14.25" customHeight="1" outlineLevel="1">
      <c r="A42" s="285">
        <v>39.0</v>
      </c>
      <c r="B42" s="595" t="s">
        <v>559</v>
      </c>
      <c r="C42" s="595"/>
      <c r="D42" s="595"/>
      <c r="E42" s="595" t="s">
        <v>1336</v>
      </c>
      <c r="F42" s="602">
        <v>60.0</v>
      </c>
      <c r="G42" s="301">
        <v>219.0</v>
      </c>
      <c r="H42" s="301">
        <v>219.0</v>
      </c>
      <c r="I42" s="603">
        <v>21.78</v>
      </c>
      <c r="J42" s="521">
        <f t="shared" si="22"/>
        <v>0.09945205479</v>
      </c>
      <c r="K42" s="300">
        <f t="shared" si="23"/>
        <v>177.22</v>
      </c>
      <c r="L42" s="413">
        <f t="shared" si="24"/>
        <v>8.136822773</v>
      </c>
      <c r="M42" s="331"/>
      <c r="N42" s="318" t="s">
        <v>112</v>
      </c>
      <c r="O42" s="300">
        <v>199.0</v>
      </c>
      <c r="P42" s="844"/>
      <c r="Q42" s="840"/>
      <c r="R42" s="840"/>
      <c r="S42" s="840"/>
      <c r="T42" s="840"/>
      <c r="U42" s="840"/>
      <c r="V42" s="840"/>
      <c r="W42" s="840"/>
      <c r="X42" s="840"/>
      <c r="Y42" s="840"/>
      <c r="Z42" s="840"/>
      <c r="AA42" s="840"/>
      <c r="AB42" s="840"/>
      <c r="AC42" s="840"/>
    </row>
    <row r="43" ht="14.25" customHeight="1" outlineLevel="1">
      <c r="A43" s="845">
        <v>40.0</v>
      </c>
      <c r="B43" s="595" t="s">
        <v>560</v>
      </c>
      <c r="C43" s="595" t="s">
        <v>993</v>
      </c>
      <c r="D43" s="595"/>
      <c r="E43" s="595" t="s">
        <v>1336</v>
      </c>
      <c r="F43" s="596">
        <v>180.0</v>
      </c>
      <c r="G43" s="301">
        <v>159.0</v>
      </c>
      <c r="H43" s="301">
        <v>159.0</v>
      </c>
      <c r="I43" s="345">
        <v>20.08</v>
      </c>
      <c r="J43" s="521">
        <f t="shared" si="22"/>
        <v>0.1262893082</v>
      </c>
      <c r="K43" s="315">
        <f t="shared" si="23"/>
        <v>138.92</v>
      </c>
      <c r="L43" s="316">
        <f t="shared" si="24"/>
        <v>6.918326693</v>
      </c>
      <c r="M43" s="317"/>
      <c r="N43" s="318" t="s">
        <v>112</v>
      </c>
      <c r="O43" s="300">
        <v>159.0</v>
      </c>
      <c r="P43" s="844"/>
      <c r="Q43" s="840"/>
      <c r="R43" s="840"/>
      <c r="S43" s="840"/>
      <c r="T43" s="840"/>
      <c r="U43" s="840"/>
      <c r="V43" s="840"/>
      <c r="W43" s="840"/>
      <c r="X43" s="840"/>
      <c r="Y43" s="840"/>
      <c r="Z43" s="840"/>
      <c r="AA43" s="840"/>
      <c r="AB43" s="840"/>
      <c r="AC43" s="840"/>
    </row>
    <row r="44" ht="14.25" customHeight="1" outlineLevel="1">
      <c r="A44" s="845">
        <v>41.0</v>
      </c>
      <c r="B44" s="595" t="s">
        <v>562</v>
      </c>
      <c r="C44" s="595" t="s">
        <v>994</v>
      </c>
      <c r="D44" s="595"/>
      <c r="E44" s="595" t="s">
        <v>1336</v>
      </c>
      <c r="F44" s="596">
        <v>340.0</v>
      </c>
      <c r="G44" s="301">
        <v>249.0</v>
      </c>
      <c r="H44" s="301">
        <v>249.0</v>
      </c>
      <c r="I44" s="345">
        <v>27.92</v>
      </c>
      <c r="J44" s="521">
        <f t="shared" si="22"/>
        <v>0.1121285141</v>
      </c>
      <c r="K44" s="315">
        <f t="shared" si="23"/>
        <v>211.08</v>
      </c>
      <c r="L44" s="316">
        <f t="shared" si="24"/>
        <v>7.56017192</v>
      </c>
      <c r="M44" s="317"/>
      <c r="N44" s="318" t="s">
        <v>112</v>
      </c>
      <c r="O44" s="300">
        <v>239.0</v>
      </c>
      <c r="P44" s="844"/>
      <c r="Q44" s="840"/>
      <c r="R44" s="840"/>
      <c r="S44" s="840"/>
      <c r="T44" s="840"/>
      <c r="U44" s="840"/>
      <c r="V44" s="840"/>
      <c r="W44" s="840"/>
      <c r="X44" s="840"/>
      <c r="Y44" s="840"/>
      <c r="Z44" s="840"/>
      <c r="AA44" s="840"/>
      <c r="AB44" s="840"/>
      <c r="AC44" s="840"/>
    </row>
    <row r="45" ht="14.25" customHeight="1" outlineLevel="1">
      <c r="A45" s="845">
        <v>42.0</v>
      </c>
      <c r="B45" s="595" t="s">
        <v>563</v>
      </c>
      <c r="C45" s="595" t="s">
        <v>995</v>
      </c>
      <c r="D45" s="595" t="s">
        <v>564</v>
      </c>
      <c r="E45" s="595" t="s">
        <v>1336</v>
      </c>
      <c r="F45" s="596">
        <v>200.0</v>
      </c>
      <c r="G45" s="301">
        <v>189.0</v>
      </c>
      <c r="H45" s="301">
        <v>189.0</v>
      </c>
      <c r="I45" s="345">
        <v>37.21</v>
      </c>
      <c r="J45" s="521">
        <f t="shared" si="22"/>
        <v>0.1968783069</v>
      </c>
      <c r="K45" s="315">
        <f t="shared" si="23"/>
        <v>141.79</v>
      </c>
      <c r="L45" s="316">
        <f t="shared" si="24"/>
        <v>3.810534802</v>
      </c>
      <c r="M45" s="317"/>
      <c r="N45" s="318" t="s">
        <v>112</v>
      </c>
      <c r="O45" s="300">
        <v>179.0</v>
      </c>
      <c r="P45" s="844"/>
      <c r="Q45" s="840"/>
      <c r="R45" s="840"/>
      <c r="S45" s="840"/>
      <c r="T45" s="840"/>
      <c r="U45" s="840"/>
      <c r="V45" s="840"/>
      <c r="W45" s="840"/>
      <c r="X45" s="840"/>
      <c r="Y45" s="840"/>
      <c r="Z45" s="840"/>
      <c r="AA45" s="840"/>
      <c r="AB45" s="840"/>
      <c r="AC45" s="840"/>
    </row>
    <row r="46" ht="14.25" customHeight="1" outlineLevel="1">
      <c r="A46" s="845">
        <v>43.0</v>
      </c>
      <c r="B46" s="595" t="s">
        <v>566</v>
      </c>
      <c r="C46" s="595" t="s">
        <v>996</v>
      </c>
      <c r="D46" s="595" t="s">
        <v>567</v>
      </c>
      <c r="E46" s="595" t="s">
        <v>1336</v>
      </c>
      <c r="F46" s="596">
        <v>340.0</v>
      </c>
      <c r="G46" s="301">
        <v>319.0</v>
      </c>
      <c r="H46" s="301">
        <v>319.0</v>
      </c>
      <c r="I46" s="345">
        <v>51.01</v>
      </c>
      <c r="J46" s="521">
        <f t="shared" si="22"/>
        <v>0.1599059561</v>
      </c>
      <c r="K46" s="315">
        <f t="shared" si="23"/>
        <v>247.99</v>
      </c>
      <c r="L46" s="316">
        <f t="shared" si="24"/>
        <v>4.861595766</v>
      </c>
      <c r="M46" s="317"/>
      <c r="N46" s="318" t="s">
        <v>112</v>
      </c>
      <c r="O46" s="300">
        <v>299.0</v>
      </c>
      <c r="P46" s="844"/>
      <c r="Q46" s="840"/>
      <c r="R46" s="840"/>
      <c r="S46" s="840"/>
      <c r="T46" s="840"/>
      <c r="U46" s="840"/>
      <c r="V46" s="840"/>
      <c r="W46" s="840"/>
      <c r="X46" s="840"/>
      <c r="Y46" s="840"/>
      <c r="Z46" s="840"/>
      <c r="AA46" s="840"/>
      <c r="AB46" s="840"/>
      <c r="AC46" s="840"/>
    </row>
    <row r="47" ht="14.25" customHeight="1" outlineLevel="1">
      <c r="A47" s="845">
        <v>44.0</v>
      </c>
      <c r="B47" s="595" t="s">
        <v>568</v>
      </c>
      <c r="C47" s="595" t="s">
        <v>995</v>
      </c>
      <c r="D47" s="595"/>
      <c r="E47" s="595" t="s">
        <v>1336</v>
      </c>
      <c r="F47" s="596">
        <v>200.0</v>
      </c>
      <c r="G47" s="301">
        <v>189.0</v>
      </c>
      <c r="H47" s="301">
        <v>189.0</v>
      </c>
      <c r="I47" s="345">
        <v>36.99</v>
      </c>
      <c r="J47" s="521">
        <f t="shared" si="22"/>
        <v>0.1957142857</v>
      </c>
      <c r="K47" s="315">
        <f t="shared" si="23"/>
        <v>142.01</v>
      </c>
      <c r="L47" s="316">
        <f t="shared" si="24"/>
        <v>3.839145715</v>
      </c>
      <c r="M47" s="317"/>
      <c r="N47" s="318" t="s">
        <v>112</v>
      </c>
      <c r="O47" s="300">
        <v>179.0</v>
      </c>
      <c r="P47" s="844"/>
      <c r="Q47" s="840"/>
      <c r="R47" s="840"/>
      <c r="S47" s="840"/>
      <c r="T47" s="840"/>
      <c r="U47" s="840"/>
      <c r="V47" s="840"/>
      <c r="W47" s="840"/>
      <c r="X47" s="840"/>
      <c r="Y47" s="840"/>
      <c r="Z47" s="840"/>
      <c r="AA47" s="840"/>
      <c r="AB47" s="840"/>
      <c r="AC47" s="840"/>
    </row>
    <row r="48" ht="14.25" customHeight="1" outlineLevel="1">
      <c r="A48" s="845">
        <v>45.0</v>
      </c>
      <c r="B48" s="595" t="s">
        <v>570</v>
      </c>
      <c r="C48" s="595" t="s">
        <v>996</v>
      </c>
      <c r="D48" s="595"/>
      <c r="E48" s="595" t="s">
        <v>1336</v>
      </c>
      <c r="F48" s="596">
        <v>400.0</v>
      </c>
      <c r="G48" s="301">
        <v>319.0</v>
      </c>
      <c r="H48" s="301">
        <v>319.0</v>
      </c>
      <c r="I48" s="345">
        <v>47.05</v>
      </c>
      <c r="J48" s="521">
        <f t="shared" si="22"/>
        <v>0.147492163</v>
      </c>
      <c r="K48" s="315">
        <f t="shared" si="23"/>
        <v>251.95</v>
      </c>
      <c r="L48" s="316">
        <f t="shared" si="24"/>
        <v>5.354941552</v>
      </c>
      <c r="M48" s="317"/>
      <c r="N48" s="318" t="s">
        <v>112</v>
      </c>
      <c r="O48" s="300">
        <v>299.0</v>
      </c>
      <c r="P48" s="844"/>
      <c r="Q48" s="840"/>
      <c r="R48" s="840"/>
      <c r="S48" s="840"/>
      <c r="T48" s="840"/>
      <c r="U48" s="840"/>
      <c r="V48" s="840"/>
      <c r="W48" s="840"/>
      <c r="X48" s="840"/>
      <c r="Y48" s="840"/>
      <c r="Z48" s="840"/>
      <c r="AA48" s="840"/>
      <c r="AB48" s="840"/>
      <c r="AC48" s="840"/>
    </row>
    <row r="49" ht="14.25" customHeight="1" outlineLevel="1">
      <c r="A49" s="845">
        <v>46.0</v>
      </c>
      <c r="B49" s="595" t="s">
        <v>571</v>
      </c>
      <c r="C49" s="595" t="s">
        <v>997</v>
      </c>
      <c r="D49" s="595"/>
      <c r="E49" s="595" t="s">
        <v>1336</v>
      </c>
      <c r="F49" s="596">
        <v>200.0</v>
      </c>
      <c r="G49" s="301">
        <v>289.0</v>
      </c>
      <c r="H49" s="301">
        <v>289.0</v>
      </c>
      <c r="I49" s="345">
        <v>53.49</v>
      </c>
      <c r="J49" s="521">
        <f t="shared" si="22"/>
        <v>0.1850865052</v>
      </c>
      <c r="K49" s="315">
        <f t="shared" si="23"/>
        <v>225.51</v>
      </c>
      <c r="L49" s="316">
        <f t="shared" si="24"/>
        <v>4.215928211</v>
      </c>
      <c r="M49" s="317"/>
      <c r="N49" s="318" t="s">
        <v>112</v>
      </c>
      <c r="O49" s="300">
        <v>279.0</v>
      </c>
      <c r="P49" s="844"/>
      <c r="Q49" s="840"/>
      <c r="R49" s="840"/>
      <c r="S49" s="840"/>
      <c r="T49" s="840"/>
      <c r="U49" s="840"/>
      <c r="V49" s="840"/>
      <c r="W49" s="840"/>
      <c r="X49" s="840"/>
      <c r="Y49" s="840"/>
      <c r="Z49" s="840"/>
      <c r="AA49" s="840"/>
      <c r="AB49" s="840"/>
      <c r="AC49" s="840"/>
    </row>
    <row r="50" ht="14.25" customHeight="1" outlineLevel="1">
      <c r="A50" s="845">
        <v>47.0</v>
      </c>
      <c r="B50" s="595" t="s">
        <v>573</v>
      </c>
      <c r="C50" s="595" t="s">
        <v>998</v>
      </c>
      <c r="D50" s="595"/>
      <c r="E50" s="595" t="s">
        <v>1336</v>
      </c>
      <c r="F50" s="596">
        <v>400.0</v>
      </c>
      <c r="G50" s="311">
        <v>439.0</v>
      </c>
      <c r="H50" s="311">
        <v>439.0</v>
      </c>
      <c r="I50" s="345">
        <v>94.14</v>
      </c>
      <c r="J50" s="521">
        <f t="shared" si="22"/>
        <v>0.2144419134</v>
      </c>
      <c r="K50" s="315">
        <f t="shared" si="23"/>
        <v>304.86</v>
      </c>
      <c r="L50" s="316">
        <f t="shared" si="24"/>
        <v>3.238368388</v>
      </c>
      <c r="M50" s="317"/>
      <c r="N50" s="318" t="s">
        <v>112</v>
      </c>
      <c r="O50" s="319">
        <v>399.0</v>
      </c>
      <c r="P50" s="844"/>
      <c r="Q50" s="840"/>
      <c r="R50" s="840"/>
      <c r="S50" s="840"/>
      <c r="T50" s="840"/>
      <c r="U50" s="840"/>
      <c r="V50" s="840"/>
      <c r="W50" s="840"/>
      <c r="X50" s="840"/>
      <c r="Y50" s="840"/>
      <c r="Z50" s="840"/>
      <c r="AA50" s="840"/>
      <c r="AB50" s="840"/>
      <c r="AC50" s="840"/>
    </row>
    <row r="51" ht="14.25" customHeight="1">
      <c r="A51" s="803">
        <v>48.0</v>
      </c>
      <c r="B51" s="594" t="s">
        <v>574</v>
      </c>
      <c r="C51" s="290" t="s">
        <v>575</v>
      </c>
      <c r="D51" s="290" t="s">
        <v>575</v>
      </c>
      <c r="E51" s="290"/>
      <c r="F51" s="293"/>
      <c r="G51" s="301"/>
      <c r="H51" s="301"/>
      <c r="I51" s="843"/>
      <c r="J51" s="297"/>
      <c r="K51" s="298"/>
      <c r="L51" s="297"/>
      <c r="M51" s="299"/>
      <c r="N51" s="290"/>
      <c r="O51" s="298"/>
      <c r="P51" s="844"/>
      <c r="Q51" s="840"/>
      <c r="R51" s="840"/>
      <c r="S51" s="840"/>
      <c r="T51" s="840"/>
      <c r="U51" s="840"/>
      <c r="V51" s="840"/>
      <c r="W51" s="840"/>
      <c r="X51" s="840"/>
      <c r="Y51" s="840"/>
      <c r="Z51" s="840"/>
      <c r="AA51" s="840"/>
      <c r="AB51" s="840"/>
      <c r="AC51" s="840"/>
    </row>
    <row r="52" ht="14.25" customHeight="1" outlineLevel="1">
      <c r="A52" s="285">
        <v>49.0</v>
      </c>
      <c r="B52" s="595" t="s">
        <v>578</v>
      </c>
      <c r="C52" s="595" t="s">
        <v>2119</v>
      </c>
      <c r="D52" s="595" t="s">
        <v>564</v>
      </c>
      <c r="E52" s="595"/>
      <c r="F52" s="602">
        <v>250.0</v>
      </c>
      <c r="G52" s="301">
        <v>299.0</v>
      </c>
      <c r="H52" s="301">
        <v>299.0</v>
      </c>
      <c r="I52" s="603">
        <v>56.34</v>
      </c>
      <c r="J52" s="604">
        <f t="shared" ref="J52:J55" si="25">I52/O52</f>
        <v>0.1949480969</v>
      </c>
      <c r="K52" s="300">
        <f t="shared" ref="K52:K55" si="26">O52-I52</f>
        <v>232.66</v>
      </c>
      <c r="L52" s="413">
        <f t="shared" ref="L52:L55" si="27">O52/I52-1</f>
        <v>4.129570465</v>
      </c>
      <c r="M52" s="331"/>
      <c r="N52" s="318" t="s">
        <v>112</v>
      </c>
      <c r="O52" s="300">
        <v>289.0</v>
      </c>
      <c r="P52" s="840"/>
      <c r="Q52" s="840"/>
      <c r="R52" s="840"/>
      <c r="S52" s="840"/>
      <c r="T52" s="840"/>
      <c r="U52" s="840"/>
      <c r="V52" s="840"/>
      <c r="W52" s="840"/>
      <c r="X52" s="840"/>
      <c r="Y52" s="840"/>
      <c r="Z52" s="840"/>
      <c r="AA52" s="840"/>
      <c r="AB52" s="840"/>
      <c r="AC52" s="840"/>
    </row>
    <row r="53" ht="14.25" customHeight="1" outlineLevel="1">
      <c r="A53" s="285">
        <v>50.0</v>
      </c>
      <c r="B53" s="595" t="s">
        <v>579</v>
      </c>
      <c r="C53" s="595" t="s">
        <v>1000</v>
      </c>
      <c r="D53" s="595" t="s">
        <v>567</v>
      </c>
      <c r="E53" s="595"/>
      <c r="F53" s="602">
        <v>340.0</v>
      </c>
      <c r="G53" s="301">
        <v>399.0</v>
      </c>
      <c r="H53" s="301">
        <v>399.0</v>
      </c>
      <c r="I53" s="603">
        <v>83.17</v>
      </c>
      <c r="J53" s="852">
        <f t="shared" si="25"/>
        <v>0.2084461153</v>
      </c>
      <c r="K53" s="300">
        <f t="shared" si="26"/>
        <v>315.83</v>
      </c>
      <c r="L53" s="413">
        <f t="shared" si="27"/>
        <v>3.79740291</v>
      </c>
      <c r="M53" s="331"/>
      <c r="N53" s="318" t="s">
        <v>112</v>
      </c>
      <c r="O53" s="300">
        <v>399.0</v>
      </c>
      <c r="P53" s="844"/>
      <c r="Q53" s="840"/>
      <c r="R53" s="840"/>
      <c r="S53" s="840"/>
      <c r="T53" s="840"/>
      <c r="U53" s="840"/>
      <c r="V53" s="840"/>
      <c r="W53" s="840"/>
      <c r="X53" s="840"/>
      <c r="Y53" s="840"/>
      <c r="Z53" s="840"/>
      <c r="AA53" s="840"/>
      <c r="AB53" s="840"/>
      <c r="AC53" s="840"/>
    </row>
    <row r="54" ht="14.25" customHeight="1" outlineLevel="1">
      <c r="A54" s="285">
        <v>51.0</v>
      </c>
      <c r="B54" s="595" t="s">
        <v>580</v>
      </c>
      <c r="C54" s="595" t="s">
        <v>1001</v>
      </c>
      <c r="D54" s="595"/>
      <c r="E54" s="595"/>
      <c r="F54" s="602">
        <v>200.0</v>
      </c>
      <c r="G54" s="301">
        <v>299.0</v>
      </c>
      <c r="H54" s="301">
        <v>299.0</v>
      </c>
      <c r="I54" s="603">
        <v>36.99</v>
      </c>
      <c r="J54" s="542">
        <f t="shared" si="25"/>
        <v>0.1279930796</v>
      </c>
      <c r="K54" s="300">
        <f t="shared" si="26"/>
        <v>252.01</v>
      </c>
      <c r="L54" s="413">
        <f t="shared" si="27"/>
        <v>6.812922411</v>
      </c>
      <c r="M54" s="331"/>
      <c r="N54" s="318" t="s">
        <v>112</v>
      </c>
      <c r="O54" s="300">
        <v>289.0</v>
      </c>
      <c r="P54" s="844"/>
      <c r="Q54" s="840"/>
      <c r="R54" s="840"/>
      <c r="S54" s="840"/>
      <c r="T54" s="840"/>
      <c r="U54" s="840"/>
      <c r="V54" s="840"/>
      <c r="W54" s="840"/>
      <c r="X54" s="840"/>
      <c r="Y54" s="840"/>
      <c r="Z54" s="840"/>
      <c r="AA54" s="840"/>
      <c r="AB54" s="840"/>
      <c r="AC54" s="840"/>
    </row>
    <row r="55" ht="14.25" customHeight="1" outlineLevel="1">
      <c r="A55" s="285">
        <v>52.0</v>
      </c>
      <c r="B55" s="595" t="s">
        <v>581</v>
      </c>
      <c r="C55" s="595" t="s">
        <v>1000</v>
      </c>
      <c r="D55" s="595"/>
      <c r="E55" s="595"/>
      <c r="F55" s="602">
        <v>400.0</v>
      </c>
      <c r="G55" s="301">
        <v>399.0</v>
      </c>
      <c r="H55" s="301">
        <v>399.0</v>
      </c>
      <c r="I55" s="603">
        <v>82.89</v>
      </c>
      <c r="J55" s="891">
        <f t="shared" si="25"/>
        <v>0.2077443609</v>
      </c>
      <c r="K55" s="300">
        <f t="shared" si="26"/>
        <v>316.11</v>
      </c>
      <c r="L55" s="413">
        <f t="shared" si="27"/>
        <v>3.813608397</v>
      </c>
      <c r="M55" s="331"/>
      <c r="N55" s="318" t="s">
        <v>112</v>
      </c>
      <c r="O55" s="300">
        <v>399.0</v>
      </c>
      <c r="P55" s="844"/>
      <c r="Q55" s="840"/>
      <c r="R55" s="840"/>
      <c r="S55" s="840"/>
      <c r="T55" s="840"/>
      <c r="U55" s="840"/>
      <c r="V55" s="840"/>
      <c r="W55" s="840"/>
      <c r="X55" s="840"/>
      <c r="Y55" s="840"/>
      <c r="Z55" s="840"/>
      <c r="AA55" s="840"/>
      <c r="AB55" s="840"/>
      <c r="AC55" s="840"/>
    </row>
    <row r="56" ht="14.25" customHeight="1">
      <c r="A56" s="803">
        <v>53.0</v>
      </c>
      <c r="B56" s="594" t="s">
        <v>582</v>
      </c>
      <c r="C56" s="290"/>
      <c r="D56" s="290"/>
      <c r="E56" s="290"/>
      <c r="F56" s="293"/>
      <c r="G56" s="301"/>
      <c r="H56" s="301"/>
      <c r="I56" s="843"/>
      <c r="J56" s="297"/>
      <c r="K56" s="298"/>
      <c r="L56" s="297"/>
      <c r="M56" s="299"/>
      <c r="N56" s="290"/>
      <c r="O56" s="298"/>
      <c r="P56" s="844"/>
      <c r="Q56" s="840"/>
      <c r="R56" s="840"/>
      <c r="S56" s="840"/>
      <c r="T56" s="840"/>
      <c r="U56" s="840"/>
      <c r="V56" s="840"/>
      <c r="W56" s="840"/>
      <c r="X56" s="840"/>
      <c r="Y56" s="840"/>
      <c r="Z56" s="840"/>
      <c r="AA56" s="840"/>
      <c r="AB56" s="840"/>
      <c r="AC56" s="840"/>
    </row>
    <row r="57" ht="14.25" customHeight="1" outlineLevel="1">
      <c r="A57" s="285">
        <v>54.0</v>
      </c>
      <c r="B57" s="595" t="s">
        <v>546</v>
      </c>
      <c r="C57" s="595"/>
      <c r="D57" s="595"/>
      <c r="E57" s="595"/>
      <c r="F57" s="602">
        <v>5.0</v>
      </c>
      <c r="G57" s="301">
        <v>29.0</v>
      </c>
      <c r="H57" s="301">
        <v>29.0</v>
      </c>
      <c r="I57" s="603">
        <v>2.63</v>
      </c>
      <c r="J57" s="892">
        <f t="shared" ref="J57:J58" si="28">I57/O57</f>
        <v>0.09068965517</v>
      </c>
      <c r="K57" s="300">
        <f t="shared" ref="K57:K58" si="29">O57-I57</f>
        <v>26.37</v>
      </c>
      <c r="L57" s="413">
        <f t="shared" ref="L57:L58" si="30">O57/I57-1</f>
        <v>10.02661597</v>
      </c>
      <c r="M57" s="331"/>
      <c r="N57" s="318" t="s">
        <v>112</v>
      </c>
      <c r="O57" s="300">
        <v>29.0</v>
      </c>
      <c r="P57" s="844"/>
      <c r="Q57" s="840"/>
      <c r="R57" s="840"/>
      <c r="S57" s="840"/>
      <c r="T57" s="840"/>
      <c r="U57" s="840"/>
      <c r="V57" s="840"/>
      <c r="W57" s="840"/>
      <c r="X57" s="840"/>
      <c r="Y57" s="840"/>
      <c r="Z57" s="840"/>
      <c r="AA57" s="840"/>
      <c r="AB57" s="840"/>
      <c r="AC57" s="840"/>
    </row>
    <row r="58" ht="14.25" customHeight="1" outlineLevel="1">
      <c r="A58" s="285">
        <v>55.0</v>
      </c>
      <c r="B58" s="595" t="s">
        <v>583</v>
      </c>
      <c r="C58" s="595"/>
      <c r="D58" s="595"/>
      <c r="E58" s="595"/>
      <c r="F58" s="602">
        <v>10.0</v>
      </c>
      <c r="G58" s="301">
        <v>39.0</v>
      </c>
      <c r="H58" s="301">
        <v>39.0</v>
      </c>
      <c r="I58" s="603">
        <v>7.76</v>
      </c>
      <c r="J58" s="893">
        <f t="shared" si="28"/>
        <v>0.198974359</v>
      </c>
      <c r="K58" s="300">
        <f t="shared" si="29"/>
        <v>31.24</v>
      </c>
      <c r="L58" s="413">
        <f t="shared" si="30"/>
        <v>4.025773196</v>
      </c>
      <c r="M58" s="331"/>
      <c r="N58" s="318" t="s">
        <v>112</v>
      </c>
      <c r="O58" s="300">
        <v>39.0</v>
      </c>
      <c r="P58" s="844"/>
      <c r="Q58" s="840"/>
      <c r="R58" s="840"/>
      <c r="S58" s="840"/>
      <c r="T58" s="840"/>
      <c r="U58" s="840"/>
      <c r="V58" s="840"/>
      <c r="W58" s="840"/>
      <c r="X58" s="840"/>
      <c r="Y58" s="840"/>
      <c r="Z58" s="840"/>
      <c r="AA58" s="840"/>
      <c r="AB58" s="840"/>
      <c r="AC58" s="840"/>
    </row>
    <row r="59" ht="14.25" customHeight="1">
      <c r="A59" s="803">
        <v>56.0</v>
      </c>
      <c r="B59" s="594" t="s">
        <v>917</v>
      </c>
      <c r="C59" s="290"/>
      <c r="D59" s="290"/>
      <c r="E59" s="290"/>
      <c r="F59" s="293"/>
      <c r="G59" s="301"/>
      <c r="H59" s="301"/>
      <c r="I59" s="843"/>
      <c r="J59" s="297"/>
      <c r="K59" s="298"/>
      <c r="L59" s="297"/>
      <c r="M59" s="299"/>
      <c r="N59" s="290"/>
      <c r="O59" s="298"/>
      <c r="P59" s="844"/>
      <c r="Q59" s="840"/>
      <c r="R59" s="840"/>
      <c r="S59" s="840"/>
      <c r="T59" s="840"/>
      <c r="U59" s="840"/>
      <c r="V59" s="840"/>
      <c r="W59" s="840"/>
      <c r="X59" s="840"/>
      <c r="Y59" s="840"/>
      <c r="Z59" s="840"/>
      <c r="AA59" s="840"/>
      <c r="AB59" s="840"/>
      <c r="AC59" s="840"/>
    </row>
    <row r="60" ht="14.25" customHeight="1" outlineLevel="1">
      <c r="A60" s="285">
        <v>57.0</v>
      </c>
      <c r="B60" s="595" t="s">
        <v>2120</v>
      </c>
      <c r="C60" s="595" t="s">
        <v>2121</v>
      </c>
      <c r="D60" s="595" t="s">
        <v>2122</v>
      </c>
      <c r="E60" s="416"/>
      <c r="F60" s="602">
        <v>400.0</v>
      </c>
      <c r="G60" s="301">
        <v>229.0</v>
      </c>
      <c r="H60" s="301">
        <v>229.0</v>
      </c>
      <c r="I60" s="603">
        <v>22.95</v>
      </c>
      <c r="J60" s="403">
        <f t="shared" ref="J60:J72" si="31">I60/H60</f>
        <v>0.1002183406</v>
      </c>
      <c r="K60" s="300">
        <f t="shared" ref="K60:K70" si="32">O60-I60</f>
        <v>206.05</v>
      </c>
      <c r="L60" s="413">
        <f t="shared" ref="L60:L70" si="33">O60/I60-1</f>
        <v>8.978213508</v>
      </c>
      <c r="M60" s="331"/>
      <c r="N60" s="318" t="s">
        <v>112</v>
      </c>
      <c r="O60" s="300">
        <v>229.0</v>
      </c>
      <c r="P60" s="844"/>
      <c r="Q60" s="840"/>
      <c r="R60" s="840"/>
      <c r="S60" s="840"/>
      <c r="T60" s="840"/>
      <c r="U60" s="840"/>
      <c r="V60" s="840"/>
      <c r="W60" s="840"/>
      <c r="X60" s="840"/>
      <c r="Y60" s="840"/>
      <c r="Z60" s="840"/>
      <c r="AA60" s="840"/>
      <c r="AB60" s="840"/>
      <c r="AC60" s="840"/>
    </row>
    <row r="61" ht="14.25" customHeight="1" outlineLevel="1">
      <c r="A61" s="285">
        <v>58.0</v>
      </c>
      <c r="B61" s="595" t="s">
        <v>2123</v>
      </c>
      <c r="C61" s="595" t="s">
        <v>2124</v>
      </c>
      <c r="D61" s="595" t="s">
        <v>2122</v>
      </c>
      <c r="E61" s="595"/>
      <c r="F61" s="602">
        <v>1000.0</v>
      </c>
      <c r="G61" s="301">
        <v>399.0</v>
      </c>
      <c r="H61" s="301">
        <v>399.0</v>
      </c>
      <c r="I61" s="603">
        <v>57.05</v>
      </c>
      <c r="J61" s="403">
        <f t="shared" si="31"/>
        <v>0.1429824561</v>
      </c>
      <c r="K61" s="300">
        <f t="shared" si="32"/>
        <v>341.95</v>
      </c>
      <c r="L61" s="413">
        <f t="shared" si="33"/>
        <v>5.993865031</v>
      </c>
      <c r="M61" s="331"/>
      <c r="N61" s="343" t="s">
        <v>112</v>
      </c>
      <c r="O61" s="300">
        <v>399.0</v>
      </c>
      <c r="P61" s="844"/>
      <c r="Q61" s="840"/>
      <c r="R61" s="840"/>
      <c r="S61" s="840"/>
      <c r="T61" s="840"/>
      <c r="U61" s="840"/>
      <c r="V61" s="840"/>
      <c r="W61" s="840"/>
      <c r="X61" s="840"/>
      <c r="Y61" s="840"/>
      <c r="Z61" s="840"/>
      <c r="AA61" s="840"/>
      <c r="AB61" s="840"/>
      <c r="AC61" s="840"/>
    </row>
    <row r="62" ht="14.25" customHeight="1" outlineLevel="1">
      <c r="A62" s="285">
        <v>59.0</v>
      </c>
      <c r="B62" s="595" t="s">
        <v>918</v>
      </c>
      <c r="C62" s="595" t="s">
        <v>2125</v>
      </c>
      <c r="D62" s="595"/>
      <c r="E62" s="595"/>
      <c r="F62" s="602">
        <v>400.0</v>
      </c>
      <c r="G62" s="301">
        <v>229.0</v>
      </c>
      <c r="H62" s="301">
        <v>229.0</v>
      </c>
      <c r="I62" s="603">
        <v>24.0</v>
      </c>
      <c r="J62" s="403">
        <f t="shared" si="31"/>
        <v>0.1048034934</v>
      </c>
      <c r="K62" s="315">
        <f t="shared" si="32"/>
        <v>205</v>
      </c>
      <c r="L62" s="316">
        <f t="shared" si="33"/>
        <v>8.541666667</v>
      </c>
      <c r="M62" s="331"/>
      <c r="N62" s="318" t="s">
        <v>112</v>
      </c>
      <c r="O62" s="300">
        <v>229.0</v>
      </c>
      <c r="P62" s="844"/>
      <c r="Q62" s="840"/>
      <c r="R62" s="840"/>
      <c r="S62" s="840"/>
      <c r="T62" s="840"/>
      <c r="U62" s="840"/>
      <c r="V62" s="840"/>
      <c r="W62" s="840"/>
      <c r="X62" s="840"/>
      <c r="Y62" s="840"/>
      <c r="Z62" s="840"/>
      <c r="AA62" s="840"/>
      <c r="AB62" s="840"/>
      <c r="AC62" s="840"/>
    </row>
    <row r="63" ht="14.25" customHeight="1" outlineLevel="1">
      <c r="A63" s="285">
        <v>60.0</v>
      </c>
      <c r="B63" s="595" t="s">
        <v>919</v>
      </c>
      <c r="C63" s="595" t="s">
        <v>1337</v>
      </c>
      <c r="D63" s="595"/>
      <c r="E63" s="595"/>
      <c r="F63" s="602">
        <v>1000.0</v>
      </c>
      <c r="G63" s="301">
        <v>399.0</v>
      </c>
      <c r="H63" s="301">
        <v>399.0</v>
      </c>
      <c r="I63" s="603">
        <v>47.94</v>
      </c>
      <c r="J63" s="403">
        <f t="shared" si="31"/>
        <v>0.1201503759</v>
      </c>
      <c r="K63" s="315">
        <f t="shared" si="32"/>
        <v>351.06</v>
      </c>
      <c r="L63" s="316">
        <f t="shared" si="33"/>
        <v>7.32290363</v>
      </c>
      <c r="M63" s="331"/>
      <c r="N63" s="343" t="s">
        <v>112</v>
      </c>
      <c r="O63" s="300">
        <v>399.0</v>
      </c>
      <c r="P63" s="844"/>
      <c r="Q63" s="840"/>
      <c r="R63" s="840"/>
      <c r="S63" s="840"/>
      <c r="T63" s="840"/>
      <c r="U63" s="840"/>
      <c r="V63" s="840"/>
      <c r="W63" s="840"/>
      <c r="X63" s="840"/>
      <c r="Y63" s="840"/>
      <c r="Z63" s="840"/>
      <c r="AA63" s="840"/>
      <c r="AB63" s="840"/>
      <c r="AC63" s="840"/>
    </row>
    <row r="64" ht="14.25" customHeight="1" outlineLevel="1">
      <c r="A64" s="285">
        <v>61.0</v>
      </c>
      <c r="B64" s="595" t="s">
        <v>920</v>
      </c>
      <c r="C64" s="595" t="s">
        <v>1339</v>
      </c>
      <c r="D64" s="595"/>
      <c r="E64" s="595"/>
      <c r="F64" s="596">
        <v>300.0</v>
      </c>
      <c r="G64" s="301">
        <v>279.0</v>
      </c>
      <c r="H64" s="301">
        <v>279.0</v>
      </c>
      <c r="I64" s="345">
        <v>22.29</v>
      </c>
      <c r="J64" s="403">
        <f t="shared" si="31"/>
        <v>0.07989247312</v>
      </c>
      <c r="K64" s="315">
        <f t="shared" si="32"/>
        <v>256.71</v>
      </c>
      <c r="L64" s="316">
        <f t="shared" si="33"/>
        <v>11.51682369</v>
      </c>
      <c r="M64" s="317"/>
      <c r="N64" s="318" t="s">
        <v>112</v>
      </c>
      <c r="O64" s="300">
        <v>279.0</v>
      </c>
      <c r="P64" s="844"/>
      <c r="Q64" s="840"/>
      <c r="R64" s="840"/>
      <c r="S64" s="840"/>
      <c r="T64" s="840"/>
      <c r="U64" s="840"/>
      <c r="V64" s="840"/>
      <c r="W64" s="840"/>
      <c r="X64" s="840"/>
      <c r="Y64" s="840"/>
      <c r="Z64" s="840"/>
      <c r="AA64" s="840"/>
      <c r="AB64" s="840"/>
      <c r="AC64" s="840"/>
    </row>
    <row r="65" ht="14.25" customHeight="1" outlineLevel="1">
      <c r="A65" s="285">
        <v>62.0</v>
      </c>
      <c r="B65" s="595" t="s">
        <v>1615</v>
      </c>
      <c r="C65" s="595" t="s">
        <v>1616</v>
      </c>
      <c r="D65" s="595"/>
      <c r="E65" s="595"/>
      <c r="F65" s="596">
        <v>300.0</v>
      </c>
      <c r="G65" s="301">
        <v>279.0</v>
      </c>
      <c r="H65" s="301">
        <v>279.0</v>
      </c>
      <c r="I65" s="345">
        <v>42.7</v>
      </c>
      <c r="J65" s="403">
        <f t="shared" si="31"/>
        <v>0.153046595</v>
      </c>
      <c r="K65" s="315">
        <f t="shared" si="32"/>
        <v>236.3</v>
      </c>
      <c r="L65" s="316">
        <f t="shared" si="33"/>
        <v>5.533957845</v>
      </c>
      <c r="M65" s="317"/>
      <c r="N65" s="318" t="s">
        <v>112</v>
      </c>
      <c r="O65" s="300">
        <v>279.0</v>
      </c>
      <c r="P65" s="840"/>
      <c r="Q65" s="840"/>
      <c r="R65" s="840"/>
      <c r="S65" s="840"/>
      <c r="T65" s="840"/>
      <c r="U65" s="840"/>
      <c r="V65" s="840"/>
      <c r="W65" s="840"/>
      <c r="X65" s="840"/>
      <c r="Y65" s="840"/>
      <c r="Z65" s="840"/>
      <c r="AA65" s="840"/>
      <c r="AB65" s="840"/>
      <c r="AC65" s="840"/>
    </row>
    <row r="66" ht="16.5" customHeight="1" outlineLevel="1">
      <c r="A66" s="285">
        <v>63.0</v>
      </c>
      <c r="B66" s="595" t="s">
        <v>2126</v>
      </c>
      <c r="C66" s="595" t="s">
        <v>2127</v>
      </c>
      <c r="D66" s="595" t="s">
        <v>2128</v>
      </c>
      <c r="E66" s="595"/>
      <c r="F66" s="596">
        <v>300.0</v>
      </c>
      <c r="G66" s="301">
        <v>279.0</v>
      </c>
      <c r="H66" s="301">
        <v>279.0</v>
      </c>
      <c r="I66" s="345">
        <v>43.24</v>
      </c>
      <c r="J66" s="403">
        <f t="shared" si="31"/>
        <v>0.1549820789</v>
      </c>
      <c r="K66" s="319">
        <f t="shared" si="32"/>
        <v>235.76</v>
      </c>
      <c r="L66" s="332">
        <f t="shared" si="33"/>
        <v>5.452358927</v>
      </c>
      <c r="M66" s="331"/>
      <c r="N66" s="318" t="s">
        <v>112</v>
      </c>
      <c r="O66" s="300">
        <v>279.0</v>
      </c>
      <c r="P66" s="605"/>
      <c r="Q66" s="605"/>
      <c r="R66" s="605"/>
      <c r="S66" s="605"/>
      <c r="T66" s="605"/>
      <c r="U66" s="605"/>
      <c r="V66" s="605"/>
      <c r="W66" s="605"/>
      <c r="X66" s="605"/>
      <c r="Y66" s="605"/>
      <c r="Z66" s="605"/>
      <c r="AA66" s="605"/>
      <c r="AB66" s="605"/>
      <c r="AC66" s="605"/>
    </row>
    <row r="67" ht="14.25" customHeight="1" outlineLevel="1">
      <c r="A67" s="285">
        <v>64.0</v>
      </c>
      <c r="B67" s="595" t="s">
        <v>921</v>
      </c>
      <c r="C67" s="595" t="s">
        <v>2129</v>
      </c>
      <c r="D67" s="595" t="s">
        <v>922</v>
      </c>
      <c r="E67" s="595"/>
      <c r="F67" s="596">
        <v>350.0</v>
      </c>
      <c r="G67" s="301">
        <v>279.0</v>
      </c>
      <c r="H67" s="301">
        <v>279.0</v>
      </c>
      <c r="I67" s="345">
        <v>17.52</v>
      </c>
      <c r="J67" s="403">
        <f t="shared" si="31"/>
        <v>0.06279569892</v>
      </c>
      <c r="K67" s="319">
        <f t="shared" si="32"/>
        <v>261.48</v>
      </c>
      <c r="L67" s="332">
        <f t="shared" si="33"/>
        <v>14.92465753</v>
      </c>
      <c r="M67" s="331"/>
      <c r="N67" s="318"/>
      <c r="O67" s="300">
        <v>279.0</v>
      </c>
      <c r="P67" s="605"/>
      <c r="Q67" s="605"/>
      <c r="R67" s="605"/>
      <c r="S67" s="605"/>
      <c r="T67" s="605"/>
      <c r="U67" s="605"/>
      <c r="V67" s="605"/>
      <c r="W67" s="605"/>
      <c r="X67" s="605"/>
      <c r="Y67" s="605"/>
      <c r="Z67" s="605"/>
      <c r="AA67" s="605"/>
      <c r="AB67" s="605"/>
      <c r="AC67" s="605"/>
    </row>
    <row r="68" ht="14.25" customHeight="1" outlineLevel="1">
      <c r="A68" s="285">
        <v>65.0</v>
      </c>
      <c r="B68" s="595" t="s">
        <v>2130</v>
      </c>
      <c r="C68" s="595" t="s">
        <v>2131</v>
      </c>
      <c r="D68" s="595" t="s">
        <v>2132</v>
      </c>
      <c r="E68" s="595"/>
      <c r="F68" s="596">
        <v>400.0</v>
      </c>
      <c r="G68" s="301">
        <v>279.0</v>
      </c>
      <c r="H68" s="301">
        <v>279.0</v>
      </c>
      <c r="I68" s="345">
        <v>44.42</v>
      </c>
      <c r="J68" s="403">
        <f t="shared" si="31"/>
        <v>0.1592114695</v>
      </c>
      <c r="K68" s="319">
        <f t="shared" si="32"/>
        <v>234.58</v>
      </c>
      <c r="L68" s="332">
        <f t="shared" si="33"/>
        <v>5.280954525</v>
      </c>
      <c r="M68" s="331"/>
      <c r="N68" s="318"/>
      <c r="O68" s="300">
        <v>279.0</v>
      </c>
      <c r="P68" s="844"/>
      <c r="Q68" s="840"/>
      <c r="R68" s="840"/>
      <c r="S68" s="840"/>
      <c r="T68" s="840"/>
      <c r="U68" s="840"/>
      <c r="V68" s="840"/>
      <c r="W68" s="840"/>
      <c r="X68" s="840"/>
      <c r="Y68" s="840"/>
      <c r="Z68" s="840"/>
      <c r="AA68" s="840"/>
      <c r="AB68" s="840"/>
      <c r="AC68" s="840"/>
    </row>
    <row r="69" ht="16.5" customHeight="1" outlineLevel="1">
      <c r="A69" s="285">
        <v>66.0</v>
      </c>
      <c r="B69" s="595" t="s">
        <v>923</v>
      </c>
      <c r="C69" s="595" t="s">
        <v>2133</v>
      </c>
      <c r="D69" s="595"/>
      <c r="E69" s="595"/>
      <c r="F69" s="596">
        <v>350.0</v>
      </c>
      <c r="G69" s="301">
        <v>279.0</v>
      </c>
      <c r="H69" s="301">
        <v>279.0</v>
      </c>
      <c r="I69" s="345">
        <v>38.18</v>
      </c>
      <c r="J69" s="403">
        <f t="shared" si="31"/>
        <v>0.1368458781</v>
      </c>
      <c r="K69" s="319">
        <f t="shared" si="32"/>
        <v>-38.18</v>
      </c>
      <c r="L69" s="332">
        <f t="shared" si="33"/>
        <v>-1</v>
      </c>
      <c r="M69" s="331"/>
      <c r="N69" s="318"/>
      <c r="O69" s="580"/>
      <c r="P69" s="605"/>
      <c r="Q69" s="605"/>
      <c r="R69" s="605"/>
      <c r="S69" s="605"/>
      <c r="T69" s="605"/>
      <c r="U69" s="605"/>
      <c r="V69" s="605"/>
      <c r="W69" s="605"/>
      <c r="X69" s="605"/>
      <c r="Y69" s="605"/>
      <c r="Z69" s="605"/>
      <c r="AA69" s="605"/>
      <c r="AB69" s="605"/>
      <c r="AC69" s="605"/>
    </row>
    <row r="70" ht="16.5" customHeight="1" outlineLevel="1">
      <c r="A70" s="285">
        <v>67.0</v>
      </c>
      <c r="B70" s="595" t="s">
        <v>924</v>
      </c>
      <c r="C70" s="595" t="s">
        <v>2134</v>
      </c>
      <c r="D70" s="595"/>
      <c r="E70" s="595"/>
      <c r="F70" s="596">
        <v>350.0</v>
      </c>
      <c r="G70" s="301">
        <v>279.0</v>
      </c>
      <c r="H70" s="301">
        <v>279.0</v>
      </c>
      <c r="I70" s="345">
        <v>35.06</v>
      </c>
      <c r="J70" s="403">
        <f t="shared" si="31"/>
        <v>0.1256630824</v>
      </c>
      <c r="K70" s="319">
        <f t="shared" si="32"/>
        <v>-35.06</v>
      </c>
      <c r="L70" s="332">
        <f t="shared" si="33"/>
        <v>-1</v>
      </c>
      <c r="M70" s="331"/>
      <c r="N70" s="318"/>
      <c r="O70" s="580"/>
      <c r="P70" s="605"/>
      <c r="Q70" s="605"/>
      <c r="R70" s="605"/>
      <c r="S70" s="605"/>
      <c r="T70" s="605"/>
      <c r="U70" s="605"/>
      <c r="V70" s="605"/>
      <c r="W70" s="605"/>
      <c r="X70" s="605"/>
      <c r="Y70" s="605"/>
      <c r="Z70" s="605"/>
      <c r="AA70" s="605"/>
      <c r="AB70" s="605"/>
      <c r="AC70" s="605"/>
    </row>
    <row r="71" ht="16.5" customHeight="1" outlineLevel="1">
      <c r="A71" s="285">
        <v>68.0</v>
      </c>
      <c r="B71" s="595" t="s">
        <v>2135</v>
      </c>
      <c r="C71" s="595"/>
      <c r="D71" s="595"/>
      <c r="E71" s="595"/>
      <c r="F71" s="596">
        <v>400.0</v>
      </c>
      <c r="G71" s="311">
        <v>199.0</v>
      </c>
      <c r="H71" s="311">
        <v>199.0</v>
      </c>
      <c r="I71" s="894">
        <v>26.16</v>
      </c>
      <c r="J71" s="403">
        <f t="shared" si="31"/>
        <v>0.1314572864</v>
      </c>
      <c r="K71" s="319">
        <f>O71-I70</f>
        <v>-35.06</v>
      </c>
      <c r="L71" s="332">
        <f>O71/I70-1</f>
        <v>-1</v>
      </c>
      <c r="M71" s="331"/>
      <c r="N71" s="318"/>
      <c r="O71" s="580"/>
      <c r="P71" s="605"/>
      <c r="Q71" s="605"/>
      <c r="R71" s="605"/>
      <c r="S71" s="605"/>
      <c r="T71" s="605"/>
      <c r="U71" s="605"/>
      <c r="V71" s="605"/>
      <c r="W71" s="605"/>
      <c r="X71" s="605"/>
      <c r="Y71" s="605"/>
      <c r="Z71" s="605"/>
      <c r="AA71" s="605"/>
      <c r="AB71" s="605"/>
      <c r="AC71" s="605"/>
    </row>
    <row r="72" ht="16.5" customHeight="1" outlineLevel="1">
      <c r="A72" s="285">
        <v>69.0</v>
      </c>
      <c r="B72" s="595" t="s">
        <v>1338</v>
      </c>
      <c r="C72" s="595"/>
      <c r="D72" s="595"/>
      <c r="E72" s="595"/>
      <c r="F72" s="596">
        <v>1000.0</v>
      </c>
      <c r="G72" s="311">
        <v>399.0</v>
      </c>
      <c r="H72" s="311">
        <v>399.0</v>
      </c>
      <c r="I72" s="345">
        <v>50.26</v>
      </c>
      <c r="J72" s="403">
        <f t="shared" si="31"/>
        <v>0.1259649123</v>
      </c>
      <c r="K72" s="319">
        <f>O72-I72</f>
        <v>-50.26</v>
      </c>
      <c r="L72" s="332">
        <f>O72/I72-1</f>
        <v>-1</v>
      </c>
      <c r="M72" s="331"/>
      <c r="N72" s="318"/>
      <c r="O72" s="580"/>
      <c r="P72" s="605"/>
      <c r="Q72" s="605"/>
      <c r="R72" s="605"/>
      <c r="S72" s="605"/>
      <c r="T72" s="605"/>
      <c r="U72" s="605"/>
      <c r="V72" s="605"/>
      <c r="W72" s="605"/>
      <c r="X72" s="605"/>
      <c r="Y72" s="605"/>
      <c r="Z72" s="605"/>
      <c r="AA72" s="605"/>
      <c r="AB72" s="605"/>
      <c r="AC72" s="605"/>
    </row>
    <row r="73" ht="14.25" customHeight="1">
      <c r="A73" s="803">
        <v>70.0</v>
      </c>
      <c r="B73" s="594" t="s">
        <v>600</v>
      </c>
      <c r="C73" s="594" t="s">
        <v>2136</v>
      </c>
      <c r="D73" s="290"/>
      <c r="E73" s="290"/>
      <c r="F73" s="293"/>
      <c r="G73" s="301"/>
      <c r="H73" s="301"/>
      <c r="I73" s="843"/>
      <c r="J73" s="297"/>
      <c r="K73" s="298"/>
      <c r="L73" s="297"/>
      <c r="M73" s="299"/>
      <c r="N73" s="297"/>
      <c r="O73" s="298"/>
      <c r="P73" s="844"/>
      <c r="Q73" s="840"/>
      <c r="R73" s="840"/>
      <c r="S73" s="840"/>
      <c r="T73" s="840"/>
      <c r="U73" s="840"/>
      <c r="V73" s="840"/>
      <c r="W73" s="840"/>
      <c r="X73" s="840"/>
      <c r="Y73" s="840"/>
      <c r="Z73" s="840"/>
      <c r="AA73" s="840"/>
      <c r="AB73" s="840"/>
      <c r="AC73" s="840"/>
    </row>
    <row r="74" ht="14.25" customHeight="1" outlineLevel="1">
      <c r="A74" s="285">
        <v>71.0</v>
      </c>
      <c r="B74" s="595" t="s">
        <v>602</v>
      </c>
      <c r="C74" s="595"/>
      <c r="D74" s="595" t="s">
        <v>2137</v>
      </c>
      <c r="E74" s="595"/>
      <c r="F74" s="602">
        <v>300.0</v>
      </c>
      <c r="G74" s="301">
        <v>279.0</v>
      </c>
      <c r="H74" s="301">
        <v>279.0</v>
      </c>
      <c r="I74" s="603">
        <v>53.7</v>
      </c>
      <c r="J74" s="556">
        <f t="shared" ref="J74:J75" si="34">I74/H74</f>
        <v>0.1924731183</v>
      </c>
      <c r="K74" s="300">
        <f t="shared" ref="K74:K75" si="35">O74-I74</f>
        <v>215.3</v>
      </c>
      <c r="L74" s="413">
        <f t="shared" ref="L74:L75" si="36">O74/I74-1</f>
        <v>4.009310987</v>
      </c>
      <c r="M74" s="317"/>
      <c r="N74" s="318"/>
      <c r="O74" s="300">
        <v>269.0</v>
      </c>
      <c r="P74" s="844"/>
      <c r="Q74" s="840"/>
      <c r="R74" s="840"/>
      <c r="S74" s="840"/>
      <c r="T74" s="840"/>
      <c r="U74" s="840"/>
      <c r="V74" s="840"/>
      <c r="W74" s="840"/>
      <c r="X74" s="840"/>
      <c r="Y74" s="840"/>
      <c r="Z74" s="840"/>
      <c r="AA74" s="840"/>
      <c r="AB74" s="840"/>
      <c r="AC74" s="840"/>
    </row>
    <row r="75" ht="14.25" customHeight="1" outlineLevel="1">
      <c r="A75" s="285">
        <v>72.0</v>
      </c>
      <c r="B75" s="595" t="s">
        <v>605</v>
      </c>
      <c r="C75" s="595" t="s">
        <v>2138</v>
      </c>
      <c r="D75" s="595"/>
      <c r="E75" s="595"/>
      <c r="F75" s="602">
        <v>500.0</v>
      </c>
      <c r="G75" s="301">
        <v>469.0</v>
      </c>
      <c r="H75" s="301">
        <v>469.0</v>
      </c>
      <c r="I75" s="603">
        <v>96.25</v>
      </c>
      <c r="J75" s="556">
        <f t="shared" si="34"/>
        <v>0.2052238806</v>
      </c>
      <c r="K75" s="300">
        <f t="shared" si="35"/>
        <v>352.75</v>
      </c>
      <c r="L75" s="413">
        <f t="shared" si="36"/>
        <v>3.664935065</v>
      </c>
      <c r="M75" s="317"/>
      <c r="N75" s="318"/>
      <c r="O75" s="300">
        <v>449.0</v>
      </c>
      <c r="P75" s="844"/>
      <c r="Q75" s="840"/>
      <c r="R75" s="840"/>
      <c r="S75" s="840"/>
      <c r="T75" s="840"/>
      <c r="U75" s="840"/>
      <c r="V75" s="840"/>
      <c r="W75" s="840"/>
      <c r="X75" s="840"/>
      <c r="Y75" s="840"/>
      <c r="Z75" s="840"/>
      <c r="AA75" s="840"/>
      <c r="AB75" s="840"/>
      <c r="AC75" s="840"/>
    </row>
    <row r="76" ht="14.25" customHeight="1">
      <c r="A76" s="803">
        <v>73.0</v>
      </c>
      <c r="B76" s="594" t="s">
        <v>606</v>
      </c>
      <c r="C76" s="290"/>
      <c r="D76" s="290"/>
      <c r="E76" s="290"/>
      <c r="F76" s="293"/>
      <c r="G76" s="301"/>
      <c r="H76" s="301"/>
      <c r="I76" s="843"/>
      <c r="J76" s="297"/>
      <c r="K76" s="803"/>
      <c r="L76" s="297"/>
      <c r="M76" s="299"/>
      <c r="N76" s="297"/>
      <c r="O76" s="298"/>
      <c r="P76" s="844"/>
      <c r="Q76" s="840"/>
      <c r="R76" s="840"/>
      <c r="S76" s="840"/>
      <c r="T76" s="840"/>
      <c r="U76" s="840"/>
      <c r="V76" s="840"/>
      <c r="W76" s="840"/>
      <c r="X76" s="840"/>
      <c r="Y76" s="840"/>
      <c r="Z76" s="840"/>
      <c r="AA76" s="840"/>
      <c r="AB76" s="840"/>
      <c r="AC76" s="840"/>
    </row>
    <row r="77" ht="14.25" customHeight="1" outlineLevel="1">
      <c r="A77" s="845">
        <v>74.0</v>
      </c>
      <c r="B77" s="606" t="s">
        <v>607</v>
      </c>
      <c r="C77" s="606"/>
      <c r="D77" s="606"/>
      <c r="E77" s="606"/>
      <c r="F77" s="607">
        <v>200.0</v>
      </c>
      <c r="G77" s="301">
        <v>249.0</v>
      </c>
      <c r="H77" s="301">
        <v>249.0</v>
      </c>
      <c r="I77" s="608">
        <v>33.37</v>
      </c>
      <c r="J77" s="895">
        <f t="shared" ref="J77:J80" si="37">I77/H77</f>
        <v>0.1340160643</v>
      </c>
      <c r="K77" s="315">
        <f t="shared" ref="K77:K80" si="38">O77-I77</f>
        <v>215.63</v>
      </c>
      <c r="L77" s="316">
        <f t="shared" ref="L77:L80" si="39">O77/I77-1</f>
        <v>6.461792029</v>
      </c>
      <c r="M77" s="317"/>
      <c r="N77" s="318" t="s">
        <v>112</v>
      </c>
      <c r="O77" s="411">
        <v>249.0</v>
      </c>
      <c r="P77" s="844"/>
      <c r="Q77" s="840"/>
      <c r="R77" s="840"/>
      <c r="S77" s="840"/>
      <c r="T77" s="840"/>
      <c r="U77" s="840"/>
      <c r="V77" s="840"/>
      <c r="W77" s="840"/>
      <c r="X77" s="840"/>
      <c r="Y77" s="840"/>
      <c r="Z77" s="840"/>
      <c r="AA77" s="840"/>
      <c r="AB77" s="840"/>
      <c r="AC77" s="840"/>
    </row>
    <row r="78" ht="14.25" customHeight="1" outlineLevel="1">
      <c r="A78" s="845">
        <v>75.0</v>
      </c>
      <c r="B78" s="595" t="s">
        <v>609</v>
      </c>
      <c r="C78" s="595"/>
      <c r="D78" s="595"/>
      <c r="E78" s="595"/>
      <c r="F78" s="602">
        <v>200.0</v>
      </c>
      <c r="G78" s="301">
        <v>229.0</v>
      </c>
      <c r="H78" s="301">
        <v>229.0</v>
      </c>
      <c r="I78" s="603">
        <v>19.97</v>
      </c>
      <c r="J78" s="895">
        <f t="shared" si="37"/>
        <v>0.08720524017</v>
      </c>
      <c r="K78" s="300">
        <f t="shared" si="38"/>
        <v>209.03</v>
      </c>
      <c r="L78" s="413">
        <f t="shared" si="39"/>
        <v>10.4672008</v>
      </c>
      <c r="M78" s="331"/>
      <c r="N78" s="318" t="s">
        <v>112</v>
      </c>
      <c r="O78" s="896">
        <v>229.0</v>
      </c>
      <c r="P78" s="844"/>
      <c r="Q78" s="840"/>
      <c r="R78" s="840"/>
      <c r="S78" s="840"/>
      <c r="T78" s="840"/>
      <c r="U78" s="840"/>
      <c r="V78" s="840"/>
      <c r="W78" s="840"/>
      <c r="X78" s="840"/>
      <c r="Y78" s="840"/>
      <c r="Z78" s="840"/>
      <c r="AA78" s="840"/>
      <c r="AB78" s="840"/>
      <c r="AC78" s="840"/>
    </row>
    <row r="79" ht="14.25" customHeight="1" outlineLevel="1">
      <c r="A79" s="845">
        <v>76.0</v>
      </c>
      <c r="B79" s="595" t="s">
        <v>611</v>
      </c>
      <c r="C79" s="595"/>
      <c r="D79" s="595"/>
      <c r="E79" s="595"/>
      <c r="F79" s="602">
        <v>200.0</v>
      </c>
      <c r="G79" s="301">
        <v>269.0</v>
      </c>
      <c r="H79" s="301">
        <v>269.0</v>
      </c>
      <c r="I79" s="603">
        <v>56.34</v>
      </c>
      <c r="J79" s="895">
        <f t="shared" si="37"/>
        <v>0.2094423792</v>
      </c>
      <c r="K79" s="300">
        <f t="shared" si="38"/>
        <v>192.66</v>
      </c>
      <c r="L79" s="413">
        <f t="shared" si="39"/>
        <v>3.419595314</v>
      </c>
      <c r="M79" s="331"/>
      <c r="N79" s="318" t="s">
        <v>112</v>
      </c>
      <c r="O79" s="300">
        <v>249.0</v>
      </c>
      <c r="P79" s="844"/>
      <c r="Q79" s="840"/>
      <c r="R79" s="840"/>
      <c r="S79" s="840"/>
      <c r="T79" s="840"/>
      <c r="U79" s="840"/>
      <c r="V79" s="840"/>
      <c r="W79" s="840"/>
      <c r="X79" s="840"/>
      <c r="Y79" s="840"/>
      <c r="Z79" s="840"/>
      <c r="AA79" s="840"/>
      <c r="AB79" s="840"/>
      <c r="AC79" s="840"/>
    </row>
    <row r="80" ht="14.25" customHeight="1" outlineLevel="1">
      <c r="A80" s="845">
        <v>77.0</v>
      </c>
      <c r="B80" s="595" t="s">
        <v>2139</v>
      </c>
      <c r="C80" s="595"/>
      <c r="D80" s="595"/>
      <c r="E80" s="595"/>
      <c r="F80" s="602">
        <v>200.0</v>
      </c>
      <c r="G80" s="301">
        <v>329.0</v>
      </c>
      <c r="H80" s="301">
        <v>329.0</v>
      </c>
      <c r="I80" s="603">
        <v>67.99</v>
      </c>
      <c r="J80" s="895">
        <f t="shared" si="37"/>
        <v>0.206656535</v>
      </c>
      <c r="K80" s="300">
        <f t="shared" si="38"/>
        <v>231.01</v>
      </c>
      <c r="L80" s="413">
        <f t="shared" si="39"/>
        <v>3.397705545</v>
      </c>
      <c r="M80" s="331"/>
      <c r="N80" s="318" t="s">
        <v>112</v>
      </c>
      <c r="O80" s="300">
        <v>299.0</v>
      </c>
      <c r="P80" s="844"/>
      <c r="Q80" s="840"/>
      <c r="R80" s="840"/>
      <c r="S80" s="840"/>
      <c r="T80" s="840"/>
      <c r="U80" s="840"/>
      <c r="V80" s="840"/>
      <c r="W80" s="840"/>
      <c r="X80" s="840"/>
      <c r="Y80" s="840"/>
      <c r="Z80" s="840"/>
      <c r="AA80" s="840"/>
      <c r="AB80" s="840"/>
      <c r="AC80" s="840"/>
    </row>
    <row r="81" ht="14.25" customHeight="1">
      <c r="A81" s="803">
        <v>78.0</v>
      </c>
      <c r="B81" s="594" t="s">
        <v>612</v>
      </c>
      <c r="C81" s="290"/>
      <c r="D81" s="290"/>
      <c r="E81" s="290"/>
      <c r="F81" s="293"/>
      <c r="G81" s="301"/>
      <c r="H81" s="301"/>
      <c r="I81" s="843"/>
      <c r="J81" s="297"/>
      <c r="K81" s="298"/>
      <c r="L81" s="297"/>
      <c r="M81" s="299"/>
      <c r="N81" s="290"/>
      <c r="O81" s="298"/>
      <c r="P81" s="840"/>
      <c r="Q81" s="840"/>
      <c r="R81" s="840"/>
      <c r="S81" s="840"/>
      <c r="T81" s="840"/>
      <c r="U81" s="840"/>
      <c r="V81" s="840"/>
      <c r="W81" s="840"/>
      <c r="X81" s="840"/>
      <c r="Y81" s="840"/>
      <c r="Z81" s="840"/>
      <c r="AA81" s="840"/>
      <c r="AB81" s="840"/>
      <c r="AC81" s="840"/>
    </row>
    <row r="82" ht="14.25" customHeight="1" outlineLevel="1">
      <c r="A82" s="285">
        <v>79.0</v>
      </c>
      <c r="B82" s="595" t="s">
        <v>1344</v>
      </c>
      <c r="C82" s="416"/>
      <c r="D82" s="595"/>
      <c r="E82" s="595"/>
      <c r="F82" s="596">
        <v>250.0</v>
      </c>
      <c r="G82" s="301">
        <v>239.0</v>
      </c>
      <c r="H82" s="301">
        <v>239.0</v>
      </c>
      <c r="I82" s="345">
        <v>57.4</v>
      </c>
      <c r="J82" s="516">
        <f t="shared" ref="J82:J93" si="40">I82/H82</f>
        <v>0.240167364</v>
      </c>
      <c r="K82" s="315">
        <f t="shared" ref="K82:K93" si="41">O82-I82</f>
        <v>171.6</v>
      </c>
      <c r="L82" s="316">
        <f t="shared" ref="L82:L93" si="42">O82/I82-1</f>
        <v>2.989547038</v>
      </c>
      <c r="M82" s="331">
        <v>259.0</v>
      </c>
      <c r="N82" s="343" t="s">
        <v>111</v>
      </c>
      <c r="O82" s="300">
        <v>229.0</v>
      </c>
      <c r="P82" s="840"/>
      <c r="Q82" s="840"/>
      <c r="R82" s="840"/>
      <c r="S82" s="840"/>
      <c r="T82" s="840"/>
      <c r="U82" s="840"/>
      <c r="V82" s="840"/>
      <c r="W82" s="840"/>
      <c r="X82" s="840"/>
      <c r="Y82" s="840"/>
      <c r="Z82" s="840"/>
      <c r="AA82" s="840"/>
      <c r="AB82" s="840"/>
      <c r="AC82" s="840"/>
    </row>
    <row r="83" ht="14.25" customHeight="1" outlineLevel="1">
      <c r="A83" s="285">
        <v>80.0</v>
      </c>
      <c r="B83" s="595" t="s">
        <v>1345</v>
      </c>
      <c r="C83" s="595"/>
      <c r="D83" s="595"/>
      <c r="E83" s="595"/>
      <c r="F83" s="596">
        <v>500.0</v>
      </c>
      <c r="G83" s="311">
        <v>259.0</v>
      </c>
      <c r="H83" s="311">
        <v>259.0</v>
      </c>
      <c r="I83" s="345">
        <v>60.27</v>
      </c>
      <c r="J83" s="516">
        <f t="shared" si="40"/>
        <v>0.2327027027</v>
      </c>
      <c r="K83" s="315">
        <f t="shared" si="41"/>
        <v>188.73</v>
      </c>
      <c r="L83" s="316">
        <f t="shared" si="42"/>
        <v>3.131408661</v>
      </c>
      <c r="M83" s="331"/>
      <c r="N83" s="318" t="s">
        <v>112</v>
      </c>
      <c r="O83" s="319">
        <v>249.0</v>
      </c>
      <c r="P83" s="844"/>
      <c r="Q83" s="840"/>
      <c r="R83" s="840"/>
      <c r="S83" s="840"/>
      <c r="T83" s="840"/>
      <c r="U83" s="840"/>
      <c r="V83" s="840"/>
      <c r="W83" s="840"/>
      <c r="X83" s="840"/>
      <c r="Y83" s="840"/>
      <c r="Z83" s="840"/>
      <c r="AA83" s="840"/>
      <c r="AB83" s="840"/>
      <c r="AC83" s="840"/>
    </row>
    <row r="84" ht="14.25" customHeight="1" outlineLevel="1">
      <c r="A84" s="285">
        <v>81.0</v>
      </c>
      <c r="B84" s="595" t="s">
        <v>1346</v>
      </c>
      <c r="C84" s="595"/>
      <c r="D84" s="595"/>
      <c r="E84" s="595"/>
      <c r="F84" s="596">
        <v>250.0</v>
      </c>
      <c r="G84" s="301">
        <v>239.0</v>
      </c>
      <c r="H84" s="301">
        <v>239.0</v>
      </c>
      <c r="I84" s="345">
        <v>57.4</v>
      </c>
      <c r="J84" s="516">
        <f t="shared" si="40"/>
        <v>0.240167364</v>
      </c>
      <c r="K84" s="315">
        <f t="shared" si="41"/>
        <v>171.6</v>
      </c>
      <c r="L84" s="316">
        <f t="shared" si="42"/>
        <v>2.989547038</v>
      </c>
      <c r="M84" s="331">
        <v>259.0</v>
      </c>
      <c r="N84" s="343" t="s">
        <v>111</v>
      </c>
      <c r="O84" s="300">
        <v>229.0</v>
      </c>
      <c r="P84" s="844"/>
      <c r="Q84" s="840"/>
      <c r="R84" s="840"/>
      <c r="S84" s="840"/>
      <c r="T84" s="840"/>
      <c r="U84" s="840"/>
      <c r="V84" s="840"/>
      <c r="W84" s="840"/>
      <c r="X84" s="840"/>
      <c r="Y84" s="840"/>
      <c r="Z84" s="840"/>
      <c r="AA84" s="840"/>
      <c r="AB84" s="840"/>
      <c r="AC84" s="840"/>
    </row>
    <row r="85" ht="14.25" customHeight="1" outlineLevel="1">
      <c r="A85" s="285">
        <v>82.0</v>
      </c>
      <c r="B85" s="595" t="s">
        <v>1347</v>
      </c>
      <c r="C85" s="595"/>
      <c r="D85" s="595"/>
      <c r="E85" s="595"/>
      <c r="F85" s="596">
        <v>500.0</v>
      </c>
      <c r="G85" s="311">
        <v>259.0</v>
      </c>
      <c r="H85" s="311">
        <v>259.0</v>
      </c>
      <c r="I85" s="345">
        <v>60.27</v>
      </c>
      <c r="J85" s="516">
        <f t="shared" si="40"/>
        <v>0.2327027027</v>
      </c>
      <c r="K85" s="315">
        <f t="shared" si="41"/>
        <v>188.73</v>
      </c>
      <c r="L85" s="316">
        <f t="shared" si="42"/>
        <v>3.131408661</v>
      </c>
      <c r="M85" s="331"/>
      <c r="N85" s="318" t="s">
        <v>112</v>
      </c>
      <c r="O85" s="319">
        <v>249.0</v>
      </c>
      <c r="P85" s="844"/>
      <c r="Q85" s="840"/>
      <c r="R85" s="840"/>
      <c r="S85" s="840"/>
      <c r="T85" s="840"/>
      <c r="U85" s="840"/>
      <c r="V85" s="840"/>
      <c r="W85" s="840"/>
      <c r="X85" s="840"/>
      <c r="Y85" s="840"/>
      <c r="Z85" s="840"/>
      <c r="AA85" s="840"/>
      <c r="AB85" s="840"/>
      <c r="AC85" s="840"/>
    </row>
    <row r="86" ht="14.25" customHeight="1" outlineLevel="1">
      <c r="A86" s="285">
        <v>83.0</v>
      </c>
      <c r="B86" s="595" t="s">
        <v>1348</v>
      </c>
      <c r="C86" s="595"/>
      <c r="D86" s="595"/>
      <c r="E86" s="595"/>
      <c r="F86" s="596">
        <v>250.0</v>
      </c>
      <c r="G86" s="301">
        <v>239.0</v>
      </c>
      <c r="H86" s="301">
        <v>239.0</v>
      </c>
      <c r="I86" s="345">
        <v>57.4</v>
      </c>
      <c r="J86" s="516">
        <f t="shared" si="40"/>
        <v>0.240167364</v>
      </c>
      <c r="K86" s="315">
        <f t="shared" si="41"/>
        <v>171.6</v>
      </c>
      <c r="L86" s="316">
        <f t="shared" si="42"/>
        <v>2.989547038</v>
      </c>
      <c r="M86" s="331">
        <v>259.0</v>
      </c>
      <c r="N86" s="343" t="s">
        <v>111</v>
      </c>
      <c r="O86" s="300">
        <v>229.0</v>
      </c>
      <c r="P86" s="844"/>
      <c r="Q86" s="840"/>
      <c r="R86" s="840"/>
      <c r="S86" s="840"/>
      <c r="T86" s="840"/>
      <c r="U86" s="840"/>
      <c r="V86" s="840"/>
      <c r="W86" s="840"/>
      <c r="X86" s="840"/>
      <c r="Y86" s="840"/>
      <c r="Z86" s="840"/>
      <c r="AA86" s="840"/>
      <c r="AB86" s="840"/>
      <c r="AC86" s="840"/>
    </row>
    <row r="87" ht="14.25" customHeight="1" outlineLevel="1">
      <c r="A87" s="285">
        <v>84.0</v>
      </c>
      <c r="B87" s="595" t="s">
        <v>1617</v>
      </c>
      <c r="C87" s="595"/>
      <c r="D87" s="595"/>
      <c r="E87" s="595"/>
      <c r="F87" s="596">
        <v>200.0</v>
      </c>
      <c r="G87" s="301">
        <v>89.0</v>
      </c>
      <c r="H87" s="301">
        <v>89.0</v>
      </c>
      <c r="I87" s="345">
        <v>14.22</v>
      </c>
      <c r="J87" s="516">
        <f t="shared" si="40"/>
        <v>0.1597752809</v>
      </c>
      <c r="K87" s="411">
        <f t="shared" si="41"/>
        <v>64.78</v>
      </c>
      <c r="L87" s="316">
        <f t="shared" si="42"/>
        <v>4.555555556</v>
      </c>
      <c r="M87" s="331"/>
      <c r="N87" s="318" t="s">
        <v>112</v>
      </c>
      <c r="O87" s="300">
        <v>79.0</v>
      </c>
      <c r="P87" s="844"/>
      <c r="Q87" s="840"/>
      <c r="R87" s="840"/>
      <c r="S87" s="840"/>
      <c r="T87" s="840"/>
      <c r="U87" s="840"/>
      <c r="V87" s="840"/>
      <c r="W87" s="840"/>
      <c r="X87" s="840"/>
      <c r="Y87" s="840"/>
      <c r="Z87" s="840"/>
      <c r="AA87" s="840"/>
      <c r="AB87" s="840"/>
      <c r="AC87" s="840"/>
    </row>
    <row r="88" ht="14.25" customHeight="1" outlineLevel="1">
      <c r="A88" s="285">
        <v>85.0</v>
      </c>
      <c r="B88" s="595" t="s">
        <v>1618</v>
      </c>
      <c r="C88" s="595"/>
      <c r="D88" s="595"/>
      <c r="E88" s="595"/>
      <c r="F88" s="596">
        <v>1000.0</v>
      </c>
      <c r="G88" s="301">
        <v>369.0</v>
      </c>
      <c r="H88" s="301">
        <v>369.0</v>
      </c>
      <c r="I88" s="345">
        <v>55.49</v>
      </c>
      <c r="J88" s="516">
        <f t="shared" si="40"/>
        <v>0.1503794038</v>
      </c>
      <c r="K88" s="411">
        <f t="shared" si="41"/>
        <v>313.51</v>
      </c>
      <c r="L88" s="316">
        <f t="shared" si="42"/>
        <v>5.649846819</v>
      </c>
      <c r="M88" s="331">
        <v>399.0</v>
      </c>
      <c r="N88" s="343" t="s">
        <v>111</v>
      </c>
      <c r="O88" s="300">
        <v>369.0</v>
      </c>
      <c r="P88" s="844"/>
      <c r="Q88" s="840"/>
      <c r="R88" s="840"/>
      <c r="S88" s="840"/>
      <c r="T88" s="840"/>
      <c r="U88" s="840"/>
      <c r="V88" s="840"/>
      <c r="W88" s="840"/>
      <c r="X88" s="840"/>
      <c r="Y88" s="840"/>
      <c r="Z88" s="840"/>
      <c r="AA88" s="840"/>
      <c r="AB88" s="840"/>
      <c r="AC88" s="840"/>
    </row>
    <row r="89" ht="14.25" customHeight="1" outlineLevel="1">
      <c r="A89" s="285">
        <v>86.0</v>
      </c>
      <c r="B89" s="595" t="s">
        <v>1342</v>
      </c>
      <c r="C89" s="595"/>
      <c r="D89" s="595"/>
      <c r="E89" s="595"/>
      <c r="F89" s="596">
        <v>200.0</v>
      </c>
      <c r="G89" s="301">
        <v>99.0</v>
      </c>
      <c r="H89" s="301">
        <v>99.0</v>
      </c>
      <c r="I89" s="345">
        <v>25.69</v>
      </c>
      <c r="J89" s="516">
        <f t="shared" si="40"/>
        <v>0.2594949495</v>
      </c>
      <c r="K89" s="315">
        <f t="shared" si="41"/>
        <v>73.31</v>
      </c>
      <c r="L89" s="316">
        <f t="shared" si="42"/>
        <v>2.853639548</v>
      </c>
      <c r="M89" s="331"/>
      <c r="N89" s="343" t="s">
        <v>112</v>
      </c>
      <c r="O89" s="300">
        <v>99.0</v>
      </c>
      <c r="P89" s="844"/>
      <c r="Q89" s="840"/>
      <c r="R89" s="840"/>
      <c r="S89" s="840"/>
      <c r="T89" s="840"/>
      <c r="U89" s="840"/>
      <c r="V89" s="840"/>
      <c r="W89" s="840"/>
      <c r="X89" s="840"/>
      <c r="Y89" s="840"/>
      <c r="Z89" s="840"/>
      <c r="AA89" s="840"/>
      <c r="AB89" s="840"/>
      <c r="AC89" s="840"/>
    </row>
    <row r="90" ht="14.25" customHeight="1" outlineLevel="1">
      <c r="A90" s="285">
        <v>87.0</v>
      </c>
      <c r="B90" s="595" t="s">
        <v>1343</v>
      </c>
      <c r="C90" s="595"/>
      <c r="D90" s="595"/>
      <c r="E90" s="595"/>
      <c r="F90" s="596">
        <v>1000.0</v>
      </c>
      <c r="G90" s="301">
        <v>469.0</v>
      </c>
      <c r="H90" s="301">
        <v>469.0</v>
      </c>
      <c r="I90" s="345">
        <v>126.89</v>
      </c>
      <c r="J90" s="516">
        <f t="shared" si="40"/>
        <v>0.270554371</v>
      </c>
      <c r="K90" s="315">
        <f t="shared" si="41"/>
        <v>332.11</v>
      </c>
      <c r="L90" s="316">
        <f t="shared" si="42"/>
        <v>2.617306328</v>
      </c>
      <c r="M90" s="331">
        <v>499.0</v>
      </c>
      <c r="N90" s="343" t="s">
        <v>111</v>
      </c>
      <c r="O90" s="300">
        <v>459.0</v>
      </c>
      <c r="P90" s="844"/>
      <c r="Q90" s="840"/>
      <c r="R90" s="840"/>
      <c r="S90" s="840"/>
      <c r="T90" s="840"/>
      <c r="U90" s="840"/>
      <c r="V90" s="840"/>
      <c r="W90" s="840"/>
      <c r="X90" s="840"/>
      <c r="Y90" s="840"/>
      <c r="Z90" s="840"/>
      <c r="AA90" s="840"/>
      <c r="AB90" s="840"/>
      <c r="AC90" s="840"/>
    </row>
    <row r="91" ht="14.25" customHeight="1" outlineLevel="1">
      <c r="A91" s="285">
        <v>88.0</v>
      </c>
      <c r="B91" s="595" t="s">
        <v>1349</v>
      </c>
      <c r="C91" s="595" t="s">
        <v>2140</v>
      </c>
      <c r="D91" s="595" t="s">
        <v>1350</v>
      </c>
      <c r="E91" s="595"/>
      <c r="F91" s="596">
        <v>500.0</v>
      </c>
      <c r="G91" s="301">
        <v>249.0</v>
      </c>
      <c r="H91" s="301">
        <v>249.0</v>
      </c>
      <c r="I91" s="345">
        <v>53.84</v>
      </c>
      <c r="J91" s="516">
        <f t="shared" si="40"/>
        <v>0.2162248996</v>
      </c>
      <c r="K91" s="315">
        <f t="shared" si="41"/>
        <v>145.16</v>
      </c>
      <c r="L91" s="316">
        <f t="shared" si="42"/>
        <v>2.696136701</v>
      </c>
      <c r="M91" s="331">
        <v>289.0</v>
      </c>
      <c r="N91" s="343" t="s">
        <v>111</v>
      </c>
      <c r="O91" s="300">
        <v>199.0</v>
      </c>
      <c r="P91" s="844"/>
      <c r="Q91" s="840"/>
      <c r="R91" s="840"/>
      <c r="S91" s="840"/>
      <c r="T91" s="840"/>
      <c r="U91" s="840"/>
      <c r="V91" s="840"/>
      <c r="W91" s="840"/>
      <c r="X91" s="840"/>
      <c r="Y91" s="840"/>
      <c r="Z91" s="840"/>
      <c r="AA91" s="840"/>
      <c r="AB91" s="840"/>
      <c r="AC91" s="840"/>
    </row>
    <row r="92" ht="14.25" customHeight="1" outlineLevel="1">
      <c r="A92" s="285">
        <v>89.0</v>
      </c>
      <c r="B92" s="595" t="s">
        <v>1351</v>
      </c>
      <c r="C92" s="595" t="s">
        <v>1353</v>
      </c>
      <c r="D92" s="595" t="s">
        <v>1352</v>
      </c>
      <c r="E92" s="595"/>
      <c r="F92" s="596">
        <v>330.0</v>
      </c>
      <c r="G92" s="311">
        <v>299.0</v>
      </c>
      <c r="H92" s="311">
        <v>299.0</v>
      </c>
      <c r="I92" s="345">
        <v>67.5</v>
      </c>
      <c r="J92" s="516">
        <f t="shared" si="40"/>
        <v>0.2257525084</v>
      </c>
      <c r="K92" s="315">
        <f t="shared" si="41"/>
        <v>231.5</v>
      </c>
      <c r="L92" s="316">
        <f t="shared" si="42"/>
        <v>3.42962963</v>
      </c>
      <c r="M92" s="331"/>
      <c r="N92" s="343" t="s">
        <v>112</v>
      </c>
      <c r="O92" s="319">
        <v>299.0</v>
      </c>
      <c r="P92" s="844"/>
      <c r="Q92" s="840"/>
      <c r="R92" s="840"/>
      <c r="S92" s="840"/>
      <c r="T92" s="840"/>
      <c r="U92" s="840"/>
      <c r="V92" s="840"/>
      <c r="W92" s="840"/>
      <c r="X92" s="840"/>
      <c r="Y92" s="840"/>
      <c r="Z92" s="840"/>
      <c r="AA92" s="840"/>
      <c r="AB92" s="840"/>
      <c r="AC92" s="840"/>
    </row>
    <row r="93" ht="14.25" customHeight="1" outlineLevel="1">
      <c r="A93" s="285">
        <v>90.0</v>
      </c>
      <c r="B93" s="595" t="s">
        <v>639</v>
      </c>
      <c r="C93" s="595"/>
      <c r="D93" s="595"/>
      <c r="E93" s="595"/>
      <c r="F93" s="596">
        <v>500.0</v>
      </c>
      <c r="G93" s="301">
        <v>149.0</v>
      </c>
      <c r="H93" s="301">
        <v>149.0</v>
      </c>
      <c r="I93" s="345">
        <v>33.41</v>
      </c>
      <c r="J93" s="516">
        <f t="shared" si="40"/>
        <v>0.2242281879</v>
      </c>
      <c r="K93" s="315">
        <f t="shared" si="41"/>
        <v>105.59</v>
      </c>
      <c r="L93" s="316">
        <f t="shared" si="42"/>
        <v>3.160431009</v>
      </c>
      <c r="M93" s="331">
        <v>189.0</v>
      </c>
      <c r="N93" s="343" t="s">
        <v>111</v>
      </c>
      <c r="O93" s="300">
        <v>139.0</v>
      </c>
      <c r="P93" s="844"/>
      <c r="Q93" s="840"/>
      <c r="R93" s="840"/>
      <c r="S93" s="840"/>
      <c r="T93" s="840"/>
      <c r="U93" s="840"/>
      <c r="V93" s="840"/>
      <c r="W93" s="840"/>
      <c r="X93" s="840"/>
      <c r="Y93" s="840"/>
      <c r="Z93" s="840"/>
      <c r="AA93" s="840"/>
      <c r="AB93" s="840"/>
      <c r="AC93" s="840"/>
    </row>
    <row r="94" ht="14.25" customHeight="1">
      <c r="A94" s="803">
        <v>91.0</v>
      </c>
      <c r="B94" s="594" t="s">
        <v>1356</v>
      </c>
      <c r="C94" s="290"/>
      <c r="D94" s="290"/>
      <c r="E94" s="290"/>
      <c r="F94" s="293"/>
      <c r="G94" s="301"/>
      <c r="H94" s="301"/>
      <c r="I94" s="843"/>
      <c r="J94" s="297"/>
      <c r="K94" s="298"/>
      <c r="L94" s="297"/>
      <c r="M94" s="299"/>
      <c r="N94" s="297"/>
      <c r="O94" s="298"/>
      <c r="P94" s="844"/>
      <c r="Q94" s="840"/>
      <c r="R94" s="840"/>
      <c r="S94" s="840"/>
      <c r="T94" s="840"/>
      <c r="U94" s="840"/>
      <c r="V94" s="840"/>
      <c r="W94" s="840"/>
      <c r="X94" s="840"/>
      <c r="Y94" s="840"/>
      <c r="Z94" s="840"/>
      <c r="AA94" s="840"/>
      <c r="AB94" s="840"/>
      <c r="AC94" s="840"/>
    </row>
    <row r="95" ht="14.25" customHeight="1" outlineLevel="1">
      <c r="A95" s="845">
        <v>92.0</v>
      </c>
      <c r="B95" s="606" t="s">
        <v>1357</v>
      </c>
      <c r="C95" s="606"/>
      <c r="D95" s="606"/>
      <c r="E95" s="606"/>
      <c r="F95" s="607">
        <v>250.0</v>
      </c>
      <c r="G95" s="301">
        <v>239.0</v>
      </c>
      <c r="H95" s="301">
        <v>239.0</v>
      </c>
      <c r="I95" s="608">
        <v>59.0</v>
      </c>
      <c r="J95" s="521">
        <f t="shared" ref="J95:J99" si="43">I95/H95</f>
        <v>0.2468619247</v>
      </c>
      <c r="K95" s="315">
        <f t="shared" ref="K95:K99" si="44">O95-I95</f>
        <v>170</v>
      </c>
      <c r="L95" s="316">
        <f t="shared" ref="L95:L99" si="45">O95/I95-1</f>
        <v>2.881355932</v>
      </c>
      <c r="M95" s="317"/>
      <c r="N95" s="343" t="s">
        <v>112</v>
      </c>
      <c r="O95" s="300">
        <v>229.0</v>
      </c>
      <c r="P95" s="844"/>
      <c r="Q95" s="840"/>
      <c r="R95" s="840"/>
      <c r="S95" s="840"/>
      <c r="T95" s="840"/>
      <c r="U95" s="840"/>
      <c r="V95" s="840"/>
      <c r="W95" s="840"/>
      <c r="X95" s="840"/>
      <c r="Y95" s="840"/>
      <c r="Z95" s="840"/>
      <c r="AA95" s="840"/>
      <c r="AB95" s="840"/>
      <c r="AC95" s="840"/>
    </row>
    <row r="96" ht="14.25" customHeight="1" outlineLevel="1">
      <c r="A96" s="845">
        <v>93.0</v>
      </c>
      <c r="B96" s="606" t="s">
        <v>1358</v>
      </c>
      <c r="C96" s="606"/>
      <c r="D96" s="606"/>
      <c r="E96" s="606"/>
      <c r="F96" s="607">
        <v>250.0</v>
      </c>
      <c r="G96" s="301">
        <v>239.0</v>
      </c>
      <c r="H96" s="301">
        <v>239.0</v>
      </c>
      <c r="I96" s="608">
        <v>59.0</v>
      </c>
      <c r="J96" s="521">
        <f t="shared" si="43"/>
        <v>0.2468619247</v>
      </c>
      <c r="K96" s="315">
        <f t="shared" si="44"/>
        <v>170</v>
      </c>
      <c r="L96" s="316">
        <f t="shared" si="45"/>
        <v>2.881355932</v>
      </c>
      <c r="M96" s="317"/>
      <c r="N96" s="343" t="s">
        <v>112</v>
      </c>
      <c r="O96" s="300">
        <v>229.0</v>
      </c>
      <c r="P96" s="844"/>
      <c r="Q96" s="840"/>
      <c r="R96" s="840"/>
      <c r="S96" s="840"/>
      <c r="T96" s="840"/>
      <c r="U96" s="840"/>
      <c r="V96" s="840"/>
      <c r="W96" s="840"/>
      <c r="X96" s="840"/>
      <c r="Y96" s="840"/>
      <c r="Z96" s="840"/>
      <c r="AA96" s="840"/>
      <c r="AB96" s="840"/>
      <c r="AC96" s="840"/>
    </row>
    <row r="97" ht="14.25" customHeight="1" outlineLevel="1">
      <c r="A97" s="845">
        <v>94.0</v>
      </c>
      <c r="B97" s="606" t="s">
        <v>1359</v>
      </c>
      <c r="C97" s="606"/>
      <c r="D97" s="606"/>
      <c r="E97" s="606"/>
      <c r="F97" s="607">
        <v>250.0</v>
      </c>
      <c r="G97" s="301">
        <v>239.0</v>
      </c>
      <c r="H97" s="301">
        <v>239.0</v>
      </c>
      <c r="I97" s="608">
        <v>59.0</v>
      </c>
      <c r="J97" s="521">
        <f t="shared" si="43"/>
        <v>0.2468619247</v>
      </c>
      <c r="K97" s="315">
        <f t="shared" si="44"/>
        <v>170</v>
      </c>
      <c r="L97" s="316">
        <f t="shared" si="45"/>
        <v>2.881355932</v>
      </c>
      <c r="M97" s="317"/>
      <c r="N97" s="343" t="s">
        <v>112</v>
      </c>
      <c r="O97" s="300">
        <v>229.0</v>
      </c>
      <c r="P97" s="844"/>
      <c r="Q97" s="840"/>
      <c r="R97" s="840"/>
      <c r="S97" s="840"/>
      <c r="T97" s="840"/>
      <c r="U97" s="840"/>
      <c r="V97" s="840"/>
      <c r="W97" s="840"/>
      <c r="X97" s="840"/>
      <c r="Y97" s="840"/>
      <c r="Z97" s="840"/>
      <c r="AA97" s="840"/>
      <c r="AB97" s="840"/>
      <c r="AC97" s="840"/>
    </row>
    <row r="98" ht="14.25" customHeight="1" outlineLevel="1">
      <c r="A98" s="285">
        <v>95.0</v>
      </c>
      <c r="B98" s="595" t="s">
        <v>1619</v>
      </c>
      <c r="C98" s="595"/>
      <c r="D98" s="595"/>
      <c r="E98" s="595"/>
      <c r="F98" s="596">
        <v>250.0</v>
      </c>
      <c r="G98" s="301">
        <v>239.0</v>
      </c>
      <c r="H98" s="301">
        <v>239.0</v>
      </c>
      <c r="I98" s="608">
        <v>59.0</v>
      </c>
      <c r="J98" s="521">
        <f t="shared" si="43"/>
        <v>0.2468619247</v>
      </c>
      <c r="K98" s="315">
        <f t="shared" si="44"/>
        <v>170</v>
      </c>
      <c r="L98" s="316">
        <f t="shared" si="45"/>
        <v>2.881355932</v>
      </c>
      <c r="M98" s="317"/>
      <c r="N98" s="343" t="s">
        <v>112</v>
      </c>
      <c r="O98" s="300">
        <v>229.0</v>
      </c>
      <c r="P98" s="844"/>
      <c r="Q98" s="840"/>
      <c r="R98" s="840"/>
      <c r="S98" s="840"/>
      <c r="T98" s="840"/>
      <c r="U98" s="840"/>
      <c r="V98" s="840"/>
      <c r="W98" s="840"/>
      <c r="X98" s="840"/>
      <c r="Y98" s="840"/>
      <c r="Z98" s="840"/>
      <c r="AA98" s="840"/>
      <c r="AB98" s="840"/>
      <c r="AC98" s="840"/>
    </row>
    <row r="99" ht="14.25" customHeight="1" outlineLevel="1">
      <c r="A99" s="285">
        <v>96.0</v>
      </c>
      <c r="B99" s="595" t="s">
        <v>1620</v>
      </c>
      <c r="C99" s="595"/>
      <c r="D99" s="595"/>
      <c r="E99" s="595"/>
      <c r="F99" s="607">
        <v>250.0</v>
      </c>
      <c r="G99" s="301">
        <v>239.0</v>
      </c>
      <c r="H99" s="301">
        <v>239.0</v>
      </c>
      <c r="I99" s="608">
        <v>59.0</v>
      </c>
      <c r="J99" s="521">
        <f t="shared" si="43"/>
        <v>0.2468619247</v>
      </c>
      <c r="K99" s="315">
        <f t="shared" si="44"/>
        <v>170</v>
      </c>
      <c r="L99" s="316">
        <f t="shared" si="45"/>
        <v>2.881355932</v>
      </c>
      <c r="M99" s="317"/>
      <c r="N99" s="343"/>
      <c r="O99" s="300">
        <v>229.0</v>
      </c>
      <c r="P99" s="844"/>
      <c r="Q99" s="840"/>
      <c r="R99" s="840"/>
      <c r="S99" s="840"/>
      <c r="T99" s="840"/>
      <c r="U99" s="840"/>
      <c r="V99" s="840"/>
      <c r="W99" s="840"/>
      <c r="X99" s="840"/>
      <c r="Y99" s="840"/>
      <c r="Z99" s="840"/>
      <c r="AA99" s="840"/>
      <c r="AB99" s="840"/>
      <c r="AC99" s="840"/>
    </row>
    <row r="100" ht="14.25" customHeight="1">
      <c r="A100" s="803">
        <v>97.0</v>
      </c>
      <c r="B100" s="594" t="s">
        <v>643</v>
      </c>
      <c r="C100" s="594" t="s">
        <v>1361</v>
      </c>
      <c r="D100" s="290"/>
      <c r="E100" s="290"/>
      <c r="F100" s="293"/>
      <c r="G100" s="301"/>
      <c r="H100" s="301"/>
      <c r="I100" s="843"/>
      <c r="J100" s="297"/>
      <c r="K100" s="803"/>
      <c r="L100" s="297"/>
      <c r="M100" s="299"/>
      <c r="N100" s="290"/>
      <c r="O100" s="298"/>
      <c r="P100" s="840"/>
      <c r="Q100" s="840"/>
      <c r="R100" s="840"/>
      <c r="S100" s="840"/>
      <c r="T100" s="840"/>
      <c r="U100" s="840"/>
      <c r="V100" s="840"/>
      <c r="W100" s="840"/>
      <c r="X100" s="840"/>
      <c r="Y100" s="840"/>
      <c r="Z100" s="840"/>
      <c r="AA100" s="840"/>
      <c r="AB100" s="840"/>
      <c r="AC100" s="840"/>
    </row>
    <row r="101" ht="14.25" customHeight="1" outlineLevel="1">
      <c r="A101" s="285">
        <v>98.0</v>
      </c>
      <c r="B101" s="595" t="s">
        <v>2141</v>
      </c>
      <c r="C101" s="595"/>
      <c r="D101" s="595" t="s">
        <v>2142</v>
      </c>
      <c r="E101" s="595"/>
      <c r="F101" s="602">
        <v>300.0</v>
      </c>
      <c r="G101" s="301">
        <v>199.0</v>
      </c>
      <c r="H101" s="301">
        <v>199.0</v>
      </c>
      <c r="I101" s="603">
        <v>18.51</v>
      </c>
      <c r="J101" s="897">
        <f t="shared" ref="J101:J116" si="46">I101/H101</f>
        <v>0.09301507538</v>
      </c>
      <c r="K101" s="300">
        <f t="shared" ref="K101:K116" si="47">O101-I101</f>
        <v>170.49</v>
      </c>
      <c r="L101" s="413">
        <f t="shared" ref="L101:L116" si="48">O101/I101-1</f>
        <v>9.210696921</v>
      </c>
      <c r="M101" s="331"/>
      <c r="N101" s="318" t="s">
        <v>112</v>
      </c>
      <c r="O101" s="300">
        <v>189.0</v>
      </c>
      <c r="P101" s="844"/>
      <c r="Q101" s="840"/>
      <c r="R101" s="840"/>
      <c r="S101" s="840"/>
      <c r="T101" s="840"/>
      <c r="U101" s="840"/>
      <c r="V101" s="840"/>
      <c r="W101" s="840"/>
      <c r="X101" s="840"/>
      <c r="Y101" s="840"/>
      <c r="Z101" s="840"/>
      <c r="AA101" s="840"/>
      <c r="AB101" s="840"/>
      <c r="AC101" s="840"/>
    </row>
    <row r="102" ht="14.25" customHeight="1" outlineLevel="1">
      <c r="A102" s="285">
        <v>99.0</v>
      </c>
      <c r="B102" s="595" t="s">
        <v>1621</v>
      </c>
      <c r="C102" s="595"/>
      <c r="D102" s="595" t="s">
        <v>646</v>
      </c>
      <c r="E102" s="595"/>
      <c r="F102" s="602">
        <v>500.0</v>
      </c>
      <c r="G102" s="311">
        <v>249.0</v>
      </c>
      <c r="H102" s="311">
        <v>249.0</v>
      </c>
      <c r="I102" s="603">
        <v>30.35</v>
      </c>
      <c r="J102" s="897">
        <f t="shared" si="46"/>
        <v>0.1218875502</v>
      </c>
      <c r="K102" s="300">
        <f t="shared" si="47"/>
        <v>208.65</v>
      </c>
      <c r="L102" s="413">
        <f t="shared" si="48"/>
        <v>6.874794069</v>
      </c>
      <c r="M102" s="331"/>
      <c r="N102" s="318" t="s">
        <v>112</v>
      </c>
      <c r="O102" s="319">
        <v>239.0</v>
      </c>
      <c r="P102" s="898"/>
      <c r="Q102" s="840"/>
      <c r="R102" s="840"/>
      <c r="S102" s="840"/>
      <c r="T102" s="840"/>
      <c r="U102" s="840"/>
      <c r="V102" s="840"/>
      <c r="W102" s="840"/>
      <c r="X102" s="840"/>
      <c r="Y102" s="840"/>
      <c r="Z102" s="840"/>
      <c r="AA102" s="840"/>
      <c r="AB102" s="840"/>
      <c r="AC102" s="840"/>
    </row>
    <row r="103" ht="14.25" customHeight="1" outlineLevel="1">
      <c r="A103" s="285">
        <v>100.0</v>
      </c>
      <c r="B103" s="595" t="s">
        <v>2143</v>
      </c>
      <c r="C103" s="595"/>
      <c r="D103" s="595" t="s">
        <v>652</v>
      </c>
      <c r="E103" s="595"/>
      <c r="F103" s="602">
        <v>300.0</v>
      </c>
      <c r="G103" s="301">
        <v>219.0</v>
      </c>
      <c r="H103" s="301">
        <v>219.0</v>
      </c>
      <c r="I103" s="603">
        <v>39.9</v>
      </c>
      <c r="J103" s="897">
        <f t="shared" si="46"/>
        <v>0.1821917808</v>
      </c>
      <c r="K103" s="300">
        <f t="shared" si="47"/>
        <v>159.1</v>
      </c>
      <c r="L103" s="413">
        <f t="shared" si="48"/>
        <v>3.987468672</v>
      </c>
      <c r="M103" s="331"/>
      <c r="N103" s="318" t="s">
        <v>112</v>
      </c>
      <c r="O103" s="300">
        <v>199.0</v>
      </c>
      <c r="P103" s="898"/>
      <c r="Q103" s="840"/>
      <c r="R103" s="840"/>
      <c r="S103" s="840"/>
      <c r="T103" s="840"/>
      <c r="U103" s="840"/>
      <c r="V103" s="840"/>
      <c r="W103" s="840"/>
      <c r="X103" s="840"/>
      <c r="Y103" s="840"/>
      <c r="Z103" s="840"/>
      <c r="AA103" s="840"/>
      <c r="AB103" s="840"/>
      <c r="AC103" s="840"/>
    </row>
    <row r="104" ht="14.25" customHeight="1" outlineLevel="1">
      <c r="A104" s="285">
        <v>101.0</v>
      </c>
      <c r="B104" s="595" t="s">
        <v>1362</v>
      </c>
      <c r="C104" s="595"/>
      <c r="D104" s="595" t="s">
        <v>652</v>
      </c>
      <c r="E104" s="595"/>
      <c r="F104" s="596">
        <v>500.0</v>
      </c>
      <c r="G104" s="311">
        <v>319.0</v>
      </c>
      <c r="H104" s="311">
        <v>319.0</v>
      </c>
      <c r="I104" s="345">
        <v>65.63</v>
      </c>
      <c r="J104" s="897">
        <f t="shared" si="46"/>
        <v>0.2057366771</v>
      </c>
      <c r="K104" s="315">
        <f t="shared" si="47"/>
        <v>213.37</v>
      </c>
      <c r="L104" s="316">
        <f t="shared" si="48"/>
        <v>3.251104678</v>
      </c>
      <c r="M104" s="317"/>
      <c r="N104" s="318" t="s">
        <v>112</v>
      </c>
      <c r="O104" s="319">
        <v>279.0</v>
      </c>
      <c r="P104" s="844"/>
      <c r="Q104" s="840"/>
      <c r="R104" s="840"/>
      <c r="S104" s="840"/>
      <c r="T104" s="840"/>
      <c r="U104" s="840"/>
      <c r="V104" s="840"/>
      <c r="W104" s="840"/>
      <c r="X104" s="840"/>
      <c r="Y104" s="840"/>
      <c r="Z104" s="840"/>
      <c r="AA104" s="840"/>
      <c r="AB104" s="840"/>
      <c r="AC104" s="840"/>
    </row>
    <row r="105" ht="14.25" customHeight="1" outlineLevel="1">
      <c r="A105" s="285">
        <v>102.0</v>
      </c>
      <c r="B105" s="595" t="s">
        <v>2144</v>
      </c>
      <c r="C105" s="595"/>
      <c r="D105" s="595" t="s">
        <v>656</v>
      </c>
      <c r="E105" s="595"/>
      <c r="F105" s="596">
        <v>300.0</v>
      </c>
      <c r="G105" s="311">
        <v>269.0</v>
      </c>
      <c r="H105" s="311">
        <v>269.0</v>
      </c>
      <c r="I105" s="345">
        <v>63.54</v>
      </c>
      <c r="J105" s="897">
        <f t="shared" si="46"/>
        <v>0.2362081784</v>
      </c>
      <c r="K105" s="315">
        <f t="shared" si="47"/>
        <v>195.46</v>
      </c>
      <c r="L105" s="316">
        <f t="shared" si="48"/>
        <v>3.07617249</v>
      </c>
      <c r="M105" s="317"/>
      <c r="N105" s="318" t="s">
        <v>112</v>
      </c>
      <c r="O105" s="319">
        <v>259.0</v>
      </c>
      <c r="P105" s="844"/>
      <c r="Q105" s="840"/>
      <c r="R105" s="840"/>
      <c r="S105" s="840"/>
      <c r="T105" s="840"/>
      <c r="U105" s="840"/>
      <c r="V105" s="840"/>
      <c r="W105" s="840"/>
      <c r="X105" s="840"/>
      <c r="Y105" s="840"/>
      <c r="Z105" s="840"/>
      <c r="AA105" s="840"/>
      <c r="AB105" s="840"/>
      <c r="AC105" s="840"/>
    </row>
    <row r="106" ht="14.25" customHeight="1" outlineLevel="1">
      <c r="A106" s="285">
        <v>103.0</v>
      </c>
      <c r="B106" s="595" t="s">
        <v>2145</v>
      </c>
      <c r="C106" s="595"/>
      <c r="D106" s="595" t="s">
        <v>656</v>
      </c>
      <c r="E106" s="595"/>
      <c r="F106" s="596">
        <v>500.0</v>
      </c>
      <c r="G106" s="311">
        <v>419.0</v>
      </c>
      <c r="H106" s="311">
        <v>419.0</v>
      </c>
      <c r="I106" s="345">
        <v>106.41</v>
      </c>
      <c r="J106" s="897">
        <f t="shared" si="46"/>
        <v>0.2539618138</v>
      </c>
      <c r="K106" s="315">
        <f t="shared" si="47"/>
        <v>322.59</v>
      </c>
      <c r="L106" s="316">
        <f t="shared" si="48"/>
        <v>3.03157598</v>
      </c>
      <c r="M106" s="317"/>
      <c r="N106" s="318" t="s">
        <v>112</v>
      </c>
      <c r="O106" s="319">
        <v>429.0</v>
      </c>
      <c r="P106" s="844"/>
      <c r="Q106" s="840"/>
      <c r="R106" s="840"/>
      <c r="S106" s="840"/>
      <c r="T106" s="840"/>
      <c r="U106" s="840"/>
      <c r="V106" s="840"/>
      <c r="W106" s="840"/>
      <c r="X106" s="840"/>
      <c r="Y106" s="840"/>
      <c r="Z106" s="840"/>
      <c r="AA106" s="840"/>
      <c r="AB106" s="840"/>
      <c r="AC106" s="840"/>
    </row>
    <row r="107" ht="14.25" customHeight="1" outlineLevel="1">
      <c r="A107" s="285">
        <v>104.0</v>
      </c>
      <c r="B107" s="595" t="s">
        <v>2146</v>
      </c>
      <c r="C107" s="595"/>
      <c r="D107" s="595" t="s">
        <v>661</v>
      </c>
      <c r="E107" s="595"/>
      <c r="F107" s="596">
        <v>300.0</v>
      </c>
      <c r="G107" s="301">
        <v>249.0</v>
      </c>
      <c r="H107" s="301">
        <v>249.0</v>
      </c>
      <c r="I107" s="345">
        <v>50.58</v>
      </c>
      <c r="J107" s="897">
        <f t="shared" si="46"/>
        <v>0.2031325301</v>
      </c>
      <c r="K107" s="315">
        <f t="shared" si="47"/>
        <v>188.42</v>
      </c>
      <c r="L107" s="316">
        <f t="shared" si="48"/>
        <v>3.725187821</v>
      </c>
      <c r="M107" s="317"/>
      <c r="N107" s="318" t="s">
        <v>112</v>
      </c>
      <c r="O107" s="300">
        <v>239.0</v>
      </c>
      <c r="P107" s="844"/>
      <c r="Q107" s="840"/>
      <c r="R107" s="840"/>
      <c r="S107" s="840"/>
      <c r="T107" s="840"/>
      <c r="U107" s="840"/>
      <c r="V107" s="840"/>
      <c r="W107" s="840"/>
      <c r="X107" s="840"/>
      <c r="Y107" s="840"/>
      <c r="Z107" s="840"/>
      <c r="AA107" s="840"/>
      <c r="AB107" s="840"/>
      <c r="AC107" s="840"/>
    </row>
    <row r="108" ht="14.25" customHeight="1" outlineLevel="1">
      <c r="A108" s="285">
        <v>105.0</v>
      </c>
      <c r="B108" s="595" t="s">
        <v>1363</v>
      </c>
      <c r="C108" s="595"/>
      <c r="D108" s="595" t="s">
        <v>661</v>
      </c>
      <c r="E108" s="595"/>
      <c r="F108" s="596">
        <v>500.0</v>
      </c>
      <c r="G108" s="311">
        <v>359.0</v>
      </c>
      <c r="H108" s="311">
        <v>359.0</v>
      </c>
      <c r="I108" s="345">
        <v>84.15</v>
      </c>
      <c r="J108" s="897">
        <f t="shared" si="46"/>
        <v>0.2344011142</v>
      </c>
      <c r="K108" s="315">
        <f t="shared" si="47"/>
        <v>264.85</v>
      </c>
      <c r="L108" s="316">
        <f t="shared" si="48"/>
        <v>3.147355912</v>
      </c>
      <c r="M108" s="317"/>
      <c r="N108" s="318" t="s">
        <v>112</v>
      </c>
      <c r="O108" s="319">
        <v>349.0</v>
      </c>
      <c r="P108" s="844"/>
      <c r="Q108" s="840"/>
      <c r="R108" s="840"/>
      <c r="S108" s="840"/>
      <c r="T108" s="840"/>
      <c r="U108" s="840"/>
      <c r="V108" s="840"/>
      <c r="W108" s="840"/>
      <c r="X108" s="840"/>
      <c r="Y108" s="840"/>
      <c r="Z108" s="840"/>
      <c r="AA108" s="840"/>
      <c r="AB108" s="840"/>
      <c r="AC108" s="840"/>
    </row>
    <row r="109" ht="14.25" customHeight="1" outlineLevel="1">
      <c r="A109" s="285">
        <v>106.0</v>
      </c>
      <c r="B109" s="595" t="s">
        <v>1364</v>
      </c>
      <c r="C109" s="595"/>
      <c r="D109" s="595" t="s">
        <v>2147</v>
      </c>
      <c r="E109" s="595"/>
      <c r="F109" s="596">
        <v>445.0</v>
      </c>
      <c r="G109" s="358">
        <v>599.0</v>
      </c>
      <c r="H109" s="358">
        <v>599.0</v>
      </c>
      <c r="I109" s="345">
        <v>243.88</v>
      </c>
      <c r="J109" s="897">
        <f t="shared" si="46"/>
        <v>0.4071452421</v>
      </c>
      <c r="K109" s="315">
        <f t="shared" si="47"/>
        <v>355.12</v>
      </c>
      <c r="L109" s="316">
        <f t="shared" si="48"/>
        <v>1.456125964</v>
      </c>
      <c r="M109" s="317"/>
      <c r="N109" s="318" t="s">
        <v>112</v>
      </c>
      <c r="O109" s="359">
        <v>599.0</v>
      </c>
      <c r="P109" s="844"/>
      <c r="Q109" s="840"/>
      <c r="R109" s="840"/>
      <c r="S109" s="840"/>
      <c r="T109" s="840"/>
      <c r="U109" s="840"/>
      <c r="V109" s="840"/>
      <c r="W109" s="840"/>
      <c r="X109" s="840"/>
      <c r="Y109" s="840"/>
      <c r="Z109" s="840"/>
      <c r="AA109" s="840"/>
      <c r="AB109" s="840"/>
      <c r="AC109" s="840"/>
    </row>
    <row r="110" ht="14.25" customHeight="1" outlineLevel="1">
      <c r="A110" s="285">
        <v>107.0</v>
      </c>
      <c r="B110" s="595" t="s">
        <v>695</v>
      </c>
      <c r="C110" s="595" t="s">
        <v>1367</v>
      </c>
      <c r="D110" s="595" t="s">
        <v>696</v>
      </c>
      <c r="E110" s="595"/>
      <c r="F110" s="602">
        <v>450.0</v>
      </c>
      <c r="G110" s="311">
        <v>369.0</v>
      </c>
      <c r="H110" s="311">
        <v>369.0</v>
      </c>
      <c r="I110" s="603">
        <v>105.85</v>
      </c>
      <c r="J110" s="897">
        <f t="shared" si="46"/>
        <v>0.2868563686</v>
      </c>
      <c r="K110" s="300">
        <f t="shared" si="47"/>
        <v>-105.85</v>
      </c>
      <c r="L110" s="413">
        <f t="shared" si="48"/>
        <v>-1</v>
      </c>
      <c r="M110" s="331"/>
      <c r="N110" s="318" t="s">
        <v>112</v>
      </c>
      <c r="O110" s="580"/>
      <c r="P110" s="844"/>
      <c r="Q110" s="840"/>
      <c r="R110" s="840"/>
      <c r="S110" s="840"/>
      <c r="T110" s="840"/>
      <c r="U110" s="840"/>
      <c r="V110" s="840"/>
      <c r="W110" s="840"/>
      <c r="X110" s="840"/>
      <c r="Y110" s="840"/>
      <c r="Z110" s="840"/>
      <c r="AA110" s="840"/>
      <c r="AB110" s="840"/>
      <c r="AC110" s="840"/>
    </row>
    <row r="111" ht="14.25" customHeight="1" outlineLevel="1">
      <c r="A111" s="285">
        <v>108.0</v>
      </c>
      <c r="B111" s="595" t="s">
        <v>1368</v>
      </c>
      <c r="C111" s="595"/>
      <c r="D111" s="595"/>
      <c r="E111" s="595"/>
      <c r="F111" s="602">
        <v>330.0</v>
      </c>
      <c r="G111" s="311">
        <v>239.0</v>
      </c>
      <c r="H111" s="311">
        <v>239.0</v>
      </c>
      <c r="I111" s="603">
        <v>46.0</v>
      </c>
      <c r="J111" s="897">
        <f t="shared" si="46"/>
        <v>0.1924686192</v>
      </c>
      <c r="K111" s="300">
        <f t="shared" si="47"/>
        <v>-46</v>
      </c>
      <c r="L111" s="413">
        <f t="shared" si="48"/>
        <v>-1</v>
      </c>
      <c r="M111" s="331"/>
      <c r="N111" s="318"/>
      <c r="O111" s="580"/>
      <c r="P111" s="844"/>
      <c r="Q111" s="840"/>
      <c r="R111" s="840"/>
      <c r="S111" s="840"/>
      <c r="T111" s="840"/>
      <c r="U111" s="840"/>
      <c r="V111" s="840"/>
      <c r="W111" s="840"/>
      <c r="X111" s="840"/>
      <c r="Y111" s="840"/>
      <c r="Z111" s="840"/>
      <c r="AA111" s="840"/>
      <c r="AB111" s="840"/>
      <c r="AC111" s="840"/>
    </row>
    <row r="112" ht="14.25" customHeight="1" outlineLevel="1">
      <c r="A112" s="285">
        <v>109.0</v>
      </c>
      <c r="B112" s="595" t="s">
        <v>1370</v>
      </c>
      <c r="C112" s="595" t="s">
        <v>957</v>
      </c>
      <c r="D112" s="595" t="s">
        <v>2148</v>
      </c>
      <c r="E112" s="595"/>
      <c r="F112" s="602">
        <v>330.0</v>
      </c>
      <c r="G112" s="301">
        <v>399.0</v>
      </c>
      <c r="H112" s="301">
        <v>399.0</v>
      </c>
      <c r="I112" s="603">
        <v>119.6</v>
      </c>
      <c r="J112" s="897">
        <f t="shared" si="46"/>
        <v>0.2997493734</v>
      </c>
      <c r="K112" s="300">
        <f t="shared" si="47"/>
        <v>279.4</v>
      </c>
      <c r="L112" s="413">
        <f t="shared" si="48"/>
        <v>2.336120401</v>
      </c>
      <c r="M112" s="331"/>
      <c r="N112" s="318" t="s">
        <v>112</v>
      </c>
      <c r="O112" s="899">
        <v>399.0</v>
      </c>
      <c r="P112" s="844"/>
      <c r="Q112" s="840"/>
      <c r="R112" s="840"/>
      <c r="S112" s="840"/>
      <c r="T112" s="840"/>
      <c r="U112" s="840"/>
      <c r="V112" s="840"/>
      <c r="W112" s="840"/>
      <c r="X112" s="840"/>
      <c r="Y112" s="840"/>
      <c r="Z112" s="840"/>
      <c r="AA112" s="840"/>
      <c r="AB112" s="840"/>
      <c r="AC112" s="840"/>
    </row>
    <row r="113" ht="14.25" customHeight="1" outlineLevel="1">
      <c r="A113" s="285">
        <v>110.0</v>
      </c>
      <c r="B113" s="595" t="s">
        <v>2149</v>
      </c>
      <c r="C113" s="595"/>
      <c r="D113" s="595"/>
      <c r="E113" s="595"/>
      <c r="F113" s="602">
        <v>4000.0</v>
      </c>
      <c r="G113" s="311">
        <v>1989.0</v>
      </c>
      <c r="H113" s="311">
        <v>1989.0</v>
      </c>
      <c r="I113" s="603">
        <v>257.21</v>
      </c>
      <c r="J113" s="897">
        <f t="shared" si="46"/>
        <v>0.1293162393</v>
      </c>
      <c r="K113" s="300">
        <f t="shared" si="47"/>
        <v>1641.79</v>
      </c>
      <c r="L113" s="413">
        <f t="shared" si="48"/>
        <v>6.383072198</v>
      </c>
      <c r="M113" s="331"/>
      <c r="N113" s="318" t="s">
        <v>112</v>
      </c>
      <c r="O113" s="319">
        <v>1899.0</v>
      </c>
      <c r="P113" s="844"/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  <c r="AA113" s="840"/>
      <c r="AB113" s="840"/>
      <c r="AC113" s="840"/>
    </row>
    <row r="114" ht="14.25" customHeight="1" outlineLevel="1">
      <c r="A114" s="285">
        <v>111.0</v>
      </c>
      <c r="B114" s="595" t="s">
        <v>2150</v>
      </c>
      <c r="C114" s="595"/>
      <c r="D114" s="595"/>
      <c r="E114" s="595"/>
      <c r="F114" s="602">
        <v>4000.0</v>
      </c>
      <c r="G114" s="311">
        <v>2549.0</v>
      </c>
      <c r="H114" s="311">
        <v>2549.0</v>
      </c>
      <c r="I114" s="603">
        <v>517.58</v>
      </c>
      <c r="J114" s="897">
        <f t="shared" si="46"/>
        <v>0.2030521773</v>
      </c>
      <c r="K114" s="300">
        <f t="shared" si="47"/>
        <v>1781.42</v>
      </c>
      <c r="L114" s="413">
        <f t="shared" si="48"/>
        <v>3.441825418</v>
      </c>
      <c r="M114" s="331"/>
      <c r="N114" s="318" t="s">
        <v>112</v>
      </c>
      <c r="O114" s="319">
        <v>2299.0</v>
      </c>
      <c r="P114" s="844"/>
      <c r="Q114" s="840"/>
      <c r="R114" s="840"/>
      <c r="S114" s="840"/>
      <c r="T114" s="840"/>
      <c r="U114" s="840"/>
      <c r="V114" s="840"/>
      <c r="W114" s="840"/>
      <c r="X114" s="840"/>
      <c r="Y114" s="840"/>
      <c r="Z114" s="840"/>
      <c r="AA114" s="840"/>
      <c r="AB114" s="840"/>
      <c r="AC114" s="840"/>
    </row>
    <row r="115" ht="14.25" customHeight="1" outlineLevel="1">
      <c r="A115" s="285">
        <v>112.0</v>
      </c>
      <c r="B115" s="595" t="s">
        <v>2151</v>
      </c>
      <c r="C115" s="595"/>
      <c r="D115" s="595"/>
      <c r="E115" s="595"/>
      <c r="F115" s="602">
        <v>4000.0</v>
      </c>
      <c r="G115" s="311">
        <v>2629.0</v>
      </c>
      <c r="H115" s="311">
        <v>2629.0</v>
      </c>
      <c r="I115" s="603">
        <v>664.26</v>
      </c>
      <c r="J115" s="897">
        <f t="shared" si="46"/>
        <v>0.2526664131</v>
      </c>
      <c r="K115" s="300">
        <f t="shared" si="47"/>
        <v>2124.74</v>
      </c>
      <c r="L115" s="413">
        <f t="shared" si="48"/>
        <v>3.198657152</v>
      </c>
      <c r="M115" s="331"/>
      <c r="N115" s="318" t="s">
        <v>112</v>
      </c>
      <c r="O115" s="319">
        <v>2789.0</v>
      </c>
      <c r="P115" s="844"/>
      <c r="Q115" s="840"/>
      <c r="R115" s="840"/>
      <c r="S115" s="840"/>
      <c r="T115" s="840"/>
      <c r="U115" s="840"/>
      <c r="V115" s="840"/>
      <c r="W115" s="840"/>
      <c r="X115" s="840"/>
      <c r="Y115" s="840"/>
      <c r="Z115" s="840"/>
      <c r="AA115" s="840"/>
      <c r="AB115" s="840"/>
      <c r="AC115" s="840"/>
    </row>
    <row r="116" ht="14.25" customHeight="1" outlineLevel="1">
      <c r="A116" s="285">
        <v>113.0</v>
      </c>
      <c r="B116" s="595" t="s">
        <v>2152</v>
      </c>
      <c r="C116" s="595"/>
      <c r="D116" s="595"/>
      <c r="E116" s="595"/>
      <c r="F116" s="602">
        <v>4000.0</v>
      </c>
      <c r="G116" s="311">
        <v>3349.0</v>
      </c>
      <c r="H116" s="311">
        <v>3349.0</v>
      </c>
      <c r="I116" s="603">
        <v>848.29</v>
      </c>
      <c r="J116" s="897">
        <f t="shared" si="46"/>
        <v>0.2532965064</v>
      </c>
      <c r="K116" s="300">
        <f t="shared" si="47"/>
        <v>2580.71</v>
      </c>
      <c r="L116" s="413">
        <f t="shared" si="48"/>
        <v>3.042249702</v>
      </c>
      <c r="M116" s="331"/>
      <c r="N116" s="318" t="s">
        <v>112</v>
      </c>
      <c r="O116" s="319">
        <v>3429.0</v>
      </c>
      <c r="P116" s="844"/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  <c r="AA116" s="840"/>
      <c r="AB116" s="840"/>
      <c r="AC116" s="840"/>
    </row>
    <row r="117" ht="14.25" customHeight="1">
      <c r="A117" s="803">
        <v>114.0</v>
      </c>
      <c r="B117" s="594" t="s">
        <v>2153</v>
      </c>
      <c r="C117" s="290"/>
      <c r="D117" s="290"/>
      <c r="E117" s="290"/>
      <c r="F117" s="293"/>
      <c r="G117" s="301"/>
      <c r="H117" s="301"/>
      <c r="I117" s="843"/>
      <c r="J117" s="297"/>
      <c r="K117" s="298"/>
      <c r="L117" s="297"/>
      <c r="M117" s="299"/>
      <c r="N117" s="290"/>
      <c r="O117" s="298"/>
      <c r="P117" s="840"/>
      <c r="Q117" s="840"/>
      <c r="R117" s="840"/>
      <c r="S117" s="840"/>
      <c r="T117" s="840"/>
      <c r="U117" s="840"/>
      <c r="V117" s="840"/>
      <c r="W117" s="840"/>
      <c r="X117" s="840"/>
      <c r="Y117" s="840"/>
      <c r="Z117" s="840"/>
      <c r="AA117" s="840"/>
      <c r="AB117" s="840"/>
      <c r="AC117" s="840"/>
    </row>
    <row r="118" ht="14.25" customHeight="1" outlineLevel="1">
      <c r="A118" s="285">
        <v>115.0</v>
      </c>
      <c r="B118" s="595" t="s">
        <v>1626</v>
      </c>
      <c r="C118" s="595" t="s">
        <v>1627</v>
      </c>
      <c r="D118" s="595"/>
      <c r="E118" s="595"/>
      <c r="F118" s="596">
        <v>125.0</v>
      </c>
      <c r="G118" s="311">
        <v>249.0</v>
      </c>
      <c r="H118" s="311">
        <v>249.0</v>
      </c>
      <c r="I118" s="608">
        <v>40.64</v>
      </c>
      <c r="J118" s="569">
        <f t="shared" ref="J118:J121" si="49">I118/H118</f>
        <v>0.1632128514</v>
      </c>
      <c r="K118" s="315">
        <f t="shared" ref="K118:K121" si="50">O118-I118</f>
        <v>208.36</v>
      </c>
      <c r="L118" s="316">
        <f t="shared" ref="L118:L121" si="51">O118/I118-1</f>
        <v>5.126968504</v>
      </c>
      <c r="M118" s="317"/>
      <c r="N118" s="318" t="s">
        <v>112</v>
      </c>
      <c r="O118" s="319">
        <v>249.0</v>
      </c>
      <c r="P118" s="844"/>
      <c r="Q118" s="840"/>
      <c r="R118" s="840"/>
      <c r="S118" s="840"/>
      <c r="T118" s="840"/>
      <c r="U118" s="840"/>
      <c r="V118" s="840"/>
      <c r="W118" s="840"/>
      <c r="X118" s="840"/>
      <c r="Y118" s="840"/>
      <c r="Z118" s="840"/>
      <c r="AA118" s="840"/>
      <c r="AB118" s="840"/>
      <c r="AC118" s="840"/>
    </row>
    <row r="119" ht="14.25" customHeight="1" outlineLevel="1">
      <c r="A119" s="285">
        <v>116.0</v>
      </c>
      <c r="B119" s="595" t="s">
        <v>1385</v>
      </c>
      <c r="C119" s="595" t="s">
        <v>1630</v>
      </c>
      <c r="D119" s="595"/>
      <c r="E119" s="595"/>
      <c r="F119" s="596">
        <v>125.0</v>
      </c>
      <c r="G119" s="311">
        <v>449.0</v>
      </c>
      <c r="H119" s="311">
        <v>449.0</v>
      </c>
      <c r="I119" s="345">
        <v>95.22</v>
      </c>
      <c r="J119" s="569">
        <f t="shared" si="49"/>
        <v>0.2120712695</v>
      </c>
      <c r="K119" s="315">
        <f t="shared" si="50"/>
        <v>303.78</v>
      </c>
      <c r="L119" s="316">
        <f t="shared" si="51"/>
        <v>3.190296156</v>
      </c>
      <c r="M119" s="317"/>
      <c r="N119" s="318" t="s">
        <v>112</v>
      </c>
      <c r="O119" s="319">
        <v>399.0</v>
      </c>
      <c r="P119" s="844"/>
      <c r="Q119" s="840"/>
      <c r="R119" s="840"/>
      <c r="S119" s="840"/>
      <c r="T119" s="840"/>
      <c r="U119" s="840"/>
      <c r="V119" s="840"/>
      <c r="W119" s="840"/>
      <c r="X119" s="840"/>
      <c r="Y119" s="840"/>
      <c r="Z119" s="840"/>
      <c r="AA119" s="840"/>
      <c r="AB119" s="840"/>
      <c r="AC119" s="840"/>
    </row>
    <row r="120" ht="14.25" customHeight="1" outlineLevel="1">
      <c r="A120" s="285">
        <v>117.0</v>
      </c>
      <c r="B120" s="595" t="s">
        <v>1375</v>
      </c>
      <c r="C120" s="595" t="s">
        <v>1632</v>
      </c>
      <c r="D120" s="595"/>
      <c r="E120" s="595"/>
      <c r="F120" s="596">
        <v>125.0</v>
      </c>
      <c r="G120" s="311">
        <v>379.0</v>
      </c>
      <c r="H120" s="311">
        <v>379.0</v>
      </c>
      <c r="I120" s="345">
        <v>77.22</v>
      </c>
      <c r="J120" s="569">
        <f t="shared" si="49"/>
        <v>0.2037467018</v>
      </c>
      <c r="K120" s="315">
        <f t="shared" si="50"/>
        <v>-77.22</v>
      </c>
      <c r="L120" s="316">
        <f t="shared" si="51"/>
        <v>-1</v>
      </c>
      <c r="M120" s="317"/>
      <c r="N120" s="318" t="s">
        <v>112</v>
      </c>
      <c r="O120" s="580"/>
      <c r="P120" s="844"/>
      <c r="Q120" s="840"/>
      <c r="R120" s="840"/>
      <c r="S120" s="840"/>
      <c r="T120" s="840"/>
      <c r="U120" s="840"/>
      <c r="V120" s="840"/>
      <c r="W120" s="840"/>
      <c r="X120" s="840"/>
      <c r="Y120" s="840"/>
      <c r="Z120" s="840"/>
      <c r="AA120" s="840"/>
      <c r="AB120" s="840"/>
      <c r="AC120" s="840"/>
    </row>
    <row r="121" ht="14.25" customHeight="1" outlineLevel="1">
      <c r="A121" s="285">
        <v>118.0</v>
      </c>
      <c r="B121" s="595" t="s">
        <v>1388</v>
      </c>
      <c r="C121" s="595" t="s">
        <v>1378</v>
      </c>
      <c r="D121" s="595"/>
      <c r="E121" s="595"/>
      <c r="F121" s="596">
        <v>125.0</v>
      </c>
      <c r="G121" s="311">
        <v>449.0</v>
      </c>
      <c r="H121" s="311">
        <v>449.0</v>
      </c>
      <c r="I121" s="345">
        <v>91.19</v>
      </c>
      <c r="J121" s="569">
        <f t="shared" si="49"/>
        <v>0.2030957684</v>
      </c>
      <c r="K121" s="315">
        <f t="shared" si="50"/>
        <v>-91.19</v>
      </c>
      <c r="L121" s="316">
        <f t="shared" si="51"/>
        <v>-1</v>
      </c>
      <c r="M121" s="317"/>
      <c r="N121" s="318" t="s">
        <v>112</v>
      </c>
      <c r="O121" s="580"/>
      <c r="P121" s="844"/>
      <c r="Q121" s="840"/>
      <c r="R121" s="840"/>
      <c r="S121" s="840"/>
      <c r="T121" s="840"/>
      <c r="U121" s="840"/>
      <c r="V121" s="840"/>
      <c r="W121" s="840"/>
      <c r="X121" s="840"/>
      <c r="Y121" s="840"/>
      <c r="Z121" s="840"/>
      <c r="AA121" s="840"/>
      <c r="AB121" s="840"/>
      <c r="AC121" s="840"/>
    </row>
    <row r="122" ht="14.25" customHeight="1">
      <c r="A122" s="803">
        <v>119.0</v>
      </c>
      <c r="B122" s="594" t="s">
        <v>2154</v>
      </c>
      <c r="C122" s="290"/>
      <c r="D122" s="290"/>
      <c r="E122" s="290"/>
      <c r="F122" s="293"/>
      <c r="G122" s="301"/>
      <c r="H122" s="301"/>
      <c r="I122" s="843"/>
      <c r="J122" s="297"/>
      <c r="K122" s="298"/>
      <c r="L122" s="297"/>
      <c r="M122" s="299"/>
      <c r="N122" s="290"/>
      <c r="O122" s="298"/>
      <c r="P122" s="840"/>
      <c r="Q122" s="840"/>
      <c r="R122" s="840"/>
      <c r="S122" s="840"/>
      <c r="T122" s="840"/>
      <c r="U122" s="840"/>
      <c r="V122" s="840"/>
      <c r="W122" s="840"/>
      <c r="X122" s="840"/>
      <c r="Y122" s="840"/>
      <c r="Z122" s="840"/>
      <c r="AA122" s="840"/>
      <c r="AB122" s="840"/>
      <c r="AC122" s="840"/>
    </row>
    <row r="123" ht="14.25" customHeight="1" outlineLevel="1">
      <c r="A123" s="845">
        <v>120.0</v>
      </c>
      <c r="B123" s="606" t="s">
        <v>1635</v>
      </c>
      <c r="C123" s="606" t="s">
        <v>1627</v>
      </c>
      <c r="D123" s="606"/>
      <c r="E123" s="606"/>
      <c r="F123" s="607">
        <v>125.0</v>
      </c>
      <c r="G123" s="311">
        <v>249.0</v>
      </c>
      <c r="H123" s="311">
        <v>249.0</v>
      </c>
      <c r="I123" s="345">
        <v>43.99</v>
      </c>
      <c r="J123" s="569">
        <f t="shared" ref="J123:J126" si="52">I123/H123</f>
        <v>0.1766666667</v>
      </c>
      <c r="K123" s="315">
        <f t="shared" ref="K123:K126" si="53">O123-I123</f>
        <v>205.01</v>
      </c>
      <c r="L123" s="316">
        <f t="shared" ref="L123:L126" si="54">O123/I123-1</f>
        <v>4.660377358</v>
      </c>
      <c r="M123" s="317"/>
      <c r="N123" s="318" t="s">
        <v>112</v>
      </c>
      <c r="O123" s="319">
        <v>249.0</v>
      </c>
      <c r="P123" s="840"/>
      <c r="Q123" s="840"/>
      <c r="R123" s="840"/>
      <c r="S123" s="840"/>
      <c r="T123" s="840"/>
      <c r="U123" s="840"/>
      <c r="V123" s="840"/>
      <c r="W123" s="840"/>
      <c r="X123" s="840"/>
      <c r="Y123" s="840"/>
      <c r="Z123" s="840"/>
      <c r="AA123" s="840"/>
      <c r="AB123" s="840"/>
      <c r="AC123" s="840"/>
    </row>
    <row r="124" ht="14.25" customHeight="1" outlineLevel="1">
      <c r="A124" s="285">
        <v>121.0</v>
      </c>
      <c r="B124" s="595" t="s">
        <v>1374</v>
      </c>
      <c r="C124" s="595" t="s">
        <v>1630</v>
      </c>
      <c r="D124" s="595"/>
      <c r="E124" s="595"/>
      <c r="F124" s="596">
        <v>125.0</v>
      </c>
      <c r="G124" s="311">
        <v>449.0</v>
      </c>
      <c r="H124" s="311">
        <v>449.0</v>
      </c>
      <c r="I124" s="345">
        <v>102.49</v>
      </c>
      <c r="J124" s="569">
        <f t="shared" si="52"/>
        <v>0.2282628062</v>
      </c>
      <c r="K124" s="315">
        <f t="shared" si="53"/>
        <v>346.51</v>
      </c>
      <c r="L124" s="316">
        <f t="shared" si="54"/>
        <v>3.380915211</v>
      </c>
      <c r="M124" s="317"/>
      <c r="N124" s="318" t="s">
        <v>112</v>
      </c>
      <c r="O124" s="319">
        <v>449.0</v>
      </c>
      <c r="P124" s="844"/>
      <c r="Q124" s="840"/>
      <c r="R124" s="840"/>
      <c r="S124" s="840"/>
      <c r="T124" s="840"/>
      <c r="U124" s="840"/>
      <c r="V124" s="840"/>
      <c r="W124" s="840"/>
      <c r="X124" s="840"/>
      <c r="Y124" s="840"/>
      <c r="Z124" s="840"/>
      <c r="AA124" s="840"/>
      <c r="AB124" s="840"/>
      <c r="AC124" s="840"/>
    </row>
    <row r="125" ht="14.25" customHeight="1" outlineLevel="1">
      <c r="A125" s="285">
        <v>122.0</v>
      </c>
      <c r="B125" s="595" t="s">
        <v>1375</v>
      </c>
      <c r="C125" s="595" t="s">
        <v>1636</v>
      </c>
      <c r="D125" s="595"/>
      <c r="E125" s="595"/>
      <c r="F125" s="596">
        <v>125.0</v>
      </c>
      <c r="G125" s="311">
        <v>379.0</v>
      </c>
      <c r="H125" s="311">
        <v>379.0</v>
      </c>
      <c r="I125" s="345">
        <v>78.07</v>
      </c>
      <c r="J125" s="569">
        <f t="shared" si="52"/>
        <v>0.2059894459</v>
      </c>
      <c r="K125" s="315">
        <f t="shared" si="53"/>
        <v>-78.07</v>
      </c>
      <c r="L125" s="316">
        <f t="shared" si="54"/>
        <v>-1</v>
      </c>
      <c r="M125" s="317"/>
      <c r="N125" s="318" t="s">
        <v>112</v>
      </c>
      <c r="O125" s="580"/>
      <c r="P125" s="844"/>
      <c r="Q125" s="840"/>
      <c r="R125" s="840"/>
      <c r="S125" s="840"/>
      <c r="T125" s="840"/>
      <c r="U125" s="840"/>
      <c r="V125" s="840"/>
      <c r="W125" s="840"/>
      <c r="X125" s="840"/>
      <c r="Y125" s="840"/>
      <c r="Z125" s="840"/>
      <c r="AA125" s="840"/>
      <c r="AB125" s="840"/>
      <c r="AC125" s="840"/>
    </row>
    <row r="126" ht="14.25" customHeight="1" outlineLevel="1">
      <c r="A126" s="285">
        <v>123.0</v>
      </c>
      <c r="B126" s="595" t="s">
        <v>1379</v>
      </c>
      <c r="C126" s="595" t="s">
        <v>1378</v>
      </c>
      <c r="D126" s="595"/>
      <c r="E126" s="595"/>
      <c r="F126" s="596">
        <v>125.0</v>
      </c>
      <c r="G126" s="311">
        <v>449.0</v>
      </c>
      <c r="H126" s="311">
        <v>449.0</v>
      </c>
      <c r="I126" s="345">
        <v>92.69</v>
      </c>
      <c r="J126" s="569">
        <f t="shared" si="52"/>
        <v>0.2064365256</v>
      </c>
      <c r="K126" s="315">
        <f t="shared" si="53"/>
        <v>-92.69</v>
      </c>
      <c r="L126" s="316">
        <f t="shared" si="54"/>
        <v>-1</v>
      </c>
      <c r="M126" s="317"/>
      <c r="N126" s="318" t="s">
        <v>112</v>
      </c>
      <c r="O126" s="580"/>
      <c r="P126" s="844"/>
      <c r="Q126" s="840"/>
      <c r="R126" s="840"/>
      <c r="S126" s="840"/>
      <c r="T126" s="840"/>
      <c r="U126" s="840"/>
      <c r="V126" s="840"/>
      <c r="W126" s="840"/>
      <c r="X126" s="840"/>
      <c r="Y126" s="840"/>
      <c r="Z126" s="840"/>
      <c r="AA126" s="840"/>
      <c r="AB126" s="840"/>
      <c r="AC126" s="840"/>
    </row>
    <row r="127" ht="14.25" customHeight="1">
      <c r="A127" s="803">
        <v>124.0</v>
      </c>
      <c r="B127" s="594" t="s">
        <v>2155</v>
      </c>
      <c r="C127" s="290"/>
      <c r="D127" s="290"/>
      <c r="E127" s="290"/>
      <c r="F127" s="293"/>
      <c r="G127" s="301"/>
      <c r="H127" s="301"/>
      <c r="I127" s="843"/>
      <c r="J127" s="297"/>
      <c r="K127" s="298"/>
      <c r="L127" s="297"/>
      <c r="M127" s="299"/>
      <c r="N127" s="290"/>
      <c r="O127" s="298"/>
      <c r="P127" s="844"/>
      <c r="Q127" s="840"/>
      <c r="R127" s="840"/>
      <c r="S127" s="840"/>
      <c r="T127" s="840"/>
      <c r="U127" s="840"/>
      <c r="V127" s="840"/>
      <c r="W127" s="840"/>
      <c r="X127" s="840"/>
      <c r="Y127" s="840"/>
      <c r="Z127" s="840"/>
      <c r="AA127" s="840"/>
      <c r="AB127" s="840"/>
      <c r="AC127" s="840"/>
    </row>
    <row r="128" ht="14.25" customHeight="1" outlineLevel="1">
      <c r="A128" s="285">
        <v>125.0</v>
      </c>
      <c r="B128" s="595" t="s">
        <v>1638</v>
      </c>
      <c r="C128" s="606" t="s">
        <v>737</v>
      </c>
      <c r="D128" s="606"/>
      <c r="E128" s="606"/>
      <c r="F128" s="607">
        <v>125.0</v>
      </c>
      <c r="G128" s="311">
        <v>449.0</v>
      </c>
      <c r="H128" s="311">
        <v>449.0</v>
      </c>
      <c r="I128" s="608">
        <v>138.97</v>
      </c>
      <c r="J128" s="866">
        <f>I128/H128</f>
        <v>0.3095100223</v>
      </c>
      <c r="K128" s="315">
        <f>O128-I128</f>
        <v>260.03</v>
      </c>
      <c r="L128" s="316">
        <f>O128/I128-1</f>
        <v>1.871123264</v>
      </c>
      <c r="M128" s="317"/>
      <c r="N128" s="318" t="s">
        <v>112</v>
      </c>
      <c r="O128" s="319">
        <v>399.0</v>
      </c>
      <c r="P128" s="844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  <c r="AA128" s="840"/>
      <c r="AB128" s="840"/>
      <c r="AC128" s="840"/>
    </row>
    <row r="129" ht="14.25" customHeight="1">
      <c r="A129" s="803">
        <v>126.0</v>
      </c>
      <c r="B129" s="594" t="s">
        <v>1639</v>
      </c>
      <c r="C129" s="815" t="s">
        <v>729</v>
      </c>
      <c r="D129" s="290"/>
      <c r="E129" s="290"/>
      <c r="F129" s="293"/>
      <c r="G129" s="301"/>
      <c r="H129" s="301"/>
      <c r="I129" s="843"/>
      <c r="J129" s="297"/>
      <c r="K129" s="298"/>
      <c r="L129" s="297"/>
      <c r="M129" s="299"/>
      <c r="N129" s="290"/>
      <c r="O129" s="298"/>
      <c r="P129" s="844"/>
      <c r="Q129" s="840"/>
      <c r="R129" s="840"/>
      <c r="S129" s="840"/>
      <c r="T129" s="840"/>
      <c r="U129" s="840"/>
      <c r="V129" s="840"/>
      <c r="W129" s="840"/>
      <c r="X129" s="840"/>
      <c r="Y129" s="840"/>
      <c r="Z129" s="840"/>
      <c r="AA129" s="840"/>
      <c r="AB129" s="840"/>
      <c r="AC129" s="840"/>
    </row>
    <row r="130" ht="14.25" customHeight="1" outlineLevel="1">
      <c r="A130" s="285">
        <v>127.0</v>
      </c>
      <c r="B130" s="595" t="s">
        <v>1396</v>
      </c>
      <c r="C130" s="816" t="s">
        <v>733</v>
      </c>
      <c r="D130" s="595"/>
      <c r="E130" s="595"/>
      <c r="F130" s="596">
        <v>750.0</v>
      </c>
      <c r="G130" s="311">
        <v>1699.0</v>
      </c>
      <c r="H130" s="311">
        <v>1699.0</v>
      </c>
      <c r="I130" s="345">
        <v>332.78</v>
      </c>
      <c r="J130" s="332">
        <f t="shared" ref="J130:J133" si="55">I130/H130</f>
        <v>0.1958681577</v>
      </c>
      <c r="K130" s="319">
        <f t="shared" ref="K130:K133" si="56">O130-I130</f>
        <v>-332.78</v>
      </c>
      <c r="L130" s="332">
        <f t="shared" ref="L130:L133" si="57">O130/I130-1</f>
        <v>-1</v>
      </c>
      <c r="M130" s="331"/>
      <c r="N130" s="285"/>
      <c r="O130" s="580"/>
      <c r="P130" s="874"/>
      <c r="Q130" s="605"/>
      <c r="R130" s="605"/>
      <c r="S130" s="605"/>
      <c r="T130" s="605"/>
      <c r="U130" s="605"/>
      <c r="V130" s="605"/>
      <c r="W130" s="605"/>
      <c r="X130" s="605"/>
      <c r="Y130" s="605"/>
      <c r="Z130" s="605"/>
      <c r="AA130" s="605"/>
      <c r="AB130" s="605"/>
      <c r="AC130" s="605"/>
    </row>
    <row r="131" ht="14.25" customHeight="1" outlineLevel="1">
      <c r="A131" s="285">
        <v>128.0</v>
      </c>
      <c r="B131" s="595" t="s">
        <v>1640</v>
      </c>
      <c r="C131" s="816" t="s">
        <v>731</v>
      </c>
      <c r="D131" s="595"/>
      <c r="E131" s="595"/>
      <c r="F131" s="596">
        <v>750.0</v>
      </c>
      <c r="G131" s="311">
        <v>1699.0</v>
      </c>
      <c r="H131" s="311">
        <v>1699.0</v>
      </c>
      <c r="I131" s="345">
        <v>273.91</v>
      </c>
      <c r="J131" s="332">
        <f t="shared" si="55"/>
        <v>0.1612183637</v>
      </c>
      <c r="K131" s="319">
        <f t="shared" si="56"/>
        <v>-273.91</v>
      </c>
      <c r="L131" s="332">
        <f t="shared" si="57"/>
        <v>-1</v>
      </c>
      <c r="M131" s="331"/>
      <c r="N131" s="285"/>
      <c r="O131" s="580"/>
      <c r="P131" s="874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05"/>
      <c r="AB131" s="605"/>
      <c r="AC131" s="605"/>
    </row>
    <row r="132" ht="14.25" customHeight="1" outlineLevel="1">
      <c r="A132" s="285">
        <v>129.0</v>
      </c>
      <c r="B132" s="595" t="s">
        <v>734</v>
      </c>
      <c r="C132" s="816" t="s">
        <v>735</v>
      </c>
      <c r="D132" s="595"/>
      <c r="E132" s="595"/>
      <c r="F132" s="596">
        <v>750.0</v>
      </c>
      <c r="G132" s="311">
        <v>4399.0</v>
      </c>
      <c r="H132" s="311">
        <v>4399.0</v>
      </c>
      <c r="I132" s="345">
        <v>1222.9</v>
      </c>
      <c r="J132" s="332">
        <f t="shared" si="55"/>
        <v>0.2779949989</v>
      </c>
      <c r="K132" s="319">
        <f t="shared" si="56"/>
        <v>3076.1</v>
      </c>
      <c r="L132" s="332">
        <f t="shared" si="57"/>
        <v>2.515414179</v>
      </c>
      <c r="M132" s="331"/>
      <c r="N132" s="285" t="s">
        <v>112</v>
      </c>
      <c r="O132" s="319">
        <v>4299.0</v>
      </c>
      <c r="P132" s="874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05"/>
      <c r="AB132" s="605"/>
      <c r="AC132" s="605"/>
    </row>
    <row r="133" ht="14.25" customHeight="1" outlineLevel="1">
      <c r="A133" s="285">
        <v>130.0</v>
      </c>
      <c r="B133" s="595" t="s">
        <v>736</v>
      </c>
      <c r="C133" s="816" t="s">
        <v>737</v>
      </c>
      <c r="D133" s="595"/>
      <c r="E133" s="595"/>
      <c r="F133" s="596">
        <v>750.0</v>
      </c>
      <c r="G133" s="311">
        <v>4399.0</v>
      </c>
      <c r="H133" s="311">
        <v>4399.0</v>
      </c>
      <c r="I133" s="345">
        <v>1296.51</v>
      </c>
      <c r="J133" s="332">
        <f t="shared" si="55"/>
        <v>0.2947283474</v>
      </c>
      <c r="K133" s="319">
        <f t="shared" si="56"/>
        <v>3002.49</v>
      </c>
      <c r="L133" s="332">
        <f t="shared" si="57"/>
        <v>2.315824791</v>
      </c>
      <c r="M133" s="331"/>
      <c r="N133" s="285" t="s">
        <v>112</v>
      </c>
      <c r="O133" s="319">
        <v>4299.0</v>
      </c>
      <c r="P133" s="874"/>
      <c r="Q133" s="605"/>
      <c r="R133" s="605"/>
      <c r="S133" s="605"/>
      <c r="T133" s="605"/>
      <c r="U133" s="605"/>
      <c r="V133" s="605"/>
      <c r="W133" s="605"/>
      <c r="X133" s="605"/>
      <c r="Y133" s="605"/>
      <c r="Z133" s="605"/>
      <c r="AA133" s="605"/>
      <c r="AB133" s="605"/>
      <c r="AC133" s="605"/>
    </row>
    <row r="134" ht="14.25" customHeight="1">
      <c r="A134" s="803">
        <v>131.0</v>
      </c>
      <c r="B134" s="594" t="s">
        <v>2156</v>
      </c>
      <c r="C134" s="290"/>
      <c r="D134" s="290"/>
      <c r="E134" s="290"/>
      <c r="F134" s="293"/>
      <c r="G134" s="301"/>
      <c r="H134" s="301"/>
      <c r="I134" s="843"/>
      <c r="J134" s="297">
        <f>AVERAGE(J135:J138)</f>
        <v>0.1971266193</v>
      </c>
      <c r="K134" s="298"/>
      <c r="L134" s="297"/>
      <c r="M134" s="299"/>
      <c r="N134" s="290"/>
      <c r="O134" s="298"/>
      <c r="P134" s="844"/>
      <c r="Q134" s="840"/>
      <c r="R134" s="840"/>
      <c r="S134" s="840"/>
      <c r="T134" s="840"/>
      <c r="U134" s="840"/>
      <c r="V134" s="840"/>
      <c r="W134" s="840"/>
      <c r="X134" s="840"/>
      <c r="Y134" s="840"/>
      <c r="Z134" s="840"/>
      <c r="AA134" s="840"/>
      <c r="AB134" s="840"/>
      <c r="AC134" s="840"/>
    </row>
    <row r="135" ht="14.25" customHeight="1" outlineLevel="1">
      <c r="A135" s="285">
        <v>132.0</v>
      </c>
      <c r="B135" s="595" t="s">
        <v>2157</v>
      </c>
      <c r="C135" s="595" t="s">
        <v>731</v>
      </c>
      <c r="D135" s="595"/>
      <c r="E135" s="595"/>
      <c r="F135" s="596">
        <v>750.0</v>
      </c>
      <c r="G135" s="311">
        <v>1899.0</v>
      </c>
      <c r="H135" s="311">
        <v>1899.0</v>
      </c>
      <c r="I135" s="345">
        <v>313.43</v>
      </c>
      <c r="J135" s="332">
        <f t="shared" ref="J135:J138" si="58">I135/H135</f>
        <v>0.1650500263</v>
      </c>
      <c r="K135" s="300">
        <f t="shared" ref="K135:K138" si="59">O135-I135</f>
        <v>1585.57</v>
      </c>
      <c r="L135" s="413">
        <f t="shared" ref="L135:L138" si="60">O135/I135-1</f>
        <v>5.058769103</v>
      </c>
      <c r="M135" s="331"/>
      <c r="N135" s="285" t="s">
        <v>112</v>
      </c>
      <c r="O135" s="319">
        <v>1899.0</v>
      </c>
      <c r="P135" s="874"/>
      <c r="Q135" s="605"/>
      <c r="R135" s="605"/>
      <c r="S135" s="605"/>
      <c r="T135" s="605"/>
      <c r="U135" s="605"/>
      <c r="V135" s="605"/>
      <c r="W135" s="605"/>
      <c r="X135" s="605"/>
      <c r="Y135" s="605"/>
      <c r="Z135" s="605"/>
      <c r="AA135" s="605"/>
      <c r="AB135" s="605"/>
      <c r="AC135" s="605"/>
    </row>
    <row r="136" ht="14.25" customHeight="1" outlineLevel="1">
      <c r="A136" s="285">
        <v>133.0</v>
      </c>
      <c r="B136" s="595" t="s">
        <v>1373</v>
      </c>
      <c r="C136" s="595" t="s">
        <v>737</v>
      </c>
      <c r="D136" s="595"/>
      <c r="E136" s="595"/>
      <c r="F136" s="602">
        <v>750.0</v>
      </c>
      <c r="G136" s="301">
        <v>2699.0</v>
      </c>
      <c r="H136" s="301">
        <v>2699.0</v>
      </c>
      <c r="I136" s="603">
        <v>569.4</v>
      </c>
      <c r="J136" s="332">
        <f t="shared" si="58"/>
        <v>0.2109670248</v>
      </c>
      <c r="K136" s="300">
        <f t="shared" si="59"/>
        <v>2129.6</v>
      </c>
      <c r="L136" s="413">
        <f t="shared" si="60"/>
        <v>3.740077274</v>
      </c>
      <c r="M136" s="331"/>
      <c r="N136" s="285" t="s">
        <v>112</v>
      </c>
      <c r="O136" s="300">
        <v>2699.0</v>
      </c>
      <c r="P136" s="874"/>
      <c r="Q136" s="605"/>
      <c r="R136" s="605"/>
      <c r="S136" s="605"/>
      <c r="T136" s="605"/>
      <c r="U136" s="605"/>
      <c r="V136" s="605"/>
      <c r="W136" s="605"/>
      <c r="X136" s="605"/>
      <c r="Y136" s="605"/>
      <c r="Z136" s="605"/>
      <c r="AA136" s="605"/>
      <c r="AB136" s="605"/>
      <c r="AC136" s="605"/>
    </row>
    <row r="137" ht="14.25" customHeight="1" outlineLevel="1">
      <c r="A137" s="285">
        <v>134.0</v>
      </c>
      <c r="B137" s="595" t="s">
        <v>1375</v>
      </c>
      <c r="C137" s="595" t="s">
        <v>1376</v>
      </c>
      <c r="D137" s="595"/>
      <c r="E137" s="595"/>
      <c r="F137" s="602">
        <v>750.0</v>
      </c>
      <c r="G137" s="301">
        <v>2299.0</v>
      </c>
      <c r="H137" s="301">
        <v>2299.0</v>
      </c>
      <c r="I137" s="603">
        <v>463.3</v>
      </c>
      <c r="J137" s="332">
        <f t="shared" si="58"/>
        <v>0.201522401</v>
      </c>
      <c r="K137" s="300">
        <f t="shared" si="59"/>
        <v>1735.7</v>
      </c>
      <c r="L137" s="413">
        <f t="shared" si="60"/>
        <v>3.746384632</v>
      </c>
      <c r="M137" s="331"/>
      <c r="N137" s="285" t="s">
        <v>112</v>
      </c>
      <c r="O137" s="821">
        <v>2199.0</v>
      </c>
      <c r="P137" s="874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05"/>
      <c r="AB137" s="605"/>
      <c r="AC137" s="605"/>
    </row>
    <row r="138" ht="14.25" customHeight="1" outlineLevel="1">
      <c r="A138" s="285">
        <v>135.0</v>
      </c>
      <c r="B138" s="595" t="s">
        <v>1377</v>
      </c>
      <c r="C138" s="595" t="s">
        <v>1378</v>
      </c>
      <c r="D138" s="595"/>
      <c r="E138" s="595"/>
      <c r="F138" s="602">
        <v>750.0</v>
      </c>
      <c r="G138" s="301">
        <v>2699.0</v>
      </c>
      <c r="H138" s="301">
        <v>2699.0</v>
      </c>
      <c r="I138" s="603">
        <v>569.4</v>
      </c>
      <c r="J138" s="332">
        <f t="shared" si="58"/>
        <v>0.2109670248</v>
      </c>
      <c r="K138" s="300">
        <f t="shared" si="59"/>
        <v>2029.6</v>
      </c>
      <c r="L138" s="413">
        <f t="shared" si="60"/>
        <v>3.564453811</v>
      </c>
      <c r="M138" s="331"/>
      <c r="N138" s="285" t="s">
        <v>112</v>
      </c>
      <c r="O138" s="821">
        <v>2599.0</v>
      </c>
      <c r="P138" s="874"/>
      <c r="Q138" s="605"/>
      <c r="R138" s="605"/>
      <c r="S138" s="605"/>
      <c r="T138" s="605"/>
      <c r="U138" s="605"/>
      <c r="V138" s="605"/>
      <c r="W138" s="605"/>
      <c r="X138" s="605"/>
      <c r="Y138" s="605"/>
      <c r="Z138" s="605"/>
      <c r="AA138" s="605"/>
      <c r="AB138" s="605"/>
      <c r="AC138" s="605"/>
    </row>
    <row r="139" ht="14.25" customHeight="1">
      <c r="A139" s="803">
        <v>136.0</v>
      </c>
      <c r="B139" s="594" t="s">
        <v>2158</v>
      </c>
      <c r="C139" s="290"/>
      <c r="D139" s="290"/>
      <c r="E139" s="290"/>
      <c r="F139" s="293"/>
      <c r="G139" s="301"/>
      <c r="H139" s="301"/>
      <c r="I139" s="843"/>
      <c r="J139" s="297">
        <f>AVERAGE(J140:J143)</f>
        <v>0.1966554361</v>
      </c>
      <c r="K139" s="298"/>
      <c r="L139" s="297"/>
      <c r="M139" s="299"/>
      <c r="N139" s="318" t="s">
        <v>112</v>
      </c>
      <c r="O139" s="298"/>
      <c r="P139" s="844"/>
      <c r="Q139" s="840"/>
      <c r="R139" s="840"/>
      <c r="S139" s="840"/>
      <c r="T139" s="840"/>
      <c r="U139" s="840"/>
      <c r="V139" s="840"/>
      <c r="W139" s="840"/>
      <c r="X139" s="840"/>
      <c r="Y139" s="840"/>
      <c r="Z139" s="840"/>
      <c r="AA139" s="840"/>
      <c r="AB139" s="840"/>
      <c r="AC139" s="840"/>
    </row>
    <row r="140" ht="14.25" customHeight="1" outlineLevel="1">
      <c r="A140" s="285">
        <v>137.0</v>
      </c>
      <c r="B140" s="595" t="s">
        <v>2159</v>
      </c>
      <c r="C140" s="595" t="s">
        <v>731</v>
      </c>
      <c r="D140" s="595"/>
      <c r="E140" s="595"/>
      <c r="F140" s="596">
        <v>750.0</v>
      </c>
      <c r="G140" s="311">
        <v>1899.0</v>
      </c>
      <c r="H140" s="311">
        <v>1899.0</v>
      </c>
      <c r="I140" s="345">
        <v>313.2</v>
      </c>
      <c r="J140" s="332">
        <f t="shared" ref="J140:J143" si="61">I140/H140</f>
        <v>0.16492891</v>
      </c>
      <c r="K140" s="319">
        <f t="shared" ref="K140:K143" si="62">O140-I140</f>
        <v>1585.8</v>
      </c>
      <c r="L140" s="332">
        <f t="shared" ref="L140:L143" si="63">O140/I140-1</f>
        <v>5.063218391</v>
      </c>
      <c r="M140" s="331"/>
      <c r="N140" s="285" t="s">
        <v>112</v>
      </c>
      <c r="O140" s="319">
        <v>1899.0</v>
      </c>
      <c r="P140" s="605"/>
      <c r="Q140" s="605"/>
      <c r="R140" s="605"/>
      <c r="S140" s="605"/>
      <c r="T140" s="605"/>
      <c r="U140" s="605"/>
      <c r="V140" s="605"/>
      <c r="W140" s="605"/>
      <c r="X140" s="605"/>
      <c r="Y140" s="605"/>
      <c r="Z140" s="605"/>
      <c r="AA140" s="605"/>
      <c r="AB140" s="605"/>
      <c r="AC140" s="605"/>
    </row>
    <row r="141" ht="14.25" customHeight="1" outlineLevel="1">
      <c r="A141" s="285">
        <v>138.0</v>
      </c>
      <c r="B141" s="595" t="s">
        <v>1384</v>
      </c>
      <c r="C141" s="595" t="s">
        <v>737</v>
      </c>
      <c r="D141" s="595"/>
      <c r="E141" s="595"/>
      <c r="F141" s="596">
        <v>750.0</v>
      </c>
      <c r="G141" s="311">
        <v>2699.0</v>
      </c>
      <c r="H141" s="311">
        <v>2699.0</v>
      </c>
      <c r="I141" s="345">
        <v>631.09</v>
      </c>
      <c r="J141" s="332">
        <f t="shared" si="61"/>
        <v>0.2338236384</v>
      </c>
      <c r="K141" s="319">
        <f t="shared" si="62"/>
        <v>1767.91</v>
      </c>
      <c r="L141" s="332">
        <f t="shared" si="63"/>
        <v>2.801359553</v>
      </c>
      <c r="M141" s="331"/>
      <c r="N141" s="285" t="s">
        <v>112</v>
      </c>
      <c r="O141" s="319">
        <v>2399.0</v>
      </c>
      <c r="P141" s="605"/>
      <c r="Q141" s="605"/>
      <c r="R141" s="605"/>
      <c r="S141" s="605"/>
      <c r="T141" s="605"/>
      <c r="U141" s="605"/>
      <c r="V141" s="605"/>
      <c r="W141" s="605"/>
      <c r="X141" s="605"/>
      <c r="Y141" s="605"/>
      <c r="Z141" s="605"/>
      <c r="AA141" s="605"/>
      <c r="AB141" s="605"/>
      <c r="AC141" s="605"/>
    </row>
    <row r="142" ht="14.25" customHeight="1" outlineLevel="1">
      <c r="A142" s="285">
        <v>139.0</v>
      </c>
      <c r="B142" s="595" t="s">
        <v>1375</v>
      </c>
      <c r="C142" s="595" t="s">
        <v>1386</v>
      </c>
      <c r="D142" s="595"/>
      <c r="E142" s="595"/>
      <c r="F142" s="596">
        <v>750.0</v>
      </c>
      <c r="G142" s="311">
        <v>2299.0</v>
      </c>
      <c r="H142" s="311">
        <v>2299.0</v>
      </c>
      <c r="I142" s="345">
        <v>463.3</v>
      </c>
      <c r="J142" s="332">
        <f t="shared" si="61"/>
        <v>0.201522401</v>
      </c>
      <c r="K142" s="319">
        <f t="shared" si="62"/>
        <v>-463.3</v>
      </c>
      <c r="L142" s="332">
        <f t="shared" si="63"/>
        <v>-1</v>
      </c>
      <c r="M142" s="331"/>
      <c r="N142" s="285" t="s">
        <v>112</v>
      </c>
      <c r="O142" s="580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05"/>
      <c r="AB142" s="605"/>
      <c r="AC142" s="605"/>
    </row>
    <row r="143" ht="14.25" customHeight="1" outlineLevel="1">
      <c r="A143" s="285">
        <v>140.0</v>
      </c>
      <c r="B143" s="595" t="s">
        <v>1387</v>
      </c>
      <c r="C143" s="595" t="s">
        <v>1378</v>
      </c>
      <c r="D143" s="595"/>
      <c r="E143" s="595"/>
      <c r="F143" s="596">
        <v>750.0</v>
      </c>
      <c r="G143" s="311">
        <v>2699.0</v>
      </c>
      <c r="H143" s="311">
        <v>2699.0</v>
      </c>
      <c r="I143" s="345">
        <v>502.95</v>
      </c>
      <c r="J143" s="332">
        <f t="shared" si="61"/>
        <v>0.1863467951</v>
      </c>
      <c r="K143" s="319">
        <f t="shared" si="62"/>
        <v>-502.95</v>
      </c>
      <c r="L143" s="332">
        <f t="shared" si="63"/>
        <v>-1</v>
      </c>
      <c r="M143" s="331"/>
      <c r="N143" s="285" t="s">
        <v>112</v>
      </c>
      <c r="O143" s="580"/>
      <c r="P143" s="605"/>
      <c r="Q143" s="605"/>
      <c r="R143" s="605"/>
      <c r="S143" s="605"/>
      <c r="T143" s="605"/>
      <c r="U143" s="605"/>
      <c r="V143" s="605"/>
      <c r="W143" s="605"/>
      <c r="X143" s="605"/>
      <c r="Y143" s="605"/>
      <c r="Z143" s="605"/>
      <c r="AA143" s="605"/>
      <c r="AB143" s="605"/>
      <c r="AC143" s="605"/>
    </row>
    <row r="144" ht="14.25" customHeight="1">
      <c r="A144" s="803">
        <v>141.0</v>
      </c>
      <c r="B144" s="594" t="s">
        <v>2160</v>
      </c>
      <c r="C144" s="290"/>
      <c r="D144" s="290"/>
      <c r="E144" s="290"/>
      <c r="F144" s="293"/>
      <c r="G144" s="301"/>
      <c r="H144" s="301"/>
      <c r="I144" s="843"/>
      <c r="J144" s="297">
        <f>AVERAGE(J145)</f>
        <v>0.2123008522</v>
      </c>
      <c r="K144" s="297"/>
      <c r="L144" s="297"/>
      <c r="M144" s="299"/>
      <c r="N144" s="318" t="s">
        <v>112</v>
      </c>
      <c r="O144" s="298"/>
      <c r="P144" s="840"/>
      <c r="Q144" s="840"/>
      <c r="R144" s="840"/>
      <c r="S144" s="840"/>
      <c r="T144" s="840"/>
      <c r="U144" s="840"/>
      <c r="V144" s="840"/>
      <c r="W144" s="840"/>
      <c r="X144" s="840"/>
      <c r="Y144" s="840"/>
      <c r="Z144" s="840"/>
      <c r="AA144" s="840"/>
      <c r="AB144" s="840"/>
      <c r="AC144" s="840"/>
    </row>
    <row r="145" ht="14.25" customHeight="1" outlineLevel="1">
      <c r="A145" s="285">
        <v>142.0</v>
      </c>
      <c r="B145" s="595" t="s">
        <v>1638</v>
      </c>
      <c r="C145" s="595" t="s">
        <v>737</v>
      </c>
      <c r="D145" s="606"/>
      <c r="E145" s="606"/>
      <c r="F145" s="607">
        <v>750.0</v>
      </c>
      <c r="G145" s="301">
        <v>2699.0</v>
      </c>
      <c r="H145" s="301">
        <v>2699.0</v>
      </c>
      <c r="I145" s="608">
        <v>573.0</v>
      </c>
      <c r="J145" s="900">
        <f>I145/H145</f>
        <v>0.2123008522</v>
      </c>
      <c r="K145" s="300">
        <f>O145-I145</f>
        <v>1826</v>
      </c>
      <c r="L145" s="413">
        <f>O145/I145-1</f>
        <v>3.186736475</v>
      </c>
      <c r="M145" s="317"/>
      <c r="N145" s="318" t="s">
        <v>112</v>
      </c>
      <c r="O145" s="300">
        <v>2399.0</v>
      </c>
      <c r="P145" s="840"/>
      <c r="Q145" s="840"/>
      <c r="R145" s="840"/>
      <c r="S145" s="840"/>
      <c r="T145" s="840"/>
      <c r="U145" s="840"/>
      <c r="V145" s="840"/>
      <c r="W145" s="840"/>
      <c r="X145" s="840"/>
      <c r="Y145" s="840"/>
      <c r="Z145" s="840"/>
      <c r="AA145" s="840"/>
      <c r="AB145" s="840"/>
      <c r="AC145" s="840"/>
    </row>
    <row r="146" ht="14.25" customHeight="1">
      <c r="A146" s="803">
        <v>143.0</v>
      </c>
      <c r="B146" s="594" t="s">
        <v>2161</v>
      </c>
      <c r="C146" s="290" t="s">
        <v>2162</v>
      </c>
      <c r="D146" s="290"/>
      <c r="E146" s="290"/>
      <c r="F146" s="293"/>
      <c r="G146" s="301"/>
      <c r="H146" s="301"/>
      <c r="I146" s="843"/>
      <c r="J146" s="297">
        <f>AVERAGE(J147:J148)</f>
        <v>0.1854214963</v>
      </c>
      <c r="K146" s="297"/>
      <c r="L146" s="297"/>
      <c r="M146" s="299"/>
      <c r="N146" s="318" t="s">
        <v>112</v>
      </c>
      <c r="O146" s="298"/>
      <c r="P146" s="844"/>
      <c r="Q146" s="840"/>
      <c r="R146" s="840"/>
      <c r="S146" s="840"/>
      <c r="T146" s="840"/>
      <c r="U146" s="840"/>
      <c r="V146" s="840"/>
      <c r="W146" s="840"/>
      <c r="X146" s="840"/>
      <c r="Y146" s="840"/>
      <c r="Z146" s="840"/>
      <c r="AA146" s="840"/>
      <c r="AB146" s="840"/>
      <c r="AC146" s="840"/>
    </row>
    <row r="147" ht="14.25" customHeight="1" outlineLevel="1">
      <c r="A147" s="845">
        <v>144.0</v>
      </c>
      <c r="B147" s="606" t="s">
        <v>2163</v>
      </c>
      <c r="C147" s="606" t="s">
        <v>2164</v>
      </c>
      <c r="D147" s="606"/>
      <c r="E147" s="606"/>
      <c r="F147" s="607">
        <v>900.0</v>
      </c>
      <c r="G147" s="301">
        <v>949.0</v>
      </c>
      <c r="H147" s="301">
        <v>949.0</v>
      </c>
      <c r="I147" s="608">
        <v>196.03</v>
      </c>
      <c r="J147" s="477">
        <f t="shared" ref="J147:J148" si="64">I147/H147</f>
        <v>0.2065648051</v>
      </c>
      <c r="K147" s="411">
        <f t="shared" ref="K147:K148" si="65">O147-I147</f>
        <v>702.97</v>
      </c>
      <c r="L147" s="316">
        <f t="shared" ref="L147:L148" si="66">O147/I147-1</f>
        <v>3.58603275</v>
      </c>
      <c r="M147" s="317"/>
      <c r="N147" s="318" t="s">
        <v>112</v>
      </c>
      <c r="O147" s="411">
        <v>899.0</v>
      </c>
      <c r="P147" s="844"/>
      <c r="Q147" s="840"/>
      <c r="R147" s="840"/>
      <c r="S147" s="840"/>
      <c r="T147" s="840"/>
      <c r="U147" s="840"/>
      <c r="V147" s="840"/>
      <c r="W147" s="840"/>
      <c r="X147" s="840"/>
      <c r="Y147" s="840"/>
      <c r="Z147" s="840"/>
      <c r="AA147" s="840"/>
      <c r="AB147" s="840"/>
      <c r="AC147" s="840"/>
    </row>
    <row r="148" ht="14.25" customHeight="1" outlineLevel="1">
      <c r="A148" s="845">
        <v>145.0</v>
      </c>
      <c r="B148" s="606" t="s">
        <v>2165</v>
      </c>
      <c r="C148" s="606" t="s">
        <v>2166</v>
      </c>
      <c r="D148" s="606"/>
      <c r="E148" s="606"/>
      <c r="F148" s="607">
        <v>900.0</v>
      </c>
      <c r="G148" s="301">
        <v>949.0</v>
      </c>
      <c r="H148" s="301">
        <v>949.0</v>
      </c>
      <c r="I148" s="608">
        <v>155.9</v>
      </c>
      <c r="J148" s="477">
        <f t="shared" si="64"/>
        <v>0.1642781876</v>
      </c>
      <c r="K148" s="411">
        <f t="shared" si="65"/>
        <v>743.1</v>
      </c>
      <c r="L148" s="316">
        <f t="shared" si="66"/>
        <v>4.766516998</v>
      </c>
      <c r="M148" s="317"/>
      <c r="N148" s="318" t="s">
        <v>112</v>
      </c>
      <c r="O148" s="411">
        <v>899.0</v>
      </c>
      <c r="P148" s="844"/>
      <c r="Q148" s="840"/>
      <c r="R148" s="840"/>
      <c r="S148" s="840"/>
      <c r="T148" s="840"/>
      <c r="U148" s="840"/>
      <c r="V148" s="840"/>
      <c r="W148" s="840"/>
      <c r="X148" s="840"/>
      <c r="Y148" s="840"/>
      <c r="Z148" s="840"/>
      <c r="AA148" s="840"/>
      <c r="AB148" s="840"/>
      <c r="AC148" s="840"/>
    </row>
    <row r="149" ht="14.25" customHeight="1">
      <c r="A149" s="803">
        <v>146.0</v>
      </c>
      <c r="B149" s="594" t="s">
        <v>2167</v>
      </c>
      <c r="C149" s="290"/>
      <c r="D149" s="290"/>
      <c r="E149" s="290"/>
      <c r="F149" s="293"/>
      <c r="G149" s="301"/>
      <c r="H149" s="301"/>
      <c r="I149" s="843"/>
      <c r="J149" s="297"/>
      <c r="K149" s="298"/>
      <c r="L149" s="297"/>
      <c r="M149" s="299"/>
      <c r="N149" s="297"/>
      <c r="O149" s="298"/>
      <c r="P149" s="844"/>
      <c r="Q149" s="840"/>
      <c r="R149" s="840"/>
      <c r="S149" s="840"/>
      <c r="T149" s="840"/>
      <c r="U149" s="840"/>
      <c r="V149" s="840"/>
      <c r="W149" s="840"/>
      <c r="X149" s="840"/>
      <c r="Y149" s="840"/>
      <c r="Z149" s="840"/>
      <c r="AA149" s="840"/>
      <c r="AB149" s="840"/>
      <c r="AC149" s="840"/>
    </row>
    <row r="150" ht="14.25" customHeight="1" outlineLevel="1">
      <c r="A150" s="285">
        <v>147.0</v>
      </c>
      <c r="B150" s="595" t="s">
        <v>753</v>
      </c>
      <c r="C150" s="595" t="s">
        <v>1400</v>
      </c>
      <c r="D150" s="595" t="s">
        <v>1399</v>
      </c>
      <c r="E150" s="595"/>
      <c r="F150" s="596">
        <v>200.0</v>
      </c>
      <c r="G150" s="311">
        <v>369.0</v>
      </c>
      <c r="H150" s="311">
        <v>369.0</v>
      </c>
      <c r="I150" s="345">
        <v>82.51</v>
      </c>
      <c r="J150" s="332">
        <f t="shared" ref="J150:J157" si="67">I150/H150</f>
        <v>0.223604336</v>
      </c>
      <c r="K150" s="300">
        <f t="shared" ref="K150:K157" si="68">O150-I150</f>
        <v>246.49</v>
      </c>
      <c r="L150" s="413">
        <f t="shared" ref="L150:L157" si="69">O150/I150-1</f>
        <v>2.987395467</v>
      </c>
      <c r="M150" s="331"/>
      <c r="N150" s="285" t="s">
        <v>112</v>
      </c>
      <c r="O150" s="319">
        <v>329.0</v>
      </c>
      <c r="P150" s="874"/>
      <c r="Q150" s="605"/>
      <c r="R150" s="605"/>
      <c r="S150" s="605"/>
      <c r="T150" s="605"/>
      <c r="U150" s="605"/>
      <c r="V150" s="605"/>
      <c r="W150" s="605"/>
      <c r="X150" s="605"/>
      <c r="Y150" s="605"/>
      <c r="Z150" s="605"/>
      <c r="AA150" s="605"/>
      <c r="AB150" s="605"/>
      <c r="AC150" s="605"/>
    </row>
    <row r="151" ht="14.25" customHeight="1" outlineLevel="1">
      <c r="A151" s="285">
        <v>148.0</v>
      </c>
      <c r="B151" s="595" t="s">
        <v>2168</v>
      </c>
      <c r="C151" s="595"/>
      <c r="D151" s="595" t="s">
        <v>2169</v>
      </c>
      <c r="E151" s="595"/>
      <c r="F151" s="596">
        <v>600.0</v>
      </c>
      <c r="G151" s="311">
        <v>739.0</v>
      </c>
      <c r="H151" s="311">
        <v>739.0</v>
      </c>
      <c r="I151" s="345">
        <v>250.89</v>
      </c>
      <c r="J151" s="332">
        <f t="shared" si="67"/>
        <v>0.3394993234</v>
      </c>
      <c r="K151" s="300">
        <f t="shared" si="68"/>
        <v>407.11</v>
      </c>
      <c r="L151" s="413">
        <f t="shared" si="69"/>
        <v>1.622663319</v>
      </c>
      <c r="M151" s="331"/>
      <c r="N151" s="285"/>
      <c r="O151" s="319">
        <v>658.0</v>
      </c>
      <c r="P151" s="874"/>
      <c r="Q151" s="605"/>
      <c r="R151" s="605"/>
      <c r="S151" s="605"/>
      <c r="T151" s="605"/>
      <c r="U151" s="605"/>
      <c r="V151" s="605"/>
      <c r="W151" s="605"/>
      <c r="X151" s="605"/>
      <c r="Y151" s="605"/>
      <c r="Z151" s="605"/>
      <c r="AA151" s="605"/>
      <c r="AB151" s="605"/>
      <c r="AC151" s="605"/>
    </row>
    <row r="152" ht="14.25" customHeight="1" outlineLevel="1">
      <c r="A152" s="285">
        <v>149.0</v>
      </c>
      <c r="B152" s="595" t="s">
        <v>755</v>
      </c>
      <c r="C152" s="595" t="s">
        <v>1401</v>
      </c>
      <c r="D152" s="416"/>
      <c r="E152" s="416"/>
      <c r="F152" s="596">
        <v>200.0</v>
      </c>
      <c r="G152" s="311">
        <v>379.0</v>
      </c>
      <c r="H152" s="311">
        <v>379.0</v>
      </c>
      <c r="I152" s="345">
        <v>63.69</v>
      </c>
      <c r="J152" s="332">
        <f t="shared" si="67"/>
        <v>0.1680474934</v>
      </c>
      <c r="K152" s="300">
        <f t="shared" si="68"/>
        <v>295.31</v>
      </c>
      <c r="L152" s="413">
        <f t="shared" si="69"/>
        <v>4.636677657</v>
      </c>
      <c r="M152" s="331"/>
      <c r="N152" s="285" t="s">
        <v>112</v>
      </c>
      <c r="O152" s="319">
        <v>359.0</v>
      </c>
      <c r="P152" s="874"/>
      <c r="Q152" s="605"/>
      <c r="R152" s="605"/>
      <c r="S152" s="605"/>
      <c r="T152" s="605"/>
      <c r="U152" s="605"/>
      <c r="V152" s="605"/>
      <c r="W152" s="605"/>
      <c r="X152" s="605"/>
      <c r="Y152" s="605"/>
      <c r="Z152" s="605"/>
      <c r="AA152" s="605"/>
      <c r="AB152" s="605"/>
      <c r="AC152" s="605"/>
    </row>
    <row r="153" ht="14.25" customHeight="1" outlineLevel="1">
      <c r="A153" s="285">
        <v>150.0</v>
      </c>
      <c r="B153" s="416" t="s">
        <v>2170</v>
      </c>
      <c r="C153" s="595" t="s">
        <v>2171</v>
      </c>
      <c r="D153" s="416"/>
      <c r="E153" s="416"/>
      <c r="F153" s="596">
        <v>250.0</v>
      </c>
      <c r="G153" s="311">
        <v>429.0</v>
      </c>
      <c r="H153" s="311">
        <v>429.0</v>
      </c>
      <c r="I153" s="345">
        <v>87.84</v>
      </c>
      <c r="J153" s="332">
        <f t="shared" si="67"/>
        <v>0.2047552448</v>
      </c>
      <c r="K153" s="300">
        <f t="shared" si="68"/>
        <v>311.16</v>
      </c>
      <c r="L153" s="413">
        <f t="shared" si="69"/>
        <v>3.542349727</v>
      </c>
      <c r="M153" s="331"/>
      <c r="N153" s="285" t="s">
        <v>112</v>
      </c>
      <c r="O153" s="319">
        <v>399.0</v>
      </c>
      <c r="P153" s="874"/>
      <c r="Q153" s="605"/>
      <c r="R153" s="605"/>
      <c r="S153" s="605"/>
      <c r="T153" s="605"/>
      <c r="U153" s="605"/>
      <c r="V153" s="605"/>
      <c r="W153" s="605"/>
      <c r="X153" s="605"/>
      <c r="Y153" s="605"/>
      <c r="Z153" s="605"/>
      <c r="AA153" s="605"/>
      <c r="AB153" s="605"/>
      <c r="AC153" s="605"/>
    </row>
    <row r="154" ht="14.25" customHeight="1" outlineLevel="1">
      <c r="A154" s="285">
        <v>151.0</v>
      </c>
      <c r="B154" s="416" t="s">
        <v>2172</v>
      </c>
      <c r="C154" s="595" t="s">
        <v>2173</v>
      </c>
      <c r="D154" s="416"/>
      <c r="E154" s="416"/>
      <c r="F154" s="596">
        <v>200.0</v>
      </c>
      <c r="G154" s="311">
        <v>429.0</v>
      </c>
      <c r="H154" s="311">
        <v>429.0</v>
      </c>
      <c r="I154" s="345">
        <v>66.86</v>
      </c>
      <c r="J154" s="332">
        <f t="shared" si="67"/>
        <v>0.1558508159</v>
      </c>
      <c r="K154" s="300">
        <f t="shared" si="68"/>
        <v>332.14</v>
      </c>
      <c r="L154" s="413">
        <f t="shared" si="69"/>
        <v>4.967693688</v>
      </c>
      <c r="M154" s="331"/>
      <c r="N154" s="285" t="s">
        <v>112</v>
      </c>
      <c r="O154" s="319">
        <v>399.0</v>
      </c>
      <c r="P154" s="874"/>
      <c r="Q154" s="605"/>
      <c r="R154" s="605"/>
      <c r="S154" s="605"/>
      <c r="T154" s="605"/>
      <c r="U154" s="605"/>
      <c r="V154" s="605"/>
      <c r="W154" s="605"/>
      <c r="X154" s="605"/>
      <c r="Y154" s="605"/>
      <c r="Z154" s="605"/>
      <c r="AA154" s="605"/>
      <c r="AB154" s="605"/>
      <c r="AC154" s="605"/>
    </row>
    <row r="155" ht="14.25" customHeight="1" outlineLevel="1">
      <c r="A155" s="285">
        <v>152.0</v>
      </c>
      <c r="B155" s="595" t="s">
        <v>2174</v>
      </c>
      <c r="C155" s="595" t="s">
        <v>2175</v>
      </c>
      <c r="D155" s="595" t="s">
        <v>2176</v>
      </c>
      <c r="E155" s="595"/>
      <c r="F155" s="596">
        <v>250.0</v>
      </c>
      <c r="G155" s="311">
        <v>599.0</v>
      </c>
      <c r="H155" s="311">
        <v>599.0</v>
      </c>
      <c r="I155" s="345">
        <v>274.61</v>
      </c>
      <c r="J155" s="332">
        <f t="shared" si="67"/>
        <v>0.4584474124</v>
      </c>
      <c r="K155" s="319">
        <f t="shared" si="68"/>
        <v>324.39</v>
      </c>
      <c r="L155" s="332">
        <f t="shared" si="69"/>
        <v>1.181275263</v>
      </c>
      <c r="M155" s="331"/>
      <c r="N155" s="285" t="s">
        <v>112</v>
      </c>
      <c r="O155" s="319">
        <v>599.0</v>
      </c>
      <c r="P155" s="874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05"/>
      <c r="AB155" s="605"/>
      <c r="AC155" s="605"/>
    </row>
    <row r="156" ht="14.25" customHeight="1" outlineLevel="1">
      <c r="A156" s="285">
        <v>153.0</v>
      </c>
      <c r="B156" s="595" t="s">
        <v>2177</v>
      </c>
      <c r="C156" s="595" t="s">
        <v>2178</v>
      </c>
      <c r="D156" s="595" t="s">
        <v>2179</v>
      </c>
      <c r="E156" s="595"/>
      <c r="F156" s="602">
        <v>90.0</v>
      </c>
      <c r="G156" s="311">
        <v>429.0</v>
      </c>
      <c r="H156" s="311">
        <v>429.0</v>
      </c>
      <c r="I156" s="603">
        <v>120.87</v>
      </c>
      <c r="J156" s="332">
        <f t="shared" si="67"/>
        <v>0.2817482517</v>
      </c>
      <c r="K156" s="300">
        <f t="shared" si="68"/>
        <v>278.13</v>
      </c>
      <c r="L156" s="413">
        <f t="shared" si="69"/>
        <v>2.301067262</v>
      </c>
      <c r="M156" s="331"/>
      <c r="N156" s="285" t="s">
        <v>112</v>
      </c>
      <c r="O156" s="319">
        <v>399.0</v>
      </c>
      <c r="P156" s="874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05"/>
      <c r="AB156" s="605"/>
      <c r="AC156" s="605"/>
    </row>
    <row r="157" ht="14.25" customHeight="1" outlineLevel="1">
      <c r="A157" s="285">
        <v>154.0</v>
      </c>
      <c r="B157" s="595" t="s">
        <v>2180</v>
      </c>
      <c r="C157" s="595" t="s">
        <v>2181</v>
      </c>
      <c r="D157" s="595"/>
      <c r="E157" s="595"/>
      <c r="F157" s="602">
        <v>150.0</v>
      </c>
      <c r="G157" s="311">
        <v>379.0</v>
      </c>
      <c r="H157" s="311">
        <v>379.0</v>
      </c>
      <c r="I157" s="603">
        <v>77.75</v>
      </c>
      <c r="J157" s="332">
        <f t="shared" si="67"/>
        <v>0.2051451187</v>
      </c>
      <c r="K157" s="300">
        <f t="shared" si="68"/>
        <v>-77.75</v>
      </c>
      <c r="L157" s="413">
        <f t="shared" si="69"/>
        <v>-1</v>
      </c>
      <c r="M157" s="331"/>
      <c r="N157" s="285"/>
      <c r="O157" s="580"/>
      <c r="P157" s="874"/>
      <c r="Q157" s="605"/>
      <c r="R157" s="605"/>
      <c r="S157" s="605"/>
      <c r="T157" s="605"/>
      <c r="U157" s="605"/>
      <c r="V157" s="605"/>
      <c r="W157" s="605"/>
      <c r="X157" s="605"/>
      <c r="Y157" s="605"/>
      <c r="Z157" s="605"/>
      <c r="AA157" s="605"/>
      <c r="AB157" s="605"/>
      <c r="AC157" s="605"/>
    </row>
    <row r="158" ht="14.25" customHeight="1">
      <c r="A158" s="803">
        <v>155.0</v>
      </c>
      <c r="B158" s="594" t="s">
        <v>2182</v>
      </c>
      <c r="C158" s="290"/>
      <c r="D158" s="290"/>
      <c r="E158" s="290"/>
      <c r="F158" s="293"/>
      <c r="G158" s="301"/>
      <c r="H158" s="301"/>
      <c r="I158" s="843"/>
      <c r="J158" s="297">
        <f>AVERAGE(J161:J163)</f>
        <v>0.1604503576</v>
      </c>
      <c r="K158" s="298"/>
      <c r="L158" s="297"/>
      <c r="M158" s="299"/>
      <c r="N158" s="297"/>
      <c r="O158" s="298"/>
      <c r="P158" s="844"/>
      <c r="Q158" s="840"/>
      <c r="R158" s="840"/>
      <c r="S158" s="840"/>
      <c r="T158" s="840"/>
      <c r="U158" s="840"/>
      <c r="V158" s="840"/>
      <c r="W158" s="840"/>
      <c r="X158" s="840"/>
      <c r="Y158" s="840"/>
      <c r="Z158" s="840"/>
      <c r="AA158" s="840"/>
      <c r="AB158" s="840"/>
      <c r="AC158" s="840"/>
    </row>
    <row r="159" ht="14.25" customHeight="1" outlineLevel="1">
      <c r="A159" s="285">
        <v>156.0</v>
      </c>
      <c r="B159" s="595" t="s">
        <v>2183</v>
      </c>
      <c r="C159" s="595" t="s">
        <v>2184</v>
      </c>
      <c r="D159" s="595" t="s">
        <v>2185</v>
      </c>
      <c r="E159" s="595"/>
      <c r="F159" s="596">
        <v>250.0</v>
      </c>
      <c r="G159" s="301">
        <v>389.0</v>
      </c>
      <c r="H159" s="301">
        <v>389.0</v>
      </c>
      <c r="I159" s="345">
        <v>57.33</v>
      </c>
      <c r="J159" s="610">
        <f t="shared" ref="J159:J163" si="70">I159/H159</f>
        <v>0.147377892</v>
      </c>
      <c r="K159" s="315">
        <f t="shared" ref="K159:K163" si="71">O159-I159</f>
        <v>301.67</v>
      </c>
      <c r="L159" s="316">
        <f t="shared" ref="L159:L163" si="72">O159/I159-1</f>
        <v>5.261991976</v>
      </c>
      <c r="M159" s="317"/>
      <c r="N159" s="318"/>
      <c r="O159" s="300">
        <v>359.0</v>
      </c>
      <c r="P159" s="844"/>
      <c r="Q159" s="840"/>
      <c r="R159" s="840"/>
      <c r="S159" s="840"/>
      <c r="T159" s="840"/>
      <c r="U159" s="840"/>
      <c r="V159" s="840"/>
      <c r="W159" s="840"/>
      <c r="X159" s="840"/>
      <c r="Y159" s="840"/>
      <c r="Z159" s="840"/>
      <c r="AA159" s="840"/>
      <c r="AB159" s="840"/>
      <c r="AC159" s="840"/>
    </row>
    <row r="160" ht="14.25" customHeight="1" outlineLevel="1">
      <c r="A160" s="285">
        <v>157.0</v>
      </c>
      <c r="B160" s="595" t="s">
        <v>926</v>
      </c>
      <c r="C160" s="595" t="s">
        <v>2186</v>
      </c>
      <c r="D160" s="595" t="s">
        <v>927</v>
      </c>
      <c r="E160" s="595"/>
      <c r="F160" s="596">
        <v>250.0</v>
      </c>
      <c r="G160" s="301">
        <v>379.0</v>
      </c>
      <c r="H160" s="301">
        <v>379.0</v>
      </c>
      <c r="I160" s="345">
        <v>52.65</v>
      </c>
      <c r="J160" s="610">
        <f t="shared" si="70"/>
        <v>0.1389182058</v>
      </c>
      <c r="K160" s="315">
        <f t="shared" si="71"/>
        <v>306.35</v>
      </c>
      <c r="L160" s="316">
        <f t="shared" si="72"/>
        <v>5.818613485</v>
      </c>
      <c r="M160" s="317"/>
      <c r="N160" s="318" t="s">
        <v>112</v>
      </c>
      <c r="O160" s="300">
        <v>359.0</v>
      </c>
      <c r="P160" s="844"/>
      <c r="Q160" s="840"/>
      <c r="R160" s="840"/>
      <c r="S160" s="840"/>
      <c r="T160" s="840"/>
      <c r="U160" s="840"/>
      <c r="V160" s="840"/>
      <c r="W160" s="840"/>
      <c r="X160" s="840"/>
      <c r="Y160" s="840"/>
      <c r="Z160" s="840"/>
      <c r="AA160" s="840"/>
      <c r="AB160" s="840"/>
      <c r="AC160" s="840"/>
    </row>
    <row r="161" ht="14.25" customHeight="1" outlineLevel="1">
      <c r="A161" s="285">
        <v>158.0</v>
      </c>
      <c r="B161" s="595" t="s">
        <v>928</v>
      </c>
      <c r="C161" s="595" t="s">
        <v>1641</v>
      </c>
      <c r="D161" s="595" t="s">
        <v>929</v>
      </c>
      <c r="E161" s="595"/>
      <c r="F161" s="596">
        <v>250.0</v>
      </c>
      <c r="G161" s="301">
        <v>379.0</v>
      </c>
      <c r="H161" s="301">
        <v>379.0</v>
      </c>
      <c r="I161" s="345">
        <v>62.83</v>
      </c>
      <c r="J161" s="610">
        <f t="shared" si="70"/>
        <v>0.1657783641</v>
      </c>
      <c r="K161" s="315">
        <f t="shared" si="71"/>
        <v>296.17</v>
      </c>
      <c r="L161" s="316">
        <f t="shared" si="72"/>
        <v>4.713830972</v>
      </c>
      <c r="M161" s="317"/>
      <c r="N161" s="318" t="s">
        <v>112</v>
      </c>
      <c r="O161" s="300">
        <v>359.0</v>
      </c>
      <c r="P161" s="844"/>
      <c r="Q161" s="840"/>
      <c r="R161" s="840"/>
      <c r="S161" s="840"/>
      <c r="T161" s="840"/>
      <c r="U161" s="840"/>
      <c r="V161" s="840"/>
      <c r="W161" s="840"/>
      <c r="X161" s="840"/>
      <c r="Y161" s="840"/>
      <c r="Z161" s="840"/>
      <c r="AA161" s="840"/>
      <c r="AB161" s="840"/>
      <c r="AC161" s="840"/>
    </row>
    <row r="162" ht="14.25" customHeight="1" outlineLevel="1">
      <c r="A162" s="285">
        <v>159.0</v>
      </c>
      <c r="B162" s="595" t="s">
        <v>930</v>
      </c>
      <c r="C162" s="595" t="s">
        <v>1410</v>
      </c>
      <c r="D162" s="595" t="s">
        <v>931</v>
      </c>
      <c r="E162" s="595"/>
      <c r="F162" s="596">
        <v>250.0</v>
      </c>
      <c r="G162" s="301">
        <v>379.0</v>
      </c>
      <c r="H162" s="301">
        <v>379.0</v>
      </c>
      <c r="I162" s="345">
        <v>62.83</v>
      </c>
      <c r="J162" s="610">
        <f t="shared" si="70"/>
        <v>0.1657783641</v>
      </c>
      <c r="K162" s="315">
        <f t="shared" si="71"/>
        <v>296.17</v>
      </c>
      <c r="L162" s="316">
        <f t="shared" si="72"/>
        <v>4.713830972</v>
      </c>
      <c r="M162" s="317"/>
      <c r="N162" s="318" t="s">
        <v>112</v>
      </c>
      <c r="O162" s="300">
        <v>359.0</v>
      </c>
      <c r="P162" s="844"/>
      <c r="Q162" s="840"/>
      <c r="R162" s="840"/>
      <c r="S162" s="840"/>
      <c r="T162" s="840"/>
      <c r="U162" s="840"/>
      <c r="V162" s="840"/>
      <c r="W162" s="840"/>
      <c r="X162" s="840"/>
      <c r="Y162" s="840"/>
      <c r="Z162" s="840"/>
      <c r="AA162" s="840"/>
      <c r="AB162" s="840"/>
      <c r="AC162" s="840"/>
    </row>
    <row r="163" ht="14.25" customHeight="1" outlineLevel="1">
      <c r="A163" s="285">
        <v>160.0</v>
      </c>
      <c r="B163" s="595" t="s">
        <v>2187</v>
      </c>
      <c r="C163" s="595" t="s">
        <v>2188</v>
      </c>
      <c r="D163" s="595" t="s">
        <v>2189</v>
      </c>
      <c r="E163" s="595"/>
      <c r="F163" s="602">
        <v>150.0</v>
      </c>
      <c r="G163" s="301">
        <v>389.0</v>
      </c>
      <c r="H163" s="301">
        <v>389.0</v>
      </c>
      <c r="I163" s="603">
        <v>58.27</v>
      </c>
      <c r="J163" s="610">
        <f t="shared" si="70"/>
        <v>0.1497943445</v>
      </c>
      <c r="K163" s="300">
        <f t="shared" si="71"/>
        <v>300.73</v>
      </c>
      <c r="L163" s="413">
        <f t="shared" si="72"/>
        <v>5.160974773</v>
      </c>
      <c r="M163" s="331"/>
      <c r="N163" s="318" t="s">
        <v>112</v>
      </c>
      <c r="O163" s="300">
        <v>359.0</v>
      </c>
      <c r="P163" s="844"/>
      <c r="Q163" s="840"/>
      <c r="R163" s="840"/>
      <c r="S163" s="840"/>
      <c r="T163" s="840"/>
      <c r="U163" s="840"/>
      <c r="V163" s="840"/>
      <c r="W163" s="840"/>
      <c r="X163" s="840"/>
      <c r="Y163" s="840"/>
      <c r="Z163" s="840"/>
      <c r="AA163" s="840"/>
      <c r="AB163" s="840"/>
      <c r="AC163" s="840"/>
    </row>
    <row r="164" ht="14.25" customHeight="1">
      <c r="A164" s="803">
        <v>161.0</v>
      </c>
      <c r="B164" s="594" t="s">
        <v>2190</v>
      </c>
      <c r="C164" s="290"/>
      <c r="D164" s="290"/>
      <c r="E164" s="290"/>
      <c r="F164" s="293"/>
      <c r="G164" s="301"/>
      <c r="H164" s="301"/>
      <c r="I164" s="843"/>
      <c r="J164" s="297">
        <f>AVERAGE(J166:J172)</f>
        <v>0.1897680441</v>
      </c>
      <c r="K164" s="298"/>
      <c r="L164" s="297"/>
      <c r="M164" s="299"/>
      <c r="N164" s="297"/>
      <c r="O164" s="298"/>
      <c r="P164" s="844"/>
      <c r="Q164" s="840"/>
      <c r="R164" s="840"/>
      <c r="S164" s="840"/>
      <c r="T164" s="840"/>
      <c r="U164" s="840"/>
      <c r="V164" s="840"/>
      <c r="W164" s="840"/>
      <c r="X164" s="840"/>
      <c r="Y164" s="840"/>
      <c r="Z164" s="840"/>
      <c r="AA164" s="840"/>
      <c r="AB164" s="840"/>
      <c r="AC164" s="840"/>
    </row>
    <row r="165" ht="14.25" customHeight="1" outlineLevel="1">
      <c r="A165" s="285">
        <v>162.0</v>
      </c>
      <c r="B165" s="595" t="s">
        <v>2191</v>
      </c>
      <c r="C165" s="595"/>
      <c r="D165" s="595"/>
      <c r="E165" s="595"/>
      <c r="F165" s="596">
        <v>300.0</v>
      </c>
      <c r="G165" s="311">
        <v>429.0</v>
      </c>
      <c r="H165" s="311">
        <v>429.0</v>
      </c>
      <c r="I165" s="345">
        <v>100.53</v>
      </c>
      <c r="J165" s="332">
        <f t="shared" ref="J165:J172" si="73">I165/H165</f>
        <v>0.2343356643</v>
      </c>
      <c r="K165" s="300">
        <f t="shared" ref="K165:K172" si="74">O165-I165</f>
        <v>328.47</v>
      </c>
      <c r="L165" s="413">
        <f t="shared" ref="L165:L172" si="75">O165/I165-1</f>
        <v>3.267382871</v>
      </c>
      <c r="M165" s="331"/>
      <c r="N165" s="285" t="s">
        <v>112</v>
      </c>
      <c r="O165" s="319">
        <v>429.0</v>
      </c>
      <c r="P165" s="874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05"/>
      <c r="AB165" s="605"/>
      <c r="AC165" s="605"/>
    </row>
    <row r="166" ht="14.25" customHeight="1" outlineLevel="1">
      <c r="A166" s="845">
        <v>163.0</v>
      </c>
      <c r="B166" s="595" t="s">
        <v>769</v>
      </c>
      <c r="C166" s="595" t="s">
        <v>1642</v>
      </c>
      <c r="D166" s="595" t="s">
        <v>932</v>
      </c>
      <c r="E166" s="595"/>
      <c r="F166" s="596">
        <v>300.0</v>
      </c>
      <c r="G166" s="301">
        <v>359.0</v>
      </c>
      <c r="H166" s="301">
        <v>359.0</v>
      </c>
      <c r="I166" s="345">
        <v>62.75</v>
      </c>
      <c r="J166" s="332">
        <f t="shared" si="73"/>
        <v>0.1747910864</v>
      </c>
      <c r="K166" s="411">
        <f t="shared" si="74"/>
        <v>296.25</v>
      </c>
      <c r="L166" s="316">
        <f t="shared" si="75"/>
        <v>4.721115538</v>
      </c>
      <c r="M166" s="317"/>
      <c r="N166" s="318" t="s">
        <v>112</v>
      </c>
      <c r="O166" s="300">
        <v>359.0</v>
      </c>
      <c r="P166" s="844"/>
      <c r="Q166" s="840"/>
      <c r="R166" s="840"/>
      <c r="S166" s="840"/>
      <c r="T166" s="840"/>
      <c r="U166" s="840"/>
      <c r="V166" s="840"/>
      <c r="W166" s="840"/>
      <c r="X166" s="840"/>
      <c r="Y166" s="840"/>
      <c r="Z166" s="840"/>
      <c r="AA166" s="840"/>
      <c r="AB166" s="840"/>
      <c r="AC166" s="840"/>
    </row>
    <row r="167" ht="14.25" customHeight="1" outlineLevel="1">
      <c r="A167" s="845">
        <v>164.0</v>
      </c>
      <c r="B167" s="595" t="s">
        <v>2192</v>
      </c>
      <c r="C167" s="595"/>
      <c r="D167" s="595"/>
      <c r="E167" s="595"/>
      <c r="F167" s="596">
        <v>1200.0</v>
      </c>
      <c r="G167" s="301">
        <v>1489.0</v>
      </c>
      <c r="H167" s="301">
        <v>1489.0</v>
      </c>
      <c r="I167" s="345">
        <v>347.48</v>
      </c>
      <c r="J167" s="332">
        <f t="shared" si="73"/>
        <v>0.2333646743</v>
      </c>
      <c r="K167" s="411">
        <f t="shared" si="74"/>
        <v>-347.48</v>
      </c>
      <c r="L167" s="316">
        <f t="shared" si="75"/>
        <v>-1</v>
      </c>
      <c r="M167" s="317"/>
      <c r="N167" s="318"/>
      <c r="O167" s="821"/>
      <c r="P167" s="844"/>
      <c r="Q167" s="840"/>
      <c r="R167" s="840"/>
      <c r="S167" s="840"/>
      <c r="T167" s="840"/>
      <c r="U167" s="840"/>
      <c r="V167" s="840"/>
      <c r="W167" s="840"/>
      <c r="X167" s="840"/>
      <c r="Y167" s="840"/>
      <c r="Z167" s="840"/>
      <c r="AA167" s="840"/>
      <c r="AB167" s="840"/>
      <c r="AC167" s="840"/>
    </row>
    <row r="168" ht="14.25" customHeight="1" outlineLevel="1">
      <c r="A168" s="845">
        <v>165.0</v>
      </c>
      <c r="B168" s="595" t="s">
        <v>763</v>
      </c>
      <c r="C168" s="595" t="s">
        <v>1407</v>
      </c>
      <c r="D168" s="595" t="s">
        <v>1406</v>
      </c>
      <c r="E168" s="595"/>
      <c r="F168" s="596">
        <v>300.0</v>
      </c>
      <c r="G168" s="301">
        <v>599.0</v>
      </c>
      <c r="H168" s="301">
        <v>599.0</v>
      </c>
      <c r="I168" s="345">
        <v>95.17</v>
      </c>
      <c r="J168" s="332">
        <f t="shared" si="73"/>
        <v>0.1588814691</v>
      </c>
      <c r="K168" s="411">
        <f t="shared" si="74"/>
        <v>503.83</v>
      </c>
      <c r="L168" s="316">
        <f t="shared" si="75"/>
        <v>5.29400021</v>
      </c>
      <c r="M168" s="317"/>
      <c r="N168" s="318" t="s">
        <v>112</v>
      </c>
      <c r="O168" s="300">
        <v>599.0</v>
      </c>
      <c r="P168" s="844"/>
      <c r="Q168" s="840"/>
      <c r="R168" s="840"/>
      <c r="S168" s="840"/>
      <c r="T168" s="840"/>
      <c r="U168" s="840"/>
      <c r="V168" s="840"/>
      <c r="W168" s="840"/>
      <c r="X168" s="840"/>
      <c r="Y168" s="840"/>
      <c r="Z168" s="840"/>
      <c r="AA168" s="840"/>
      <c r="AB168" s="840"/>
      <c r="AC168" s="840"/>
    </row>
    <row r="169" ht="14.25" customHeight="1" outlineLevel="1">
      <c r="A169" s="285">
        <v>166.0</v>
      </c>
      <c r="B169" s="595" t="s">
        <v>2193</v>
      </c>
      <c r="C169" s="595"/>
      <c r="D169" s="595"/>
      <c r="E169" s="595"/>
      <c r="F169" s="596">
        <v>1200.0</v>
      </c>
      <c r="G169" s="301">
        <v>2399.0</v>
      </c>
      <c r="H169" s="301">
        <v>2399.0</v>
      </c>
      <c r="I169" s="345">
        <v>384.22</v>
      </c>
      <c r="J169" s="332">
        <f t="shared" si="73"/>
        <v>0.1601583993</v>
      </c>
      <c r="K169" s="411">
        <f t="shared" si="74"/>
        <v>-384.22</v>
      </c>
      <c r="L169" s="316">
        <f t="shared" si="75"/>
        <v>-1</v>
      </c>
      <c r="M169" s="317"/>
      <c r="N169" s="318"/>
      <c r="O169" s="821"/>
      <c r="P169" s="844"/>
      <c r="Q169" s="840"/>
      <c r="R169" s="840"/>
      <c r="S169" s="840"/>
      <c r="T169" s="840"/>
      <c r="U169" s="840"/>
      <c r="V169" s="840"/>
      <c r="W169" s="840"/>
      <c r="X169" s="840"/>
      <c r="Y169" s="840"/>
      <c r="Z169" s="840"/>
      <c r="AA169" s="840"/>
      <c r="AB169" s="840"/>
      <c r="AC169" s="840"/>
    </row>
    <row r="170" ht="14.25" customHeight="1" outlineLevel="1">
      <c r="A170" s="285">
        <v>167.0</v>
      </c>
      <c r="B170" s="595" t="s">
        <v>766</v>
      </c>
      <c r="C170" s="595" t="s">
        <v>1409</v>
      </c>
      <c r="D170" s="595" t="s">
        <v>1408</v>
      </c>
      <c r="E170" s="595"/>
      <c r="F170" s="602">
        <v>300.0</v>
      </c>
      <c r="G170" s="311">
        <v>499.0</v>
      </c>
      <c r="H170" s="311">
        <v>499.0</v>
      </c>
      <c r="I170" s="603">
        <v>118.58</v>
      </c>
      <c r="J170" s="332">
        <f t="shared" si="73"/>
        <v>0.2376352705</v>
      </c>
      <c r="K170" s="300">
        <f t="shared" si="74"/>
        <v>380.42</v>
      </c>
      <c r="L170" s="413">
        <f t="shared" si="75"/>
        <v>3.208129533</v>
      </c>
      <c r="M170" s="331"/>
      <c r="N170" s="318" t="s">
        <v>112</v>
      </c>
      <c r="O170" s="319">
        <v>499.0</v>
      </c>
      <c r="P170" s="844"/>
      <c r="Q170" s="840"/>
      <c r="R170" s="840"/>
      <c r="S170" s="840"/>
      <c r="T170" s="840"/>
      <c r="U170" s="840"/>
      <c r="V170" s="840"/>
      <c r="W170" s="840"/>
      <c r="X170" s="840"/>
      <c r="Y170" s="840"/>
      <c r="Z170" s="840"/>
      <c r="AA170" s="840"/>
      <c r="AB170" s="840"/>
      <c r="AC170" s="840"/>
    </row>
    <row r="171" ht="14.25" customHeight="1" outlineLevel="1">
      <c r="A171" s="285">
        <v>168.0</v>
      </c>
      <c r="B171" s="595" t="s">
        <v>786</v>
      </c>
      <c r="C171" s="595" t="s">
        <v>787</v>
      </c>
      <c r="D171" s="595"/>
      <c r="E171" s="595"/>
      <c r="F171" s="602">
        <v>300.0</v>
      </c>
      <c r="G171" s="311">
        <v>429.0</v>
      </c>
      <c r="H171" s="311">
        <v>429.0</v>
      </c>
      <c r="I171" s="603">
        <v>55.16</v>
      </c>
      <c r="J171" s="332">
        <f t="shared" si="73"/>
        <v>0.1285780886</v>
      </c>
      <c r="K171" s="300">
        <f t="shared" si="74"/>
        <v>-55.16</v>
      </c>
      <c r="L171" s="413">
        <f t="shared" si="75"/>
        <v>-1</v>
      </c>
      <c r="M171" s="331"/>
      <c r="N171" s="318"/>
      <c r="O171" s="580"/>
      <c r="P171" s="844"/>
      <c r="Q171" s="840"/>
      <c r="R171" s="840"/>
      <c r="S171" s="840"/>
      <c r="T171" s="840"/>
      <c r="U171" s="840"/>
      <c r="V171" s="840"/>
      <c r="W171" s="840"/>
      <c r="X171" s="840"/>
      <c r="Y171" s="840"/>
      <c r="Z171" s="840"/>
      <c r="AA171" s="840"/>
      <c r="AB171" s="840"/>
      <c r="AC171" s="840"/>
    </row>
    <row r="172" ht="14.25" customHeight="1" outlineLevel="1">
      <c r="A172" s="285">
        <v>169.0</v>
      </c>
      <c r="B172" s="595" t="s">
        <v>2194</v>
      </c>
      <c r="C172" s="595" t="s">
        <v>2195</v>
      </c>
      <c r="D172" s="595"/>
      <c r="E172" s="595"/>
      <c r="F172" s="602">
        <v>300.0</v>
      </c>
      <c r="G172" s="311">
        <v>459.0</v>
      </c>
      <c r="H172" s="311">
        <v>459.0</v>
      </c>
      <c r="I172" s="603">
        <v>107.85</v>
      </c>
      <c r="J172" s="332">
        <f t="shared" si="73"/>
        <v>0.2349673203</v>
      </c>
      <c r="K172" s="300">
        <f t="shared" si="74"/>
        <v>-107.85</v>
      </c>
      <c r="L172" s="413">
        <f t="shared" si="75"/>
        <v>-1</v>
      </c>
      <c r="M172" s="331"/>
      <c r="N172" s="318"/>
      <c r="O172" s="580"/>
      <c r="P172" s="844"/>
      <c r="Q172" s="840"/>
      <c r="R172" s="840"/>
      <c r="S172" s="840"/>
      <c r="T172" s="840"/>
      <c r="U172" s="840"/>
      <c r="V172" s="840"/>
      <c r="W172" s="840"/>
      <c r="X172" s="840"/>
      <c r="Y172" s="840"/>
      <c r="Z172" s="840"/>
      <c r="AA172" s="840"/>
      <c r="AB172" s="840"/>
      <c r="AC172" s="840"/>
    </row>
    <row r="173" ht="14.25" customHeight="1">
      <c r="A173" s="803">
        <v>170.0</v>
      </c>
      <c r="B173" s="594" t="s">
        <v>2196</v>
      </c>
      <c r="C173" s="290"/>
      <c r="D173" s="290"/>
      <c r="E173" s="290"/>
      <c r="F173" s="293"/>
      <c r="G173" s="301"/>
      <c r="H173" s="301"/>
      <c r="I173" s="843"/>
      <c r="J173" s="297">
        <f>AVERAGE(J175:J182)</f>
        <v>0.2116388682</v>
      </c>
      <c r="K173" s="298"/>
      <c r="L173" s="297"/>
      <c r="M173" s="299"/>
      <c r="N173" s="290"/>
      <c r="O173" s="298"/>
      <c r="P173" s="844"/>
      <c r="Q173" s="840"/>
      <c r="R173" s="840"/>
      <c r="S173" s="840"/>
      <c r="T173" s="840"/>
      <c r="U173" s="840"/>
      <c r="V173" s="840"/>
      <c r="W173" s="840"/>
      <c r="X173" s="840"/>
      <c r="Y173" s="840"/>
      <c r="Z173" s="840"/>
      <c r="AA173" s="840"/>
      <c r="AB173" s="840"/>
      <c r="AC173" s="840"/>
    </row>
    <row r="174" ht="14.25" customHeight="1" outlineLevel="1">
      <c r="A174" s="285">
        <v>171.0</v>
      </c>
      <c r="B174" s="595" t="s">
        <v>2197</v>
      </c>
      <c r="C174" s="595"/>
      <c r="D174" s="595" t="s">
        <v>2198</v>
      </c>
      <c r="E174" s="595"/>
      <c r="F174" s="596">
        <v>300.0</v>
      </c>
      <c r="G174" s="311">
        <v>958.0</v>
      </c>
      <c r="H174" s="311">
        <v>958.0</v>
      </c>
      <c r="I174" s="345">
        <v>190.0</v>
      </c>
      <c r="J174" s="332">
        <f t="shared" ref="J174:J183" si="76">I174/H174</f>
        <v>0.1983298539</v>
      </c>
      <c r="K174" s="300">
        <f t="shared" ref="K174:K183" si="77">O174-I174</f>
        <v>209</v>
      </c>
      <c r="L174" s="413">
        <f t="shared" ref="L174:L183" si="78">O174/I174-1</f>
        <v>1.1</v>
      </c>
      <c r="M174" s="331"/>
      <c r="N174" s="285" t="s">
        <v>112</v>
      </c>
      <c r="O174" s="319">
        <v>399.0</v>
      </c>
      <c r="P174" s="874"/>
      <c r="Q174" s="605"/>
      <c r="R174" s="605"/>
      <c r="S174" s="605"/>
      <c r="T174" s="605"/>
      <c r="U174" s="605"/>
      <c r="V174" s="605"/>
      <c r="W174" s="605"/>
      <c r="X174" s="605"/>
      <c r="Y174" s="605"/>
      <c r="Z174" s="605"/>
      <c r="AA174" s="605"/>
      <c r="AB174" s="605"/>
      <c r="AC174" s="605"/>
    </row>
    <row r="175" ht="14.25" customHeight="1" outlineLevel="1">
      <c r="A175" s="285">
        <v>172.0</v>
      </c>
      <c r="B175" s="595" t="s">
        <v>598</v>
      </c>
      <c r="C175" s="595" t="s">
        <v>1402</v>
      </c>
      <c r="D175" s="595" t="s">
        <v>938</v>
      </c>
      <c r="E175" s="595"/>
      <c r="F175" s="596">
        <v>300.0</v>
      </c>
      <c r="G175" s="301">
        <v>359.0</v>
      </c>
      <c r="H175" s="301">
        <v>359.0</v>
      </c>
      <c r="I175" s="345">
        <v>69.38</v>
      </c>
      <c r="J175" s="332">
        <f t="shared" si="76"/>
        <v>0.1932590529</v>
      </c>
      <c r="K175" s="411">
        <f t="shared" si="77"/>
        <v>279.62</v>
      </c>
      <c r="L175" s="316">
        <f t="shared" si="78"/>
        <v>4.030268089</v>
      </c>
      <c r="M175" s="317"/>
      <c r="N175" s="318" t="s">
        <v>112</v>
      </c>
      <c r="O175" s="300">
        <v>349.0</v>
      </c>
      <c r="P175" s="844"/>
      <c r="Q175" s="840"/>
      <c r="R175" s="840"/>
      <c r="S175" s="840"/>
      <c r="T175" s="840"/>
      <c r="U175" s="840"/>
      <c r="V175" s="840"/>
      <c r="W175" s="840"/>
      <c r="X175" s="840"/>
      <c r="Y175" s="840"/>
      <c r="Z175" s="840"/>
      <c r="AA175" s="840"/>
      <c r="AB175" s="840"/>
      <c r="AC175" s="840"/>
    </row>
    <row r="176" ht="14.25" customHeight="1" outlineLevel="1">
      <c r="A176" s="285">
        <v>173.0</v>
      </c>
      <c r="B176" s="595" t="s">
        <v>1643</v>
      </c>
      <c r="C176" s="595" t="s">
        <v>1644</v>
      </c>
      <c r="D176" s="595" t="s">
        <v>1645</v>
      </c>
      <c r="E176" s="595"/>
      <c r="F176" s="602">
        <v>300.0</v>
      </c>
      <c r="G176" s="301">
        <v>389.0</v>
      </c>
      <c r="H176" s="301">
        <v>389.0</v>
      </c>
      <c r="I176" s="603">
        <v>90.45</v>
      </c>
      <c r="J176" s="332">
        <f t="shared" si="76"/>
        <v>0.2325192802</v>
      </c>
      <c r="K176" s="300">
        <f t="shared" si="77"/>
        <v>268.55</v>
      </c>
      <c r="L176" s="413">
        <f t="shared" si="78"/>
        <v>2.969043671</v>
      </c>
      <c r="M176" s="331"/>
      <c r="N176" s="318" t="s">
        <v>112</v>
      </c>
      <c r="O176" s="300">
        <v>359.0</v>
      </c>
      <c r="P176" s="844"/>
      <c r="Q176" s="840"/>
      <c r="R176" s="840"/>
      <c r="S176" s="840"/>
      <c r="T176" s="840"/>
      <c r="U176" s="840"/>
      <c r="V176" s="840"/>
      <c r="W176" s="840"/>
      <c r="X176" s="840"/>
      <c r="Y176" s="840"/>
      <c r="Z176" s="840"/>
      <c r="AA176" s="840"/>
      <c r="AB176" s="840"/>
      <c r="AC176" s="840"/>
    </row>
    <row r="177" ht="14.25" customHeight="1" outlineLevel="1">
      <c r="A177" s="285">
        <v>174.0</v>
      </c>
      <c r="B177" s="595" t="s">
        <v>2199</v>
      </c>
      <c r="C177" s="595"/>
      <c r="D177" s="595"/>
      <c r="E177" s="595"/>
      <c r="F177" s="602">
        <v>300.0</v>
      </c>
      <c r="G177" s="301">
        <v>389.0</v>
      </c>
      <c r="H177" s="301">
        <v>389.0</v>
      </c>
      <c r="I177" s="603">
        <v>96.81</v>
      </c>
      <c r="J177" s="332">
        <f t="shared" si="76"/>
        <v>0.2488688946</v>
      </c>
      <c r="K177" s="300">
        <f t="shared" si="77"/>
        <v>-96.81</v>
      </c>
      <c r="L177" s="413">
        <f t="shared" si="78"/>
        <v>-1</v>
      </c>
      <c r="M177" s="331"/>
      <c r="N177" s="318"/>
      <c r="O177" s="300"/>
      <c r="P177" s="844"/>
      <c r="Q177" s="840"/>
      <c r="R177" s="840"/>
      <c r="S177" s="840"/>
      <c r="T177" s="840"/>
      <c r="U177" s="840"/>
      <c r="V177" s="840"/>
      <c r="W177" s="840"/>
      <c r="X177" s="840"/>
      <c r="Y177" s="840"/>
      <c r="Z177" s="840"/>
      <c r="AA177" s="840"/>
      <c r="AB177" s="840"/>
      <c r="AC177" s="840"/>
    </row>
    <row r="178" ht="14.25" customHeight="1" outlineLevel="1">
      <c r="A178" s="285">
        <v>175.0</v>
      </c>
      <c r="B178" s="595" t="s">
        <v>771</v>
      </c>
      <c r="C178" s="595" t="s">
        <v>933</v>
      </c>
      <c r="D178" s="595" t="s">
        <v>933</v>
      </c>
      <c r="E178" s="595"/>
      <c r="F178" s="596">
        <v>300.0</v>
      </c>
      <c r="G178" s="301">
        <v>359.0</v>
      </c>
      <c r="H178" s="301">
        <v>359.0</v>
      </c>
      <c r="I178" s="345">
        <v>86.53</v>
      </c>
      <c r="J178" s="332">
        <f t="shared" si="76"/>
        <v>0.2410306407</v>
      </c>
      <c r="K178" s="411">
        <f t="shared" si="77"/>
        <v>262.47</v>
      </c>
      <c r="L178" s="316">
        <f t="shared" si="78"/>
        <v>3.033283254</v>
      </c>
      <c r="M178" s="317"/>
      <c r="N178" s="318" t="s">
        <v>112</v>
      </c>
      <c r="O178" s="300">
        <v>349.0</v>
      </c>
      <c r="P178" s="844"/>
      <c r="Q178" s="840"/>
      <c r="R178" s="840"/>
      <c r="S178" s="840"/>
      <c r="T178" s="840"/>
      <c r="U178" s="840"/>
      <c r="V178" s="840"/>
      <c r="W178" s="840"/>
      <c r="X178" s="840"/>
      <c r="Y178" s="840"/>
      <c r="Z178" s="840"/>
      <c r="AA178" s="840"/>
      <c r="AB178" s="840"/>
      <c r="AC178" s="840"/>
    </row>
    <row r="179" ht="14.25" customHeight="1" outlineLevel="1">
      <c r="A179" s="285">
        <v>176.0</v>
      </c>
      <c r="B179" s="595" t="s">
        <v>2200</v>
      </c>
      <c r="C179" s="595"/>
      <c r="D179" s="595"/>
      <c r="E179" s="595"/>
      <c r="F179" s="596">
        <v>1200.0</v>
      </c>
      <c r="G179" s="301">
        <v>1439.0</v>
      </c>
      <c r="H179" s="301">
        <v>1439.0</v>
      </c>
      <c r="I179" s="345">
        <v>356.92</v>
      </c>
      <c r="J179" s="332">
        <f t="shared" si="76"/>
        <v>0.2480333565</v>
      </c>
      <c r="K179" s="411">
        <f t="shared" si="77"/>
        <v>-356.92</v>
      </c>
      <c r="L179" s="316">
        <f t="shared" si="78"/>
        <v>-1</v>
      </c>
      <c r="M179" s="317"/>
      <c r="N179" s="318"/>
      <c r="O179" s="821"/>
      <c r="P179" s="844"/>
      <c r="Q179" s="840"/>
      <c r="R179" s="840"/>
      <c r="S179" s="840"/>
      <c r="T179" s="840"/>
      <c r="U179" s="840"/>
      <c r="V179" s="840"/>
      <c r="W179" s="840"/>
      <c r="X179" s="840"/>
      <c r="Y179" s="840"/>
      <c r="Z179" s="840"/>
      <c r="AA179" s="840"/>
      <c r="AB179" s="840"/>
      <c r="AC179" s="840"/>
    </row>
    <row r="180" ht="14.25" customHeight="1" outlineLevel="1">
      <c r="A180" s="285">
        <v>177.0</v>
      </c>
      <c r="B180" s="595" t="s">
        <v>760</v>
      </c>
      <c r="C180" s="595" t="s">
        <v>2201</v>
      </c>
      <c r="D180" s="595" t="s">
        <v>2202</v>
      </c>
      <c r="E180" s="595"/>
      <c r="F180" s="596">
        <v>300.0</v>
      </c>
      <c r="G180" s="301">
        <v>439.0</v>
      </c>
      <c r="H180" s="301">
        <v>439.0</v>
      </c>
      <c r="I180" s="345">
        <v>97.52</v>
      </c>
      <c r="J180" s="332">
        <f t="shared" si="76"/>
        <v>0.2221412301</v>
      </c>
      <c r="K180" s="411">
        <f t="shared" si="77"/>
        <v>301.48</v>
      </c>
      <c r="L180" s="316">
        <f t="shared" si="78"/>
        <v>3.091468417</v>
      </c>
      <c r="M180" s="317"/>
      <c r="N180" s="318" t="s">
        <v>112</v>
      </c>
      <c r="O180" s="300">
        <v>399.0</v>
      </c>
      <c r="P180" s="844"/>
      <c r="Q180" s="840"/>
      <c r="R180" s="840"/>
      <c r="S180" s="840"/>
      <c r="T180" s="840"/>
      <c r="U180" s="840"/>
      <c r="V180" s="840"/>
      <c r="W180" s="840"/>
      <c r="X180" s="840"/>
      <c r="Y180" s="840"/>
      <c r="Z180" s="840"/>
      <c r="AA180" s="840"/>
      <c r="AB180" s="840"/>
      <c r="AC180" s="840"/>
    </row>
    <row r="181" ht="14.25" customHeight="1" outlineLevel="1">
      <c r="A181" s="285">
        <v>178.0</v>
      </c>
      <c r="B181" s="595" t="s">
        <v>2203</v>
      </c>
      <c r="C181" s="595" t="s">
        <v>2204</v>
      </c>
      <c r="D181" s="595" t="s">
        <v>2205</v>
      </c>
      <c r="E181" s="595"/>
      <c r="F181" s="602">
        <v>300.0</v>
      </c>
      <c r="G181" s="311">
        <v>499.0</v>
      </c>
      <c r="H181" s="311">
        <v>499.0</v>
      </c>
      <c r="I181" s="603">
        <v>54.48</v>
      </c>
      <c r="J181" s="332">
        <f t="shared" si="76"/>
        <v>0.1091783567</v>
      </c>
      <c r="K181" s="300">
        <f t="shared" si="77"/>
        <v>444.52</v>
      </c>
      <c r="L181" s="413">
        <f t="shared" si="78"/>
        <v>8.159324523</v>
      </c>
      <c r="M181" s="331"/>
      <c r="N181" s="373" t="s">
        <v>112</v>
      </c>
      <c r="O181" s="319">
        <v>499.0</v>
      </c>
      <c r="P181" s="844"/>
      <c r="Q181" s="840"/>
      <c r="R181" s="840"/>
      <c r="S181" s="840"/>
      <c r="T181" s="840"/>
      <c r="U181" s="840"/>
      <c r="V181" s="840"/>
      <c r="W181" s="840"/>
      <c r="X181" s="840"/>
      <c r="Y181" s="840"/>
      <c r="Z181" s="840"/>
      <c r="AA181" s="840"/>
      <c r="AB181" s="840"/>
      <c r="AC181" s="840"/>
    </row>
    <row r="182" ht="14.25" customHeight="1" outlineLevel="1">
      <c r="A182" s="285">
        <v>179.0</v>
      </c>
      <c r="B182" s="595" t="s">
        <v>2206</v>
      </c>
      <c r="C182" s="595" t="s">
        <v>2207</v>
      </c>
      <c r="D182" s="595" t="s">
        <v>2208</v>
      </c>
      <c r="E182" s="595"/>
      <c r="F182" s="596">
        <v>300.0</v>
      </c>
      <c r="G182" s="301">
        <v>599.0</v>
      </c>
      <c r="H182" s="301">
        <v>599.0</v>
      </c>
      <c r="I182" s="345">
        <v>118.65</v>
      </c>
      <c r="J182" s="332">
        <f t="shared" si="76"/>
        <v>0.1980801336</v>
      </c>
      <c r="K182" s="411">
        <f t="shared" si="77"/>
        <v>480.35</v>
      </c>
      <c r="L182" s="316">
        <f t="shared" si="78"/>
        <v>4.048461863</v>
      </c>
      <c r="M182" s="317"/>
      <c r="N182" s="318" t="s">
        <v>112</v>
      </c>
      <c r="O182" s="300">
        <v>599.0</v>
      </c>
      <c r="P182" s="844"/>
      <c r="Q182" s="840"/>
      <c r="R182" s="840"/>
      <c r="S182" s="840"/>
      <c r="T182" s="840"/>
      <c r="U182" s="840"/>
      <c r="V182" s="840"/>
      <c r="W182" s="840"/>
      <c r="X182" s="840"/>
      <c r="Y182" s="840"/>
      <c r="Z182" s="840"/>
      <c r="AA182" s="840"/>
      <c r="AB182" s="840"/>
      <c r="AC182" s="840"/>
    </row>
    <row r="183" ht="14.25" customHeight="1" outlineLevel="1">
      <c r="A183" s="285">
        <v>180.0</v>
      </c>
      <c r="B183" s="595" t="s">
        <v>2209</v>
      </c>
      <c r="C183" s="595" t="s">
        <v>2210</v>
      </c>
      <c r="D183" s="595" t="s">
        <v>2211</v>
      </c>
      <c r="E183" s="595"/>
      <c r="F183" s="602">
        <v>300.0</v>
      </c>
      <c r="G183" s="301">
        <v>499.0</v>
      </c>
      <c r="H183" s="301">
        <v>499.0</v>
      </c>
      <c r="I183" s="603">
        <v>97.47</v>
      </c>
      <c r="J183" s="332">
        <f t="shared" si="76"/>
        <v>0.1953306613</v>
      </c>
      <c r="K183" s="300">
        <f t="shared" si="77"/>
        <v>261.53</v>
      </c>
      <c r="L183" s="413">
        <f t="shared" si="78"/>
        <v>2.68318457</v>
      </c>
      <c r="M183" s="331"/>
      <c r="N183" s="318" t="s">
        <v>112</v>
      </c>
      <c r="O183" s="300">
        <v>359.0</v>
      </c>
      <c r="P183" s="844"/>
      <c r="Q183" s="840"/>
      <c r="R183" s="840"/>
      <c r="S183" s="840"/>
      <c r="T183" s="840"/>
      <c r="U183" s="840"/>
      <c r="V183" s="840"/>
      <c r="W183" s="840"/>
      <c r="X183" s="840"/>
      <c r="Y183" s="840"/>
      <c r="Z183" s="840"/>
      <c r="AA183" s="840"/>
      <c r="AB183" s="840"/>
      <c r="AC183" s="840"/>
    </row>
    <row r="184" ht="14.25" customHeight="1">
      <c r="A184" s="803">
        <v>181.0</v>
      </c>
      <c r="B184" s="594" t="s">
        <v>2212</v>
      </c>
      <c r="C184" s="290"/>
      <c r="D184" s="290"/>
      <c r="E184" s="290"/>
      <c r="F184" s="293"/>
      <c r="G184" s="301"/>
      <c r="H184" s="301"/>
      <c r="I184" s="843"/>
      <c r="J184" s="297">
        <f>AVERAGE(J186:J196)</f>
        <v>0.1557406644</v>
      </c>
      <c r="K184" s="298"/>
      <c r="L184" s="297"/>
      <c r="M184" s="299"/>
      <c r="N184" s="290"/>
      <c r="O184" s="298"/>
      <c r="P184" s="844"/>
      <c r="Q184" s="840"/>
      <c r="R184" s="840"/>
      <c r="S184" s="840"/>
      <c r="T184" s="840"/>
      <c r="U184" s="840"/>
      <c r="V184" s="840"/>
      <c r="W184" s="840"/>
      <c r="X184" s="840"/>
      <c r="Y184" s="840"/>
      <c r="Z184" s="840"/>
      <c r="AA184" s="840"/>
      <c r="AB184" s="840"/>
      <c r="AC184" s="840"/>
    </row>
    <row r="185" ht="14.25" customHeight="1" outlineLevel="1">
      <c r="A185" s="285">
        <v>182.0</v>
      </c>
      <c r="B185" s="595" t="s">
        <v>2213</v>
      </c>
      <c r="C185" s="901" t="s">
        <v>2214</v>
      </c>
      <c r="D185" s="595" t="s">
        <v>2215</v>
      </c>
      <c r="E185" s="595"/>
      <c r="F185" s="602">
        <v>300.0</v>
      </c>
      <c r="G185" s="311">
        <v>369.0</v>
      </c>
      <c r="H185" s="311">
        <v>369.0</v>
      </c>
      <c r="I185" s="603">
        <v>48.48</v>
      </c>
      <c r="J185" s="902">
        <f t="shared" ref="J185:J188" si="79">I185/H185</f>
        <v>0.1313821138</v>
      </c>
      <c r="K185" s="300">
        <f t="shared" ref="K185:K188" si="80">O185-I185</f>
        <v>290.52</v>
      </c>
      <c r="L185" s="413">
        <f t="shared" ref="L185:L188" si="81">O185/I185-1</f>
        <v>5.992574257</v>
      </c>
      <c r="M185" s="331"/>
      <c r="N185" s="318"/>
      <c r="O185" s="319">
        <v>339.0</v>
      </c>
      <c r="P185" s="844"/>
      <c r="Q185" s="840"/>
      <c r="R185" s="840"/>
      <c r="S185" s="840"/>
      <c r="T185" s="840"/>
      <c r="U185" s="840"/>
      <c r="V185" s="840"/>
      <c r="W185" s="840"/>
      <c r="X185" s="840"/>
      <c r="Y185" s="840"/>
      <c r="Z185" s="840"/>
      <c r="AA185" s="840"/>
      <c r="AB185" s="840"/>
      <c r="AC185" s="840"/>
    </row>
    <row r="186" ht="14.25" customHeight="1" outlineLevel="1">
      <c r="A186" s="285">
        <v>183.0</v>
      </c>
      <c r="B186" s="595" t="s">
        <v>934</v>
      </c>
      <c r="C186" s="595" t="s">
        <v>2216</v>
      </c>
      <c r="D186" s="595" t="s">
        <v>935</v>
      </c>
      <c r="E186" s="595"/>
      <c r="F186" s="602">
        <v>300.0</v>
      </c>
      <c r="G186" s="311">
        <v>369.0</v>
      </c>
      <c r="H186" s="311">
        <v>369.0</v>
      </c>
      <c r="I186" s="603">
        <v>54.31</v>
      </c>
      <c r="J186" s="902">
        <f t="shared" si="79"/>
        <v>0.1471815718</v>
      </c>
      <c r="K186" s="300">
        <f t="shared" si="80"/>
        <v>284.69</v>
      </c>
      <c r="L186" s="413">
        <f t="shared" si="81"/>
        <v>5.241944393</v>
      </c>
      <c r="M186" s="331"/>
      <c r="N186" s="318" t="s">
        <v>112</v>
      </c>
      <c r="O186" s="319">
        <v>339.0</v>
      </c>
      <c r="P186" s="844"/>
      <c r="Q186" s="840"/>
      <c r="R186" s="840"/>
      <c r="S186" s="840"/>
      <c r="T186" s="840"/>
      <c r="U186" s="840"/>
      <c r="V186" s="840"/>
      <c r="W186" s="840"/>
      <c r="X186" s="840"/>
      <c r="Y186" s="840"/>
      <c r="Z186" s="840"/>
      <c r="AA186" s="840"/>
      <c r="AB186" s="840"/>
      <c r="AC186" s="840"/>
    </row>
    <row r="187" ht="14.25" customHeight="1" outlineLevel="1">
      <c r="A187" s="285">
        <v>184.0</v>
      </c>
      <c r="B187" s="595" t="s">
        <v>936</v>
      </c>
      <c r="C187" s="595" t="s">
        <v>1646</v>
      </c>
      <c r="D187" s="595" t="s">
        <v>937</v>
      </c>
      <c r="E187" s="595"/>
      <c r="F187" s="596">
        <v>300.0</v>
      </c>
      <c r="G187" s="311">
        <v>369.0</v>
      </c>
      <c r="H187" s="311">
        <v>369.0</v>
      </c>
      <c r="I187" s="345">
        <v>56.07</v>
      </c>
      <c r="J187" s="902">
        <f t="shared" si="79"/>
        <v>0.1519512195</v>
      </c>
      <c r="K187" s="411">
        <f t="shared" si="80"/>
        <v>282.93</v>
      </c>
      <c r="L187" s="316">
        <f t="shared" si="81"/>
        <v>5.046013911</v>
      </c>
      <c r="M187" s="331"/>
      <c r="N187" s="318" t="s">
        <v>112</v>
      </c>
      <c r="O187" s="319">
        <v>339.0</v>
      </c>
      <c r="P187" s="844"/>
      <c r="Q187" s="840"/>
      <c r="R187" s="840"/>
      <c r="S187" s="840"/>
      <c r="T187" s="840"/>
      <c r="U187" s="840"/>
      <c r="V187" s="840"/>
      <c r="W187" s="840"/>
      <c r="X187" s="840"/>
      <c r="Y187" s="840"/>
      <c r="Z187" s="840"/>
      <c r="AA187" s="840"/>
      <c r="AB187" s="840"/>
      <c r="AC187" s="840"/>
    </row>
    <row r="188" ht="14.25" customHeight="1" outlineLevel="1">
      <c r="A188" s="285">
        <v>185.0</v>
      </c>
      <c r="B188" s="595" t="s">
        <v>1647</v>
      </c>
      <c r="C188" s="595" t="s">
        <v>1648</v>
      </c>
      <c r="D188" s="595" t="s">
        <v>1649</v>
      </c>
      <c r="E188" s="595"/>
      <c r="F188" s="596">
        <v>100.0</v>
      </c>
      <c r="G188" s="311">
        <v>369.0</v>
      </c>
      <c r="H188" s="311">
        <v>369.0</v>
      </c>
      <c r="I188" s="345">
        <v>78.31</v>
      </c>
      <c r="J188" s="902">
        <f t="shared" si="79"/>
        <v>0.2122222222</v>
      </c>
      <c r="K188" s="411">
        <f t="shared" si="80"/>
        <v>260.69</v>
      </c>
      <c r="L188" s="316">
        <f t="shared" si="81"/>
        <v>3.328949049</v>
      </c>
      <c r="M188" s="331"/>
      <c r="N188" s="318" t="s">
        <v>112</v>
      </c>
      <c r="O188" s="319">
        <v>339.0</v>
      </c>
      <c r="P188" s="844"/>
      <c r="Q188" s="840"/>
      <c r="R188" s="840"/>
      <c r="S188" s="840"/>
      <c r="T188" s="840"/>
      <c r="U188" s="840"/>
      <c r="V188" s="840"/>
      <c r="W188" s="840"/>
      <c r="X188" s="840"/>
      <c r="Y188" s="840"/>
      <c r="Z188" s="840"/>
      <c r="AA188" s="840"/>
      <c r="AB188" s="840"/>
      <c r="AC188" s="840"/>
    </row>
    <row r="189" ht="14.25" customHeight="1">
      <c r="A189" s="803">
        <v>186.0</v>
      </c>
      <c r="B189" s="594" t="s">
        <v>1650</v>
      </c>
      <c r="C189" s="290"/>
      <c r="D189" s="290"/>
      <c r="E189" s="290"/>
      <c r="F189" s="293"/>
      <c r="G189" s="301"/>
      <c r="H189" s="301"/>
      <c r="I189" s="843"/>
      <c r="J189" s="297">
        <f>AVERAGE(J190:J195)</f>
        <v>0.1505360134</v>
      </c>
      <c r="K189" s="298"/>
      <c r="L189" s="297"/>
      <c r="M189" s="299"/>
      <c r="N189" s="290"/>
      <c r="O189" s="298"/>
      <c r="P189" s="844"/>
      <c r="Q189" s="840"/>
      <c r="R189" s="840"/>
      <c r="S189" s="840"/>
      <c r="T189" s="840"/>
      <c r="U189" s="840"/>
      <c r="V189" s="840"/>
      <c r="W189" s="840"/>
      <c r="X189" s="840"/>
      <c r="Y189" s="840"/>
      <c r="Z189" s="840"/>
      <c r="AA189" s="840"/>
      <c r="AB189" s="840"/>
      <c r="AC189" s="840"/>
    </row>
    <row r="190" ht="14.25" customHeight="1" outlineLevel="1">
      <c r="A190" s="845">
        <v>187.0</v>
      </c>
      <c r="B190" s="595" t="s">
        <v>801</v>
      </c>
      <c r="C190" s="595"/>
      <c r="D190" s="595"/>
      <c r="E190" s="595"/>
      <c r="F190" s="596">
        <v>50.0</v>
      </c>
      <c r="G190" s="311">
        <v>199.0</v>
      </c>
      <c r="H190" s="311">
        <v>199.0</v>
      </c>
      <c r="I190" s="345">
        <v>24.04</v>
      </c>
      <c r="J190" s="903">
        <f t="shared" ref="J190:J197" si="82">I190/H190</f>
        <v>0.1208040201</v>
      </c>
      <c r="K190" s="315">
        <f t="shared" ref="K190:K197" si="83">O190-I190</f>
        <v>164.96</v>
      </c>
      <c r="L190" s="316">
        <f t="shared" ref="L190:L197" si="84">O190/I190-1</f>
        <v>6.861896839</v>
      </c>
      <c r="M190" s="317"/>
      <c r="N190" s="318" t="s">
        <v>112</v>
      </c>
      <c r="O190" s="319">
        <v>189.0</v>
      </c>
      <c r="P190" s="844"/>
      <c r="Q190" s="840"/>
      <c r="R190" s="840"/>
      <c r="S190" s="840"/>
      <c r="T190" s="840"/>
      <c r="U190" s="840"/>
      <c r="V190" s="840"/>
      <c r="W190" s="840"/>
      <c r="X190" s="840"/>
      <c r="Y190" s="840"/>
      <c r="Z190" s="840"/>
      <c r="AA190" s="840"/>
      <c r="AB190" s="840"/>
      <c r="AC190" s="840"/>
    </row>
    <row r="191" ht="14.25" customHeight="1" outlineLevel="1">
      <c r="A191" s="845">
        <v>188.0</v>
      </c>
      <c r="B191" s="595" t="s">
        <v>803</v>
      </c>
      <c r="C191" s="595"/>
      <c r="D191" s="595"/>
      <c r="E191" s="595"/>
      <c r="F191" s="596">
        <v>50.0</v>
      </c>
      <c r="G191" s="311">
        <v>199.0</v>
      </c>
      <c r="H191" s="311">
        <v>199.0</v>
      </c>
      <c r="I191" s="345">
        <v>28.39</v>
      </c>
      <c r="J191" s="903">
        <f t="shared" si="82"/>
        <v>0.1426633166</v>
      </c>
      <c r="K191" s="315">
        <f t="shared" si="83"/>
        <v>160.61</v>
      </c>
      <c r="L191" s="316">
        <f t="shared" si="84"/>
        <v>5.657273688</v>
      </c>
      <c r="M191" s="317"/>
      <c r="N191" s="373" t="s">
        <v>112</v>
      </c>
      <c r="O191" s="319">
        <v>189.0</v>
      </c>
      <c r="P191" s="844"/>
      <c r="Q191" s="840"/>
      <c r="R191" s="840"/>
      <c r="S191" s="840"/>
      <c r="T191" s="840"/>
      <c r="U191" s="840"/>
      <c r="V191" s="840"/>
      <c r="W191" s="840"/>
      <c r="X191" s="840"/>
      <c r="Y191" s="840"/>
      <c r="Z191" s="840"/>
      <c r="AA191" s="840"/>
      <c r="AB191" s="840"/>
      <c r="AC191" s="840"/>
    </row>
    <row r="192" ht="14.25" customHeight="1" outlineLevel="1">
      <c r="A192" s="845">
        <v>189.0</v>
      </c>
      <c r="B192" s="595" t="s">
        <v>808</v>
      </c>
      <c r="C192" s="595"/>
      <c r="D192" s="595"/>
      <c r="E192" s="595"/>
      <c r="F192" s="596">
        <v>50.0</v>
      </c>
      <c r="G192" s="311">
        <v>199.0</v>
      </c>
      <c r="H192" s="311">
        <v>199.0</v>
      </c>
      <c r="I192" s="345">
        <v>27.19</v>
      </c>
      <c r="J192" s="903">
        <f t="shared" si="82"/>
        <v>0.1366331658</v>
      </c>
      <c r="K192" s="315">
        <f t="shared" si="83"/>
        <v>161.81</v>
      </c>
      <c r="L192" s="316">
        <f t="shared" si="84"/>
        <v>5.951084958</v>
      </c>
      <c r="M192" s="317"/>
      <c r="N192" s="318" t="s">
        <v>112</v>
      </c>
      <c r="O192" s="319">
        <v>189.0</v>
      </c>
      <c r="P192" s="844"/>
      <c r="Q192" s="840"/>
      <c r="R192" s="840"/>
      <c r="S192" s="840"/>
      <c r="T192" s="840"/>
      <c r="U192" s="840"/>
      <c r="V192" s="840"/>
      <c r="W192" s="840"/>
      <c r="X192" s="840"/>
      <c r="Y192" s="840"/>
      <c r="Z192" s="840"/>
      <c r="AA192" s="840"/>
      <c r="AB192" s="840"/>
      <c r="AC192" s="840"/>
    </row>
    <row r="193" ht="14.25" customHeight="1" outlineLevel="1">
      <c r="A193" s="845">
        <v>190.0</v>
      </c>
      <c r="B193" s="595" t="s">
        <v>804</v>
      </c>
      <c r="C193" s="595"/>
      <c r="D193" s="595"/>
      <c r="E193" s="595"/>
      <c r="F193" s="596">
        <v>50.0</v>
      </c>
      <c r="G193" s="311">
        <v>199.0</v>
      </c>
      <c r="H193" s="311">
        <v>199.0</v>
      </c>
      <c r="I193" s="345">
        <v>34.55</v>
      </c>
      <c r="J193" s="903">
        <f t="shared" si="82"/>
        <v>0.1736180905</v>
      </c>
      <c r="K193" s="315">
        <f t="shared" si="83"/>
        <v>154.45</v>
      </c>
      <c r="L193" s="316">
        <f t="shared" si="84"/>
        <v>4.470332851</v>
      </c>
      <c r="M193" s="317"/>
      <c r="N193" s="318" t="s">
        <v>112</v>
      </c>
      <c r="O193" s="319">
        <v>189.0</v>
      </c>
      <c r="P193" s="844"/>
      <c r="Q193" s="840"/>
      <c r="R193" s="840"/>
      <c r="S193" s="840"/>
      <c r="T193" s="840"/>
      <c r="U193" s="840"/>
      <c r="V193" s="840"/>
      <c r="W193" s="840"/>
      <c r="X193" s="840"/>
      <c r="Y193" s="840"/>
      <c r="Z193" s="840"/>
      <c r="AA193" s="840"/>
      <c r="AB193" s="840"/>
      <c r="AC193" s="840"/>
    </row>
    <row r="194" ht="14.25" customHeight="1" outlineLevel="1">
      <c r="A194" s="845">
        <v>191.0</v>
      </c>
      <c r="B194" s="595" t="s">
        <v>805</v>
      </c>
      <c r="C194" s="595"/>
      <c r="D194" s="595"/>
      <c r="E194" s="595"/>
      <c r="F194" s="596">
        <v>50.0</v>
      </c>
      <c r="G194" s="311">
        <v>199.0</v>
      </c>
      <c r="H194" s="311">
        <v>199.0</v>
      </c>
      <c r="I194" s="345">
        <v>31.8</v>
      </c>
      <c r="J194" s="903">
        <f t="shared" si="82"/>
        <v>0.159798995</v>
      </c>
      <c r="K194" s="315">
        <f t="shared" si="83"/>
        <v>157.2</v>
      </c>
      <c r="L194" s="316">
        <f t="shared" si="84"/>
        <v>4.943396226</v>
      </c>
      <c r="M194" s="317"/>
      <c r="N194" s="318" t="s">
        <v>112</v>
      </c>
      <c r="O194" s="319">
        <v>189.0</v>
      </c>
      <c r="P194" s="840"/>
      <c r="Q194" s="840"/>
      <c r="R194" s="840"/>
      <c r="S194" s="840"/>
      <c r="T194" s="840"/>
      <c r="U194" s="840"/>
      <c r="V194" s="840"/>
      <c r="W194" s="840"/>
      <c r="X194" s="840"/>
      <c r="Y194" s="840"/>
      <c r="Z194" s="840"/>
      <c r="AA194" s="840"/>
      <c r="AB194" s="840"/>
      <c r="AC194" s="840"/>
    </row>
    <row r="195" ht="14.25" customHeight="1" outlineLevel="1">
      <c r="A195" s="845">
        <v>192.0</v>
      </c>
      <c r="B195" s="817" t="s">
        <v>806</v>
      </c>
      <c r="C195" s="595"/>
      <c r="D195" s="595"/>
      <c r="E195" s="595"/>
      <c r="F195" s="596">
        <v>50.0</v>
      </c>
      <c r="G195" s="311">
        <v>199.0</v>
      </c>
      <c r="H195" s="311">
        <v>199.0</v>
      </c>
      <c r="I195" s="345">
        <v>33.77</v>
      </c>
      <c r="J195" s="903">
        <f t="shared" si="82"/>
        <v>0.1696984925</v>
      </c>
      <c r="K195" s="315">
        <f t="shared" si="83"/>
        <v>155.23</v>
      </c>
      <c r="L195" s="316">
        <f t="shared" si="84"/>
        <v>4.596683447</v>
      </c>
      <c r="M195" s="317"/>
      <c r="N195" s="318" t="s">
        <v>112</v>
      </c>
      <c r="O195" s="319">
        <v>189.0</v>
      </c>
      <c r="P195" s="844"/>
      <c r="Q195" s="840"/>
      <c r="R195" s="840"/>
      <c r="S195" s="840"/>
      <c r="T195" s="840"/>
      <c r="U195" s="840"/>
      <c r="V195" s="840"/>
      <c r="W195" s="840"/>
      <c r="X195" s="840"/>
      <c r="Y195" s="840"/>
      <c r="Z195" s="840"/>
      <c r="AA195" s="840"/>
      <c r="AB195" s="840"/>
      <c r="AC195" s="840"/>
    </row>
    <row r="196" ht="14.25" customHeight="1" outlineLevel="1">
      <c r="A196" s="285">
        <v>193.0</v>
      </c>
      <c r="B196" s="817" t="s">
        <v>1651</v>
      </c>
      <c r="C196" s="595"/>
      <c r="D196" s="595"/>
      <c r="E196" s="595"/>
      <c r="F196" s="596">
        <v>50.0</v>
      </c>
      <c r="G196" s="311">
        <v>199.0</v>
      </c>
      <c r="H196" s="311">
        <v>199.0</v>
      </c>
      <c r="I196" s="345">
        <v>29.46</v>
      </c>
      <c r="J196" s="903">
        <f t="shared" si="82"/>
        <v>0.148040201</v>
      </c>
      <c r="K196" s="315">
        <f t="shared" si="83"/>
        <v>159.54</v>
      </c>
      <c r="L196" s="316">
        <f t="shared" si="84"/>
        <v>5.415478615</v>
      </c>
      <c r="M196" s="317"/>
      <c r="N196" s="318" t="s">
        <v>112</v>
      </c>
      <c r="O196" s="319">
        <v>189.0</v>
      </c>
      <c r="P196" s="844"/>
      <c r="Q196" s="840"/>
      <c r="R196" s="840"/>
      <c r="S196" s="840"/>
      <c r="T196" s="840"/>
      <c r="U196" s="840"/>
      <c r="V196" s="840"/>
      <c r="W196" s="840"/>
      <c r="X196" s="840"/>
      <c r="Y196" s="840"/>
      <c r="Z196" s="840"/>
      <c r="AA196" s="840"/>
      <c r="AB196" s="840"/>
      <c r="AC196" s="840"/>
    </row>
    <row r="197" ht="14.25" customHeight="1" outlineLevel="1">
      <c r="A197" s="285">
        <v>194.0</v>
      </c>
      <c r="B197" s="595" t="s">
        <v>2217</v>
      </c>
      <c r="C197" s="595"/>
      <c r="D197" s="595"/>
      <c r="E197" s="595"/>
      <c r="F197" s="602">
        <v>350.0</v>
      </c>
      <c r="G197" s="301">
        <v>1299.0</v>
      </c>
      <c r="H197" s="301">
        <v>1299.0</v>
      </c>
      <c r="I197" s="603">
        <v>214.98</v>
      </c>
      <c r="J197" s="903">
        <f t="shared" si="82"/>
        <v>0.1654965358</v>
      </c>
      <c r="K197" s="300">
        <f t="shared" si="83"/>
        <v>1084.02</v>
      </c>
      <c r="L197" s="413">
        <f t="shared" si="84"/>
        <v>5.042422551</v>
      </c>
      <c r="M197" s="331"/>
      <c r="N197" s="318" t="s">
        <v>112</v>
      </c>
      <c r="O197" s="300">
        <v>1299.0</v>
      </c>
      <c r="P197" s="844"/>
      <c r="Q197" s="840"/>
      <c r="R197" s="840"/>
      <c r="S197" s="840"/>
      <c r="T197" s="840"/>
      <c r="U197" s="840"/>
      <c r="V197" s="840"/>
      <c r="W197" s="840"/>
      <c r="X197" s="840"/>
      <c r="Y197" s="840"/>
      <c r="Z197" s="840"/>
      <c r="AA197" s="840"/>
      <c r="AB197" s="840"/>
      <c r="AC197" s="840"/>
    </row>
    <row r="198" ht="14.25" customHeight="1">
      <c r="A198" s="803">
        <v>195.0</v>
      </c>
      <c r="B198" s="594" t="s">
        <v>2218</v>
      </c>
      <c r="C198" s="290"/>
      <c r="D198" s="290"/>
      <c r="E198" s="290"/>
      <c r="F198" s="293"/>
      <c r="G198" s="301"/>
      <c r="H198" s="301"/>
      <c r="I198" s="843"/>
      <c r="J198" s="297">
        <f>AVERAGE(J199:J203)</f>
        <v>0.2089929004</v>
      </c>
      <c r="K198" s="298"/>
      <c r="L198" s="297"/>
      <c r="M198" s="299"/>
      <c r="N198" s="377"/>
      <c r="O198" s="298"/>
      <c r="P198" s="844"/>
      <c r="Q198" s="840"/>
      <c r="R198" s="840"/>
      <c r="S198" s="840"/>
      <c r="T198" s="840"/>
      <c r="U198" s="840"/>
      <c r="V198" s="840"/>
      <c r="W198" s="840"/>
      <c r="X198" s="840"/>
      <c r="Y198" s="840"/>
      <c r="Z198" s="840"/>
      <c r="AA198" s="840"/>
      <c r="AB198" s="840"/>
      <c r="AC198" s="840"/>
    </row>
    <row r="199" ht="14.25" customHeight="1" outlineLevel="1">
      <c r="A199" s="285">
        <v>196.0</v>
      </c>
      <c r="B199" s="595" t="s">
        <v>2219</v>
      </c>
      <c r="C199" s="606"/>
      <c r="D199" s="606"/>
      <c r="E199" s="606"/>
      <c r="F199" s="607">
        <v>50.0</v>
      </c>
      <c r="G199" s="311">
        <v>209.0</v>
      </c>
      <c r="H199" s="311">
        <v>209.0</v>
      </c>
      <c r="I199" s="608">
        <v>38.17</v>
      </c>
      <c r="J199" s="904">
        <f t="shared" ref="J199:J200" si="85">I199/H199</f>
        <v>0.1826315789</v>
      </c>
      <c r="K199" s="315">
        <f t="shared" ref="K199:K200" si="86">O199-I199</f>
        <v>160.83</v>
      </c>
      <c r="L199" s="316">
        <f t="shared" ref="L199:L200" si="87">O199/I199-1</f>
        <v>4.21351847</v>
      </c>
      <c r="M199" s="317"/>
      <c r="N199" s="318" t="s">
        <v>112</v>
      </c>
      <c r="O199" s="319">
        <v>199.0</v>
      </c>
      <c r="P199" s="844"/>
      <c r="Q199" s="840"/>
      <c r="R199" s="840"/>
      <c r="S199" s="840"/>
      <c r="T199" s="840"/>
      <c r="U199" s="840"/>
      <c r="V199" s="840"/>
      <c r="W199" s="840"/>
      <c r="X199" s="840"/>
      <c r="Y199" s="840"/>
      <c r="Z199" s="840"/>
      <c r="AA199" s="840"/>
      <c r="AB199" s="840"/>
      <c r="AC199" s="840"/>
    </row>
    <row r="200" ht="14.25" customHeight="1" outlineLevel="1">
      <c r="A200" s="845">
        <v>197.0</v>
      </c>
      <c r="B200" s="606" t="s">
        <v>805</v>
      </c>
      <c r="C200" s="606"/>
      <c r="D200" s="606"/>
      <c r="E200" s="606"/>
      <c r="F200" s="607">
        <v>50.0</v>
      </c>
      <c r="G200" s="311">
        <v>209.0</v>
      </c>
      <c r="H200" s="311">
        <v>209.0</v>
      </c>
      <c r="I200" s="608">
        <v>41.74</v>
      </c>
      <c r="J200" s="904">
        <f t="shared" si="85"/>
        <v>0.1997129187</v>
      </c>
      <c r="K200" s="315">
        <f t="shared" si="86"/>
        <v>157.26</v>
      </c>
      <c r="L200" s="316">
        <f t="shared" si="87"/>
        <v>3.767609008</v>
      </c>
      <c r="M200" s="317"/>
      <c r="N200" s="318" t="s">
        <v>112</v>
      </c>
      <c r="O200" s="319">
        <v>199.0</v>
      </c>
      <c r="P200" s="844"/>
      <c r="Q200" s="840"/>
      <c r="R200" s="840"/>
      <c r="S200" s="840"/>
      <c r="T200" s="840"/>
      <c r="U200" s="840"/>
      <c r="V200" s="840"/>
      <c r="W200" s="840"/>
      <c r="X200" s="840"/>
      <c r="Y200" s="840"/>
      <c r="Z200" s="840"/>
      <c r="AA200" s="840"/>
      <c r="AB200" s="840"/>
      <c r="AC200" s="840"/>
    </row>
    <row r="201" ht="14.25" customHeight="1">
      <c r="A201" s="803">
        <v>198.0</v>
      </c>
      <c r="B201" s="594" t="s">
        <v>2220</v>
      </c>
      <c r="C201" s="290" t="s">
        <v>2221</v>
      </c>
      <c r="D201" s="290"/>
      <c r="E201" s="290"/>
      <c r="F201" s="293"/>
      <c r="G201" s="301"/>
      <c r="H201" s="301"/>
      <c r="I201" s="843"/>
      <c r="J201" s="297">
        <f>AVERAGE(J202:J215)</f>
        <v>0.2422506115</v>
      </c>
      <c r="K201" s="298"/>
      <c r="L201" s="297"/>
      <c r="M201" s="299"/>
      <c r="N201" s="290"/>
      <c r="O201" s="298"/>
      <c r="P201" s="844"/>
      <c r="Q201" s="840"/>
      <c r="R201" s="840"/>
      <c r="S201" s="840"/>
      <c r="T201" s="840"/>
      <c r="U201" s="840"/>
      <c r="V201" s="840"/>
      <c r="W201" s="840"/>
      <c r="X201" s="840"/>
      <c r="Y201" s="840"/>
      <c r="Z201" s="840"/>
      <c r="AA201" s="840"/>
      <c r="AB201" s="840"/>
      <c r="AC201" s="840"/>
    </row>
    <row r="202" ht="14.25" customHeight="1" outlineLevel="1">
      <c r="A202" s="285">
        <v>199.0</v>
      </c>
      <c r="B202" s="595" t="s">
        <v>813</v>
      </c>
      <c r="C202" s="595" t="s">
        <v>2222</v>
      </c>
      <c r="D202" s="595" t="s">
        <v>814</v>
      </c>
      <c r="E202" s="595"/>
      <c r="F202" s="596">
        <v>60.0</v>
      </c>
      <c r="G202" s="301">
        <v>379.0</v>
      </c>
      <c r="H202" s="301">
        <v>379.0</v>
      </c>
      <c r="I202" s="345">
        <v>72.01</v>
      </c>
      <c r="J202" s="495">
        <f t="shared" ref="J202:J203" si="88">I202/H202</f>
        <v>0.19</v>
      </c>
      <c r="K202" s="411">
        <f t="shared" ref="K202:K203" si="89">O202-I202</f>
        <v>306.99</v>
      </c>
      <c r="L202" s="316">
        <f t="shared" ref="L202:L203" si="90">O202/I202-1</f>
        <v>4.263157895</v>
      </c>
      <c r="M202" s="317"/>
      <c r="N202" s="318" t="s">
        <v>112</v>
      </c>
      <c r="O202" s="300">
        <v>379.0</v>
      </c>
      <c r="P202" s="844"/>
      <c r="Q202" s="840"/>
      <c r="R202" s="840"/>
      <c r="S202" s="840"/>
      <c r="T202" s="840"/>
      <c r="U202" s="840"/>
      <c r="V202" s="840"/>
      <c r="W202" s="840"/>
      <c r="X202" s="840"/>
      <c r="Y202" s="840"/>
      <c r="Z202" s="840"/>
      <c r="AA202" s="840"/>
      <c r="AB202" s="840"/>
      <c r="AC202" s="840"/>
    </row>
    <row r="203" ht="14.25" customHeight="1" outlineLevel="1">
      <c r="A203" s="285">
        <v>200.0</v>
      </c>
      <c r="B203" s="595" t="s">
        <v>815</v>
      </c>
      <c r="C203" s="595" t="s">
        <v>2223</v>
      </c>
      <c r="D203" s="595" t="s">
        <v>816</v>
      </c>
      <c r="E203" s="595"/>
      <c r="F203" s="596">
        <v>60.0</v>
      </c>
      <c r="G203" s="301">
        <v>379.0</v>
      </c>
      <c r="H203" s="301">
        <v>379.0</v>
      </c>
      <c r="I203" s="345">
        <v>87.31</v>
      </c>
      <c r="J203" s="495">
        <f t="shared" si="88"/>
        <v>0.2303693931</v>
      </c>
      <c r="K203" s="411">
        <f t="shared" si="89"/>
        <v>291.69</v>
      </c>
      <c r="L203" s="316">
        <f t="shared" si="90"/>
        <v>3.340854427</v>
      </c>
      <c r="M203" s="317"/>
      <c r="N203" s="318"/>
      <c r="O203" s="300">
        <v>379.0</v>
      </c>
      <c r="P203" s="844"/>
      <c r="Q203" s="840"/>
      <c r="R203" s="840"/>
      <c r="S203" s="840"/>
      <c r="T203" s="840"/>
      <c r="U203" s="840"/>
      <c r="V203" s="840"/>
      <c r="W203" s="840"/>
      <c r="X203" s="840"/>
      <c r="Y203" s="840"/>
      <c r="Z203" s="840"/>
      <c r="AA203" s="840"/>
      <c r="AB203" s="840"/>
      <c r="AC203" s="840"/>
    </row>
    <row r="204" ht="14.25" customHeight="1">
      <c r="A204" s="803">
        <v>201.0</v>
      </c>
      <c r="B204" s="594" t="s">
        <v>2224</v>
      </c>
      <c r="C204" s="290"/>
      <c r="D204" s="290"/>
      <c r="E204" s="290"/>
      <c r="F204" s="293"/>
      <c r="G204" s="301"/>
      <c r="H204" s="301"/>
      <c r="I204" s="843"/>
      <c r="J204" s="297">
        <f>AVERAGE(J205:J206)</f>
        <v>0.3242123544</v>
      </c>
      <c r="K204" s="298"/>
      <c r="L204" s="297"/>
      <c r="M204" s="299"/>
      <c r="N204" s="290"/>
      <c r="O204" s="298"/>
      <c r="P204" s="844"/>
      <c r="Q204" s="840"/>
      <c r="R204" s="840"/>
      <c r="S204" s="840"/>
      <c r="T204" s="840"/>
      <c r="U204" s="840"/>
      <c r="V204" s="840"/>
      <c r="W204" s="840"/>
      <c r="X204" s="840"/>
      <c r="Y204" s="840"/>
      <c r="Z204" s="840"/>
      <c r="AA204" s="840"/>
      <c r="AB204" s="840"/>
      <c r="AC204" s="840"/>
    </row>
    <row r="205" ht="14.25" customHeight="1" outlineLevel="1">
      <c r="A205" s="285">
        <v>202.0</v>
      </c>
      <c r="B205" s="595" t="s">
        <v>2225</v>
      </c>
      <c r="C205" s="595" t="s">
        <v>2226</v>
      </c>
      <c r="D205" s="595" t="s">
        <v>2227</v>
      </c>
      <c r="E205" s="595"/>
      <c r="F205" s="602">
        <v>2000.0</v>
      </c>
      <c r="G205" s="301">
        <v>2799.0</v>
      </c>
      <c r="H205" s="301">
        <v>2799.0</v>
      </c>
      <c r="I205" s="603">
        <v>905.37</v>
      </c>
      <c r="J205" s="332">
        <f t="shared" ref="J205:J206" si="91">I205/H205</f>
        <v>0.3234619507</v>
      </c>
      <c r="K205" s="300">
        <f t="shared" ref="K205:K206" si="92">O205-I205</f>
        <v>1793.63</v>
      </c>
      <c r="L205" s="413">
        <f t="shared" ref="L205:L206" si="93">O205/I205-1</f>
        <v>1.981101649</v>
      </c>
      <c r="M205" s="331"/>
      <c r="N205" s="332" t="s">
        <v>112</v>
      </c>
      <c r="O205" s="300">
        <v>2699.0</v>
      </c>
      <c r="P205" s="874"/>
      <c r="Q205" s="605"/>
      <c r="R205" s="605"/>
      <c r="S205" s="605"/>
      <c r="T205" s="605"/>
      <c r="U205" s="605"/>
      <c r="V205" s="605"/>
      <c r="W205" s="605"/>
      <c r="X205" s="605"/>
      <c r="Y205" s="605"/>
      <c r="Z205" s="605"/>
      <c r="AA205" s="605"/>
      <c r="AB205" s="605"/>
      <c r="AC205" s="605"/>
    </row>
    <row r="206" ht="14.25" customHeight="1" outlineLevel="1">
      <c r="A206" s="285">
        <v>203.0</v>
      </c>
      <c r="B206" s="595" t="s">
        <v>2228</v>
      </c>
      <c r="C206" s="595" t="s">
        <v>2229</v>
      </c>
      <c r="D206" s="595" t="s">
        <v>2230</v>
      </c>
      <c r="E206" s="595"/>
      <c r="F206" s="602">
        <v>2000.0</v>
      </c>
      <c r="G206" s="301">
        <v>4699.0</v>
      </c>
      <c r="H206" s="301">
        <v>4699.0</v>
      </c>
      <c r="I206" s="603">
        <v>1527.0</v>
      </c>
      <c r="J206" s="332">
        <f t="shared" si="91"/>
        <v>0.324962758</v>
      </c>
      <c r="K206" s="300">
        <f t="shared" si="92"/>
        <v>3072</v>
      </c>
      <c r="L206" s="413">
        <f t="shared" si="93"/>
        <v>2.011787819</v>
      </c>
      <c r="M206" s="331"/>
      <c r="N206" s="318" t="s">
        <v>112</v>
      </c>
      <c r="O206" s="300">
        <v>4599.0</v>
      </c>
      <c r="P206" s="840"/>
      <c r="Q206" s="840"/>
      <c r="R206" s="840"/>
      <c r="S206" s="840"/>
      <c r="T206" s="840"/>
      <c r="U206" s="840"/>
      <c r="V206" s="840"/>
      <c r="W206" s="840"/>
      <c r="X206" s="840"/>
      <c r="Y206" s="840"/>
      <c r="Z206" s="840"/>
      <c r="AA206" s="840"/>
      <c r="AB206" s="840"/>
      <c r="AC206" s="840"/>
    </row>
    <row r="207" ht="14.25" customHeight="1">
      <c r="A207" s="803">
        <v>204.0</v>
      </c>
      <c r="B207" s="594" t="s">
        <v>2231</v>
      </c>
      <c r="C207" s="290"/>
      <c r="D207" s="290"/>
      <c r="E207" s="290"/>
      <c r="F207" s="293"/>
      <c r="G207" s="301"/>
      <c r="H207" s="301"/>
      <c r="I207" s="843"/>
      <c r="J207" s="297">
        <f>AVERAGE(J208:J209)</f>
        <v>0.2449384083</v>
      </c>
      <c r="K207" s="298"/>
      <c r="L207" s="297"/>
      <c r="M207" s="299"/>
      <c r="N207" s="290"/>
      <c r="O207" s="298"/>
      <c r="P207" s="844"/>
      <c r="Q207" s="840"/>
      <c r="R207" s="840"/>
      <c r="S207" s="840"/>
      <c r="T207" s="840"/>
      <c r="U207" s="840"/>
      <c r="V207" s="840"/>
      <c r="W207" s="840"/>
      <c r="X207" s="840"/>
      <c r="Y207" s="840"/>
      <c r="Z207" s="840"/>
      <c r="AA207" s="840"/>
      <c r="AB207" s="840"/>
      <c r="AC207" s="840"/>
    </row>
    <row r="208" ht="14.25" customHeight="1" outlineLevel="1">
      <c r="A208" s="285">
        <v>205.0</v>
      </c>
      <c r="B208" s="595" t="s">
        <v>2232</v>
      </c>
      <c r="C208" s="595" t="s">
        <v>2233</v>
      </c>
      <c r="D208" s="595" t="s">
        <v>2234</v>
      </c>
      <c r="E208" s="595"/>
      <c r="F208" s="602">
        <v>300.0</v>
      </c>
      <c r="G208" s="301">
        <v>429.0</v>
      </c>
      <c r="H208" s="301">
        <v>429.0</v>
      </c>
      <c r="I208" s="603">
        <v>107.67</v>
      </c>
      <c r="J208" s="905">
        <f t="shared" ref="J208:J212" si="94">I208/H208</f>
        <v>0.250979021</v>
      </c>
      <c r="K208" s="300">
        <f t="shared" ref="K208:K212" si="95">O208-I208</f>
        <v>291.33</v>
      </c>
      <c r="L208" s="413">
        <f t="shared" ref="L208:L212" si="96">O208/I208-1</f>
        <v>2.705767623</v>
      </c>
      <c r="M208" s="331"/>
      <c r="N208" s="318" t="s">
        <v>112</v>
      </c>
      <c r="O208" s="300">
        <v>399.0</v>
      </c>
      <c r="P208" s="844"/>
      <c r="Q208" s="840"/>
      <c r="R208" s="840"/>
      <c r="S208" s="840"/>
      <c r="T208" s="840"/>
      <c r="U208" s="840"/>
      <c r="V208" s="840"/>
      <c r="W208" s="840"/>
      <c r="X208" s="840"/>
      <c r="Y208" s="840"/>
      <c r="Z208" s="840"/>
      <c r="AA208" s="840"/>
      <c r="AB208" s="840"/>
      <c r="AC208" s="840"/>
    </row>
    <row r="209" ht="14.25" customHeight="1" outlineLevel="1">
      <c r="A209" s="285">
        <v>206.0</v>
      </c>
      <c r="B209" s="595" t="s">
        <v>2235</v>
      </c>
      <c r="C209" s="595" t="s">
        <v>2236</v>
      </c>
      <c r="D209" s="595" t="s">
        <v>2237</v>
      </c>
      <c r="E209" s="595"/>
      <c r="F209" s="602">
        <v>300.0</v>
      </c>
      <c r="G209" s="301">
        <v>499.0</v>
      </c>
      <c r="H209" s="301">
        <v>499.0</v>
      </c>
      <c r="I209" s="603">
        <v>119.21</v>
      </c>
      <c r="J209" s="905">
        <f t="shared" si="94"/>
        <v>0.2388977956</v>
      </c>
      <c r="K209" s="300">
        <f t="shared" si="95"/>
        <v>379.79</v>
      </c>
      <c r="L209" s="413">
        <f t="shared" si="96"/>
        <v>3.185890445</v>
      </c>
      <c r="M209" s="331"/>
      <c r="N209" s="318" t="s">
        <v>112</v>
      </c>
      <c r="O209" s="300">
        <v>499.0</v>
      </c>
      <c r="P209" s="844"/>
      <c r="Q209" s="840"/>
      <c r="R209" s="840"/>
      <c r="S209" s="840"/>
      <c r="T209" s="840"/>
      <c r="U209" s="840"/>
      <c r="V209" s="840"/>
      <c r="W209" s="840"/>
      <c r="X209" s="840"/>
      <c r="Y209" s="840"/>
      <c r="Z209" s="840"/>
      <c r="AA209" s="840"/>
      <c r="AB209" s="840"/>
      <c r="AC209" s="840"/>
    </row>
    <row r="210" ht="14.25" customHeight="1" outlineLevel="1">
      <c r="A210" s="285">
        <v>207.0</v>
      </c>
      <c r="B210" s="595" t="s">
        <v>2238</v>
      </c>
      <c r="C210" s="595" t="s">
        <v>2239</v>
      </c>
      <c r="D210" s="595" t="s">
        <v>2240</v>
      </c>
      <c r="E210" s="595"/>
      <c r="F210" s="602">
        <v>300.0</v>
      </c>
      <c r="G210" s="301">
        <v>549.0</v>
      </c>
      <c r="H210" s="301">
        <v>549.0</v>
      </c>
      <c r="I210" s="603">
        <v>143.7</v>
      </c>
      <c r="J210" s="905">
        <f t="shared" si="94"/>
        <v>0.2617486339</v>
      </c>
      <c r="K210" s="300">
        <f t="shared" si="95"/>
        <v>355.3</v>
      </c>
      <c r="L210" s="413">
        <f t="shared" si="96"/>
        <v>2.472512178</v>
      </c>
      <c r="M210" s="331"/>
      <c r="N210" s="318" t="s">
        <v>112</v>
      </c>
      <c r="O210" s="300">
        <v>499.0</v>
      </c>
      <c r="P210" s="844"/>
      <c r="Q210" s="840"/>
      <c r="R210" s="840"/>
      <c r="S210" s="840"/>
      <c r="T210" s="840"/>
      <c r="U210" s="840"/>
      <c r="V210" s="840"/>
      <c r="W210" s="840"/>
      <c r="X210" s="840"/>
      <c r="Y210" s="840"/>
      <c r="Z210" s="840"/>
      <c r="AA210" s="840"/>
      <c r="AB210" s="840"/>
      <c r="AC210" s="840"/>
    </row>
    <row r="211" ht="14.25" customHeight="1" outlineLevel="1">
      <c r="A211" s="285">
        <v>208.0</v>
      </c>
      <c r="B211" s="595" t="s">
        <v>2241</v>
      </c>
      <c r="C211" s="595" t="s">
        <v>2242</v>
      </c>
      <c r="D211" s="595" t="s">
        <v>2243</v>
      </c>
      <c r="E211" s="595"/>
      <c r="F211" s="602">
        <v>300.0</v>
      </c>
      <c r="G211" s="301">
        <v>549.0</v>
      </c>
      <c r="H211" s="301">
        <v>549.0</v>
      </c>
      <c r="I211" s="603">
        <v>146.45</v>
      </c>
      <c r="J211" s="905">
        <f t="shared" si="94"/>
        <v>0.2667577413</v>
      </c>
      <c r="K211" s="300">
        <f t="shared" si="95"/>
        <v>402.55</v>
      </c>
      <c r="L211" s="413">
        <f t="shared" si="96"/>
        <v>2.7487197</v>
      </c>
      <c r="M211" s="331"/>
      <c r="N211" s="318" t="s">
        <v>112</v>
      </c>
      <c r="O211" s="300">
        <v>549.0</v>
      </c>
      <c r="P211" s="844"/>
      <c r="Q211" s="840"/>
      <c r="R211" s="840"/>
      <c r="S211" s="840"/>
      <c r="T211" s="840"/>
      <c r="U211" s="840"/>
      <c r="V211" s="840"/>
      <c r="W211" s="840"/>
      <c r="X211" s="840"/>
      <c r="Y211" s="840"/>
      <c r="Z211" s="840"/>
      <c r="AA211" s="840"/>
      <c r="AB211" s="840"/>
      <c r="AC211" s="840"/>
    </row>
    <row r="212" ht="14.25" customHeight="1" outlineLevel="1">
      <c r="A212" s="285">
        <v>209.0</v>
      </c>
      <c r="B212" s="595" t="s">
        <v>2244</v>
      </c>
      <c r="C212" s="595" t="s">
        <v>2245</v>
      </c>
      <c r="D212" s="595" t="s">
        <v>2246</v>
      </c>
      <c r="E212" s="595" t="s">
        <v>2247</v>
      </c>
      <c r="F212" s="602">
        <v>300.0</v>
      </c>
      <c r="G212" s="301">
        <v>549.0</v>
      </c>
      <c r="H212" s="301">
        <v>549.0</v>
      </c>
      <c r="I212" s="603">
        <v>134.33</v>
      </c>
      <c r="J212" s="905">
        <f t="shared" si="94"/>
        <v>0.2446812386</v>
      </c>
      <c r="K212" s="300">
        <f t="shared" si="95"/>
        <v>414.67</v>
      </c>
      <c r="L212" s="413">
        <f t="shared" si="96"/>
        <v>3.086950048</v>
      </c>
      <c r="M212" s="331"/>
      <c r="N212" s="318" t="s">
        <v>112</v>
      </c>
      <c r="O212" s="300">
        <v>549.0</v>
      </c>
      <c r="P212" s="840"/>
      <c r="Q212" s="840"/>
      <c r="R212" s="840"/>
      <c r="S212" s="840"/>
      <c r="T212" s="840"/>
      <c r="U212" s="840"/>
      <c r="V212" s="840"/>
      <c r="W212" s="840"/>
      <c r="X212" s="840"/>
      <c r="Y212" s="840"/>
      <c r="Z212" s="840"/>
      <c r="AA212" s="840"/>
      <c r="AB212" s="840"/>
      <c r="AC212" s="840"/>
    </row>
    <row r="213" ht="14.25" customHeight="1">
      <c r="A213" s="803">
        <v>210.0</v>
      </c>
      <c r="B213" s="594" t="s">
        <v>2248</v>
      </c>
      <c r="C213" s="290" t="s">
        <v>2249</v>
      </c>
      <c r="D213" s="290"/>
      <c r="E213" s="290"/>
      <c r="F213" s="293"/>
      <c r="G213" s="301"/>
      <c r="H213" s="301"/>
      <c r="I213" s="843"/>
      <c r="J213" s="297">
        <f>AVERAGE(J214:J217)</f>
        <v>0.1559762978</v>
      </c>
      <c r="K213" s="298"/>
      <c r="L213" s="297"/>
      <c r="M213" s="299"/>
      <c r="N213" s="297"/>
      <c r="O213" s="298"/>
      <c r="P213" s="844"/>
      <c r="Q213" s="840"/>
      <c r="R213" s="840"/>
      <c r="S213" s="840"/>
      <c r="T213" s="840"/>
      <c r="U213" s="840"/>
      <c r="V213" s="840"/>
      <c r="W213" s="840"/>
      <c r="X213" s="840"/>
      <c r="Y213" s="840"/>
      <c r="Z213" s="840"/>
      <c r="AA213" s="840"/>
      <c r="AB213" s="840"/>
      <c r="AC213" s="840"/>
    </row>
    <row r="214" ht="14.25" customHeight="1" outlineLevel="1">
      <c r="A214" s="285">
        <v>211.0</v>
      </c>
      <c r="B214" s="595" t="s">
        <v>2250</v>
      </c>
      <c r="C214" s="595" t="s">
        <v>2251</v>
      </c>
      <c r="D214" s="595" t="s">
        <v>2252</v>
      </c>
      <c r="E214" s="595"/>
      <c r="F214" s="602">
        <v>300.0</v>
      </c>
      <c r="G214" s="301">
        <v>849.0</v>
      </c>
      <c r="H214" s="301">
        <v>849.0</v>
      </c>
      <c r="I214" s="603">
        <v>172.73</v>
      </c>
      <c r="J214" s="463">
        <f t="shared" ref="J214:J219" si="97">I214/H214</f>
        <v>0.203451119</v>
      </c>
      <c r="K214" s="300">
        <f t="shared" ref="K214:K219" si="98">O214-I214</f>
        <v>626.27</v>
      </c>
      <c r="L214" s="413">
        <f t="shared" ref="L214:L219" si="99">O214/I214-1</f>
        <v>3.625716436</v>
      </c>
      <c r="M214" s="331"/>
      <c r="N214" s="318" t="s">
        <v>112</v>
      </c>
      <c r="O214" s="300">
        <v>799.0</v>
      </c>
      <c r="P214" s="844"/>
      <c r="Q214" s="840"/>
      <c r="R214" s="840"/>
      <c r="S214" s="840"/>
      <c r="T214" s="840"/>
      <c r="U214" s="840"/>
      <c r="V214" s="840"/>
      <c r="W214" s="840"/>
      <c r="X214" s="840"/>
      <c r="Y214" s="840"/>
      <c r="Z214" s="840"/>
      <c r="AA214" s="840"/>
      <c r="AB214" s="840"/>
      <c r="AC214" s="840"/>
    </row>
    <row r="215" ht="14.25" customHeight="1" outlineLevel="1">
      <c r="A215" s="285">
        <v>212.0</v>
      </c>
      <c r="B215" s="595" t="s">
        <v>939</v>
      </c>
      <c r="C215" s="595" t="s">
        <v>2253</v>
      </c>
      <c r="D215" s="595" t="s">
        <v>940</v>
      </c>
      <c r="E215" s="595"/>
      <c r="F215" s="602">
        <v>300.0</v>
      </c>
      <c r="G215" s="301">
        <v>849.0</v>
      </c>
      <c r="H215" s="301">
        <v>849.0</v>
      </c>
      <c r="I215" s="603">
        <v>111.28</v>
      </c>
      <c r="J215" s="463">
        <f t="shared" si="97"/>
        <v>0.1310718492</v>
      </c>
      <c r="K215" s="300">
        <f t="shared" si="98"/>
        <v>687.72</v>
      </c>
      <c r="L215" s="413">
        <f t="shared" si="99"/>
        <v>6.180086269</v>
      </c>
      <c r="M215" s="331"/>
      <c r="N215" s="318" t="s">
        <v>112</v>
      </c>
      <c r="O215" s="300">
        <v>799.0</v>
      </c>
      <c r="P215" s="844"/>
      <c r="Q215" s="840"/>
      <c r="R215" s="840"/>
      <c r="S215" s="840"/>
      <c r="T215" s="840"/>
      <c r="U215" s="840"/>
      <c r="V215" s="840"/>
      <c r="W215" s="840"/>
      <c r="X215" s="840"/>
      <c r="Y215" s="840"/>
      <c r="Z215" s="840"/>
      <c r="AA215" s="840"/>
      <c r="AB215" s="840"/>
      <c r="AC215" s="840"/>
    </row>
    <row r="216" ht="14.25" customHeight="1" outlineLevel="1">
      <c r="A216" s="285">
        <v>213.0</v>
      </c>
      <c r="B216" s="595" t="s">
        <v>941</v>
      </c>
      <c r="C216" s="595" t="s">
        <v>2254</v>
      </c>
      <c r="D216" s="595" t="s">
        <v>942</v>
      </c>
      <c r="E216" s="595"/>
      <c r="F216" s="602">
        <v>300.0</v>
      </c>
      <c r="G216" s="301">
        <v>799.0</v>
      </c>
      <c r="H216" s="301">
        <v>799.0</v>
      </c>
      <c r="I216" s="603">
        <v>85.14</v>
      </c>
      <c r="J216" s="463">
        <f t="shared" si="97"/>
        <v>0.1065581977</v>
      </c>
      <c r="K216" s="300">
        <f t="shared" si="98"/>
        <v>713.86</v>
      </c>
      <c r="L216" s="413">
        <f t="shared" si="99"/>
        <v>8.384543105</v>
      </c>
      <c r="M216" s="331"/>
      <c r="N216" s="318" t="s">
        <v>112</v>
      </c>
      <c r="O216" s="300">
        <v>799.0</v>
      </c>
      <c r="P216" s="844"/>
      <c r="Q216" s="840"/>
      <c r="R216" s="840"/>
      <c r="S216" s="840"/>
      <c r="T216" s="840"/>
      <c r="U216" s="840"/>
      <c r="V216" s="840"/>
      <c r="W216" s="840"/>
      <c r="X216" s="840"/>
      <c r="Y216" s="840"/>
      <c r="Z216" s="840"/>
      <c r="AA216" s="840"/>
      <c r="AB216" s="840"/>
      <c r="AC216" s="840"/>
    </row>
    <row r="217" ht="14.25" customHeight="1" outlineLevel="1">
      <c r="A217" s="285">
        <v>214.0</v>
      </c>
      <c r="B217" s="595" t="s">
        <v>2255</v>
      </c>
      <c r="C217" s="595" t="s">
        <v>2256</v>
      </c>
      <c r="D217" s="595" t="s">
        <v>2257</v>
      </c>
      <c r="E217" s="595"/>
      <c r="F217" s="602">
        <v>300.0</v>
      </c>
      <c r="G217" s="301">
        <v>949.0</v>
      </c>
      <c r="H217" s="301">
        <v>949.0</v>
      </c>
      <c r="I217" s="603">
        <v>173.5</v>
      </c>
      <c r="J217" s="463">
        <f t="shared" si="97"/>
        <v>0.1828240253</v>
      </c>
      <c r="K217" s="300">
        <f t="shared" si="98"/>
        <v>725.5</v>
      </c>
      <c r="L217" s="413">
        <f t="shared" si="99"/>
        <v>4.181556196</v>
      </c>
      <c r="M217" s="331"/>
      <c r="N217" s="318"/>
      <c r="O217" s="300">
        <v>899.0</v>
      </c>
      <c r="P217" s="844"/>
      <c r="Q217" s="840"/>
      <c r="R217" s="840"/>
      <c r="S217" s="840"/>
      <c r="T217" s="840"/>
      <c r="U217" s="840"/>
      <c r="V217" s="840"/>
      <c r="W217" s="840"/>
      <c r="X217" s="840"/>
      <c r="Y217" s="840"/>
      <c r="Z217" s="840"/>
      <c r="AA217" s="840"/>
      <c r="AB217" s="840"/>
      <c r="AC217" s="840"/>
    </row>
    <row r="218" ht="14.25" customHeight="1" outlineLevel="1">
      <c r="A218" s="285">
        <v>215.0</v>
      </c>
      <c r="B218" s="595" t="s">
        <v>831</v>
      </c>
      <c r="C218" s="595" t="s">
        <v>2258</v>
      </c>
      <c r="D218" s="595"/>
      <c r="E218" s="595"/>
      <c r="F218" s="602">
        <v>2500.0</v>
      </c>
      <c r="G218" s="301">
        <v>2999.0</v>
      </c>
      <c r="H218" s="301">
        <v>2999.0</v>
      </c>
      <c r="I218" s="603">
        <v>409.33</v>
      </c>
      <c r="J218" s="463">
        <f t="shared" si="97"/>
        <v>0.1364888296</v>
      </c>
      <c r="K218" s="300">
        <f t="shared" si="98"/>
        <v>-409.33</v>
      </c>
      <c r="L218" s="413">
        <f t="shared" si="99"/>
        <v>-1</v>
      </c>
      <c r="M218" s="331"/>
      <c r="N218" s="318"/>
      <c r="O218" s="821"/>
      <c r="P218" s="844"/>
      <c r="Q218" s="840"/>
      <c r="R218" s="840"/>
      <c r="S218" s="840"/>
      <c r="T218" s="840"/>
      <c r="U218" s="840"/>
      <c r="V218" s="840"/>
      <c r="W218" s="840"/>
      <c r="X218" s="840"/>
      <c r="Y218" s="840"/>
      <c r="Z218" s="840"/>
      <c r="AA218" s="840"/>
      <c r="AB218" s="840"/>
      <c r="AC218" s="840"/>
    </row>
    <row r="219" ht="14.25" customHeight="1" outlineLevel="1">
      <c r="A219" s="285">
        <v>216.0</v>
      </c>
      <c r="B219" s="595" t="s">
        <v>2259</v>
      </c>
      <c r="C219" s="595" t="s">
        <v>2260</v>
      </c>
      <c r="D219" s="595"/>
      <c r="E219" s="595"/>
      <c r="F219" s="602">
        <v>900.0</v>
      </c>
      <c r="G219" s="301">
        <v>1299.0</v>
      </c>
      <c r="H219" s="301">
        <v>1299.0</v>
      </c>
      <c r="I219" s="603">
        <v>254.08</v>
      </c>
      <c r="J219" s="463">
        <f t="shared" si="97"/>
        <v>0.1955966128</v>
      </c>
      <c r="K219" s="300">
        <f t="shared" si="98"/>
        <v>-254.08</v>
      </c>
      <c r="L219" s="413">
        <f t="shared" si="99"/>
        <v>-1</v>
      </c>
      <c r="M219" s="331"/>
      <c r="N219" s="318"/>
      <c r="O219" s="821"/>
      <c r="P219" s="844"/>
      <c r="Q219" s="840"/>
      <c r="R219" s="840"/>
      <c r="S219" s="840"/>
      <c r="T219" s="840"/>
      <c r="U219" s="840"/>
      <c r="V219" s="840"/>
      <c r="W219" s="840"/>
      <c r="X219" s="840"/>
      <c r="Y219" s="840"/>
      <c r="Z219" s="840"/>
      <c r="AA219" s="840"/>
      <c r="AB219" s="840"/>
      <c r="AC219" s="840"/>
    </row>
    <row r="220" ht="18.75" customHeight="1">
      <c r="A220" s="803">
        <v>217.0</v>
      </c>
      <c r="B220" s="818" t="s">
        <v>843</v>
      </c>
      <c r="C220" s="290" t="s">
        <v>1411</v>
      </c>
      <c r="D220" s="290"/>
      <c r="E220" s="290"/>
      <c r="F220" s="293"/>
      <c r="G220" s="301"/>
      <c r="H220" s="301"/>
      <c r="I220" s="843"/>
      <c r="J220" s="297">
        <f>AVERAGE(J221:J226)</f>
        <v>0.1811155659</v>
      </c>
      <c r="K220" s="298"/>
      <c r="L220" s="297"/>
      <c r="M220" s="299"/>
      <c r="N220" s="297"/>
      <c r="O220" s="298"/>
      <c r="P220" s="844"/>
      <c r="Q220" s="840"/>
      <c r="R220" s="840"/>
      <c r="S220" s="840"/>
      <c r="T220" s="840"/>
      <c r="U220" s="840"/>
      <c r="V220" s="840"/>
      <c r="W220" s="840"/>
      <c r="X220" s="840"/>
      <c r="Y220" s="840"/>
      <c r="Z220" s="840"/>
      <c r="AA220" s="840"/>
      <c r="AB220" s="840"/>
      <c r="AC220" s="840"/>
    </row>
    <row r="221" ht="14.25" customHeight="1" outlineLevel="1">
      <c r="A221" s="285">
        <v>218.0</v>
      </c>
      <c r="B221" s="595" t="s">
        <v>845</v>
      </c>
      <c r="C221" s="595"/>
      <c r="D221" s="595"/>
      <c r="E221" s="595"/>
      <c r="F221" s="596">
        <v>50.0</v>
      </c>
      <c r="G221" s="311">
        <v>189.0</v>
      </c>
      <c r="H221" s="311">
        <v>189.0</v>
      </c>
      <c r="I221" s="345">
        <v>33.82</v>
      </c>
      <c r="J221" s="332">
        <f t="shared" ref="J221:J226" si="100">I221/H221</f>
        <v>0.1789417989</v>
      </c>
      <c r="K221" s="319">
        <f t="shared" ref="K221:K226" si="101">O221-I221</f>
        <v>135.18</v>
      </c>
      <c r="L221" s="332">
        <f t="shared" ref="L221:L226" si="102">O221/I221-1</f>
        <v>3.99704317</v>
      </c>
      <c r="M221" s="331"/>
      <c r="N221" s="285" t="s">
        <v>112</v>
      </c>
      <c r="O221" s="319">
        <v>169.0</v>
      </c>
      <c r="P221" s="332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B221" s="285"/>
      <c r="AC221" s="285"/>
    </row>
    <row r="222" ht="14.25" customHeight="1" outlineLevel="1">
      <c r="A222" s="285">
        <v>219.0</v>
      </c>
      <c r="B222" s="817" t="s">
        <v>1412</v>
      </c>
      <c r="C222" s="595"/>
      <c r="D222" s="595"/>
      <c r="E222" s="595"/>
      <c r="F222" s="596">
        <v>50.0</v>
      </c>
      <c r="G222" s="311">
        <v>279.0</v>
      </c>
      <c r="H222" s="311">
        <v>279.0</v>
      </c>
      <c r="I222" s="345">
        <v>43.47</v>
      </c>
      <c r="J222" s="332">
        <f t="shared" si="100"/>
        <v>0.1558064516</v>
      </c>
      <c r="K222" s="319">
        <f t="shared" si="101"/>
        <v>205.53</v>
      </c>
      <c r="L222" s="332">
        <f t="shared" si="102"/>
        <v>4.728088337</v>
      </c>
      <c r="M222" s="331"/>
      <c r="N222" s="285" t="s">
        <v>112</v>
      </c>
      <c r="O222" s="319">
        <v>249.0</v>
      </c>
      <c r="P222" s="874"/>
      <c r="Q222" s="605"/>
      <c r="R222" s="605"/>
      <c r="S222" s="605"/>
      <c r="T222" s="605"/>
      <c r="U222" s="605"/>
      <c r="V222" s="605"/>
      <c r="W222" s="605"/>
      <c r="X222" s="605"/>
      <c r="Y222" s="605"/>
      <c r="Z222" s="605"/>
      <c r="AA222" s="605"/>
      <c r="AB222" s="605"/>
      <c r="AC222" s="605"/>
    </row>
    <row r="223" ht="14.25" customHeight="1" outlineLevel="1">
      <c r="A223" s="285">
        <v>220.0</v>
      </c>
      <c r="B223" s="817" t="s">
        <v>1413</v>
      </c>
      <c r="C223" s="595"/>
      <c r="D223" s="595"/>
      <c r="E223" s="595"/>
      <c r="F223" s="596">
        <v>50.0</v>
      </c>
      <c r="G223" s="311">
        <v>259.0</v>
      </c>
      <c r="H223" s="311">
        <v>259.0</v>
      </c>
      <c r="I223" s="345">
        <v>45.8</v>
      </c>
      <c r="J223" s="332">
        <f t="shared" si="100"/>
        <v>0.1768339768</v>
      </c>
      <c r="K223" s="300">
        <f t="shared" si="101"/>
        <v>193.2</v>
      </c>
      <c r="L223" s="332">
        <f t="shared" si="102"/>
        <v>4.218340611</v>
      </c>
      <c r="M223" s="331"/>
      <c r="N223" s="285" t="s">
        <v>112</v>
      </c>
      <c r="O223" s="319">
        <v>239.0</v>
      </c>
      <c r="P223" s="605"/>
      <c r="Q223" s="605"/>
      <c r="R223" s="605"/>
      <c r="S223" s="605"/>
      <c r="T223" s="605"/>
      <c r="U223" s="605"/>
      <c r="V223" s="605"/>
      <c r="W223" s="605"/>
      <c r="X223" s="605"/>
      <c r="Y223" s="605"/>
      <c r="Z223" s="605"/>
      <c r="AA223" s="605"/>
      <c r="AB223" s="605"/>
      <c r="AC223" s="605"/>
    </row>
    <row r="224" ht="14.25" customHeight="1" outlineLevel="1">
      <c r="A224" s="285">
        <v>221.0</v>
      </c>
      <c r="B224" s="595" t="s">
        <v>2261</v>
      </c>
      <c r="C224" s="595"/>
      <c r="D224" s="595"/>
      <c r="E224" s="595"/>
      <c r="F224" s="596">
        <v>50.0</v>
      </c>
      <c r="G224" s="311">
        <v>379.0</v>
      </c>
      <c r="H224" s="311">
        <v>379.0</v>
      </c>
      <c r="I224" s="345">
        <v>92.15</v>
      </c>
      <c r="J224" s="332">
        <f t="shared" si="100"/>
        <v>0.2431398417</v>
      </c>
      <c r="K224" s="319">
        <f t="shared" si="101"/>
        <v>256.85</v>
      </c>
      <c r="L224" s="332">
        <f t="shared" si="102"/>
        <v>2.78730331</v>
      </c>
      <c r="M224" s="331"/>
      <c r="N224" s="285" t="s">
        <v>112</v>
      </c>
      <c r="O224" s="319">
        <v>349.0</v>
      </c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B224" s="285"/>
      <c r="AC224" s="285"/>
    </row>
    <row r="225" ht="14.25" customHeight="1" outlineLevel="1">
      <c r="A225" s="285">
        <v>222.0</v>
      </c>
      <c r="B225" s="817" t="s">
        <v>1414</v>
      </c>
      <c r="C225" s="595"/>
      <c r="D225" s="595"/>
      <c r="E225" s="595"/>
      <c r="F225" s="596">
        <v>50.0</v>
      </c>
      <c r="G225" s="311">
        <v>279.0</v>
      </c>
      <c r="H225" s="311">
        <v>279.0</v>
      </c>
      <c r="I225" s="345">
        <v>46.31</v>
      </c>
      <c r="J225" s="332">
        <f t="shared" si="100"/>
        <v>0.1659856631</v>
      </c>
      <c r="K225" s="300">
        <f t="shared" si="101"/>
        <v>-46.31</v>
      </c>
      <c r="L225" s="332">
        <f t="shared" si="102"/>
        <v>-1</v>
      </c>
      <c r="M225" s="331"/>
      <c r="N225" s="285"/>
      <c r="O225" s="580"/>
      <c r="P225" s="605"/>
      <c r="Q225" s="605"/>
      <c r="R225" s="605"/>
      <c r="S225" s="605"/>
      <c r="T225" s="605"/>
      <c r="U225" s="605"/>
      <c r="V225" s="605"/>
      <c r="W225" s="605"/>
      <c r="X225" s="605"/>
      <c r="Y225" s="605"/>
      <c r="Z225" s="605"/>
      <c r="AA225" s="605"/>
      <c r="AB225" s="605"/>
      <c r="AC225" s="605"/>
    </row>
    <row r="226" ht="14.25" customHeight="1" outlineLevel="1">
      <c r="A226" s="285">
        <v>223.0</v>
      </c>
      <c r="B226" s="817" t="s">
        <v>1415</v>
      </c>
      <c r="C226" s="595"/>
      <c r="D226" s="595"/>
      <c r="E226" s="595"/>
      <c r="F226" s="596">
        <v>50.0</v>
      </c>
      <c r="G226" s="311">
        <v>279.0</v>
      </c>
      <c r="H226" s="311">
        <v>279.0</v>
      </c>
      <c r="I226" s="345">
        <v>46.31</v>
      </c>
      <c r="J226" s="332">
        <f t="shared" si="100"/>
        <v>0.1659856631</v>
      </c>
      <c r="K226" s="300">
        <f t="shared" si="101"/>
        <v>-46.31</v>
      </c>
      <c r="L226" s="332">
        <f t="shared" si="102"/>
        <v>-1</v>
      </c>
      <c r="M226" s="331"/>
      <c r="N226" s="285"/>
      <c r="O226" s="580"/>
      <c r="P226" s="605"/>
      <c r="Q226" s="605"/>
      <c r="R226" s="605"/>
      <c r="S226" s="605"/>
      <c r="T226" s="605"/>
      <c r="U226" s="605"/>
      <c r="V226" s="605"/>
      <c r="W226" s="605"/>
      <c r="X226" s="605"/>
      <c r="Y226" s="605"/>
      <c r="Z226" s="605"/>
      <c r="AA226" s="605"/>
      <c r="AB226" s="605"/>
      <c r="AC226" s="605"/>
    </row>
    <row r="227" ht="14.25" customHeight="1">
      <c r="A227" s="803">
        <v>224.0</v>
      </c>
      <c r="B227" s="819" t="s">
        <v>1416</v>
      </c>
      <c r="C227" s="290"/>
      <c r="D227" s="290"/>
      <c r="E227" s="290"/>
      <c r="F227" s="293"/>
      <c r="G227" s="301"/>
      <c r="H227" s="301"/>
      <c r="I227" s="843"/>
      <c r="J227" s="297">
        <f>AVERAGE(J228)</f>
        <v>0.2968781302</v>
      </c>
      <c r="K227" s="298"/>
      <c r="L227" s="297"/>
      <c r="M227" s="299"/>
      <c r="N227" s="297"/>
      <c r="O227" s="298"/>
      <c r="P227" s="844"/>
      <c r="Q227" s="840"/>
      <c r="R227" s="840"/>
      <c r="S227" s="840"/>
      <c r="T227" s="840"/>
      <c r="U227" s="840"/>
      <c r="V227" s="840"/>
      <c r="W227" s="840"/>
      <c r="X227" s="840"/>
      <c r="Y227" s="840"/>
      <c r="Z227" s="840"/>
      <c r="AA227" s="840"/>
      <c r="AB227" s="840"/>
      <c r="AC227" s="840"/>
    </row>
    <row r="228" ht="14.25" customHeight="1" outlineLevel="1">
      <c r="A228" s="285">
        <v>225.0</v>
      </c>
      <c r="B228" s="820" t="s">
        <v>1417</v>
      </c>
      <c r="C228" s="595"/>
      <c r="D228" s="595"/>
      <c r="E228" s="595"/>
      <c r="F228" s="596">
        <v>50.0</v>
      </c>
      <c r="G228" s="311">
        <v>599.0</v>
      </c>
      <c r="H228" s="311">
        <v>599.0</v>
      </c>
      <c r="I228" s="345">
        <v>177.83</v>
      </c>
      <c r="J228" s="332">
        <f>I228/H228</f>
        <v>0.2968781302</v>
      </c>
      <c r="K228" s="319">
        <f>O228-I228</f>
        <v>401.17</v>
      </c>
      <c r="L228" s="332">
        <f>O228/I228-1</f>
        <v>2.255918574</v>
      </c>
      <c r="M228" s="331"/>
      <c r="N228" s="285" t="s">
        <v>112</v>
      </c>
      <c r="O228" s="319">
        <v>579.0</v>
      </c>
      <c r="P228" s="332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B228" s="285"/>
      <c r="AC228" s="285"/>
    </row>
    <row r="229" ht="14.25" customHeight="1">
      <c r="A229" s="803">
        <v>226.0</v>
      </c>
      <c r="B229" s="594" t="s">
        <v>1418</v>
      </c>
      <c r="C229" s="290" t="s">
        <v>1419</v>
      </c>
      <c r="D229" s="290"/>
      <c r="E229" s="290"/>
      <c r="F229" s="293"/>
      <c r="G229" s="301"/>
      <c r="H229" s="301"/>
      <c r="I229" s="843"/>
      <c r="J229" s="297">
        <f>AVERAGE(J230:J237)</f>
        <v>0.2486135057</v>
      </c>
      <c r="K229" s="298"/>
      <c r="L229" s="297"/>
      <c r="M229" s="299"/>
      <c r="N229" s="290"/>
      <c r="O229" s="298"/>
      <c r="P229" s="844"/>
      <c r="Q229" s="840"/>
      <c r="R229" s="840"/>
      <c r="S229" s="840"/>
      <c r="T229" s="840"/>
      <c r="U229" s="840"/>
      <c r="V229" s="840"/>
      <c r="W229" s="840"/>
      <c r="X229" s="840"/>
      <c r="Y229" s="840"/>
      <c r="Z229" s="840"/>
      <c r="AA229" s="840"/>
      <c r="AB229" s="840"/>
      <c r="AC229" s="840"/>
    </row>
    <row r="230" ht="14.25" customHeight="1" outlineLevel="1">
      <c r="A230" s="285">
        <v>227.0</v>
      </c>
      <c r="B230" s="595" t="s">
        <v>1420</v>
      </c>
      <c r="C230" s="595"/>
      <c r="D230" s="595"/>
      <c r="E230" s="595"/>
      <c r="F230" s="602">
        <v>50.0</v>
      </c>
      <c r="G230" s="301">
        <v>759.0</v>
      </c>
      <c r="H230" s="301">
        <v>759.0</v>
      </c>
      <c r="I230" s="603">
        <v>182.85</v>
      </c>
      <c r="J230" s="900">
        <f t="shared" ref="J230:J231" si="103">I230/H230</f>
        <v>0.2409090909</v>
      </c>
      <c r="K230" s="319">
        <f t="shared" ref="K230:K231" si="104">O230-I230</f>
        <v>-182.85</v>
      </c>
      <c r="L230" s="332">
        <f t="shared" ref="L230:L231" si="105">O230/I230-1</f>
        <v>-1</v>
      </c>
      <c r="M230" s="331"/>
      <c r="N230" s="318"/>
      <c r="O230" s="821"/>
      <c r="P230" s="844"/>
      <c r="Q230" s="840"/>
      <c r="R230" s="840"/>
      <c r="S230" s="840"/>
      <c r="T230" s="840"/>
      <c r="U230" s="840"/>
      <c r="V230" s="840"/>
      <c r="W230" s="840"/>
      <c r="X230" s="840"/>
      <c r="Y230" s="840"/>
      <c r="Z230" s="840"/>
      <c r="AA230" s="840"/>
      <c r="AB230" s="840"/>
      <c r="AC230" s="840"/>
    </row>
    <row r="231" ht="14.25" customHeight="1" outlineLevel="1">
      <c r="A231" s="285">
        <v>228.0</v>
      </c>
      <c r="B231" s="595" t="s">
        <v>851</v>
      </c>
      <c r="C231" s="595"/>
      <c r="D231" s="595"/>
      <c r="E231" s="595"/>
      <c r="F231" s="602">
        <v>50.0</v>
      </c>
      <c r="G231" s="301">
        <v>759.0</v>
      </c>
      <c r="H231" s="301">
        <v>759.0</v>
      </c>
      <c r="I231" s="603">
        <v>196.46</v>
      </c>
      <c r="J231" s="900">
        <f t="shared" si="103"/>
        <v>0.2588405797</v>
      </c>
      <c r="K231" s="300">
        <f t="shared" si="104"/>
        <v>342.54</v>
      </c>
      <c r="L231" s="413">
        <f t="shared" si="105"/>
        <v>1.74356103</v>
      </c>
      <c r="M231" s="331"/>
      <c r="N231" s="318" t="s">
        <v>112</v>
      </c>
      <c r="O231" s="300">
        <v>539.0</v>
      </c>
      <c r="P231" s="844"/>
      <c r="Q231" s="840"/>
      <c r="R231" s="840"/>
      <c r="S231" s="840"/>
      <c r="T231" s="840"/>
      <c r="U231" s="840"/>
      <c r="V231" s="840"/>
      <c r="W231" s="840"/>
      <c r="X231" s="840"/>
      <c r="Y231" s="840"/>
      <c r="Z231" s="840"/>
      <c r="AA231" s="840"/>
      <c r="AB231" s="840"/>
      <c r="AC231" s="840"/>
    </row>
    <row r="232" ht="14.25" customHeight="1">
      <c r="A232" s="803">
        <v>229.0</v>
      </c>
      <c r="B232" s="594" t="s">
        <v>1421</v>
      </c>
      <c r="C232" s="290" t="s">
        <v>1422</v>
      </c>
      <c r="D232" s="290"/>
      <c r="E232" s="290"/>
      <c r="F232" s="293"/>
      <c r="G232" s="301"/>
      <c r="H232" s="301"/>
      <c r="I232" s="843"/>
      <c r="J232" s="297">
        <f>AVERAGE(J233:J237)</f>
        <v>0.2481930625</v>
      </c>
      <c r="K232" s="298"/>
      <c r="L232" s="297"/>
      <c r="M232" s="299"/>
      <c r="N232" s="290"/>
      <c r="O232" s="298"/>
      <c r="P232" s="844"/>
      <c r="Q232" s="840"/>
      <c r="R232" s="840"/>
      <c r="S232" s="840"/>
      <c r="T232" s="840"/>
      <c r="U232" s="840"/>
      <c r="V232" s="840"/>
      <c r="W232" s="840"/>
      <c r="X232" s="840"/>
      <c r="Y232" s="840"/>
      <c r="Z232" s="840"/>
      <c r="AA232" s="840"/>
      <c r="AB232" s="840"/>
      <c r="AC232" s="840"/>
    </row>
    <row r="233" ht="14.25" customHeight="1" outlineLevel="1">
      <c r="A233" s="285">
        <v>230.0</v>
      </c>
      <c r="B233" s="595" t="s">
        <v>855</v>
      </c>
      <c r="C233" s="595"/>
      <c r="D233" s="595"/>
      <c r="E233" s="595"/>
      <c r="F233" s="596">
        <v>50.0</v>
      </c>
      <c r="G233" s="311">
        <v>379.0</v>
      </c>
      <c r="H233" s="311">
        <v>379.0</v>
      </c>
      <c r="I233" s="345">
        <v>81.07</v>
      </c>
      <c r="J233" s="332">
        <f t="shared" ref="J233:J237" si="106">I233/H233</f>
        <v>0.2139050132</v>
      </c>
      <c r="K233" s="319">
        <f t="shared" ref="K233:K237" si="107">O233-I233</f>
        <v>257.93</v>
      </c>
      <c r="L233" s="332">
        <f t="shared" ref="L233:L237" si="108">O233/I233-1</f>
        <v>3.181571481</v>
      </c>
      <c r="M233" s="331"/>
      <c r="N233" s="285" t="s">
        <v>112</v>
      </c>
      <c r="O233" s="319">
        <v>339.0</v>
      </c>
      <c r="P233" s="874"/>
      <c r="Q233" s="605"/>
      <c r="R233" s="605"/>
      <c r="S233" s="605"/>
      <c r="T233" s="605"/>
      <c r="U233" s="605"/>
      <c r="V233" s="605"/>
      <c r="W233" s="605"/>
      <c r="X233" s="605"/>
      <c r="Y233" s="605"/>
      <c r="Z233" s="605"/>
      <c r="AA233" s="605"/>
      <c r="AB233" s="605"/>
      <c r="AC233" s="605"/>
    </row>
    <row r="234" ht="14.25" customHeight="1" outlineLevel="1">
      <c r="A234" s="285">
        <v>231.0</v>
      </c>
      <c r="B234" s="595" t="s">
        <v>856</v>
      </c>
      <c r="C234" s="595"/>
      <c r="D234" s="595"/>
      <c r="E234" s="595"/>
      <c r="F234" s="596">
        <v>50.0</v>
      </c>
      <c r="G234" s="311">
        <v>479.0</v>
      </c>
      <c r="H234" s="311">
        <v>479.0</v>
      </c>
      <c r="I234" s="345">
        <v>122.02</v>
      </c>
      <c r="J234" s="332">
        <f t="shared" si="106"/>
        <v>0.2547390397</v>
      </c>
      <c r="K234" s="319">
        <f t="shared" si="107"/>
        <v>316.98</v>
      </c>
      <c r="L234" s="332">
        <f t="shared" si="108"/>
        <v>2.597770857</v>
      </c>
      <c r="M234" s="331"/>
      <c r="N234" s="285" t="s">
        <v>112</v>
      </c>
      <c r="O234" s="319">
        <v>439.0</v>
      </c>
      <c r="P234" s="874"/>
      <c r="Q234" s="605"/>
      <c r="R234" s="605"/>
      <c r="S234" s="605"/>
      <c r="T234" s="605"/>
      <c r="U234" s="605"/>
      <c r="V234" s="605"/>
      <c r="W234" s="605"/>
      <c r="X234" s="605"/>
      <c r="Y234" s="605"/>
      <c r="Z234" s="605"/>
      <c r="AA234" s="605"/>
      <c r="AB234" s="605"/>
      <c r="AC234" s="605"/>
    </row>
    <row r="235" ht="14.25" customHeight="1" outlineLevel="1">
      <c r="A235" s="285">
        <v>232.0</v>
      </c>
      <c r="B235" s="595" t="s">
        <v>857</v>
      </c>
      <c r="C235" s="595"/>
      <c r="D235" s="595"/>
      <c r="E235" s="595"/>
      <c r="F235" s="596">
        <v>50.0</v>
      </c>
      <c r="G235" s="311">
        <v>579.0</v>
      </c>
      <c r="H235" s="311">
        <v>579.0</v>
      </c>
      <c r="I235" s="345">
        <v>140.55</v>
      </c>
      <c r="J235" s="332">
        <f t="shared" si="106"/>
        <v>0.242746114</v>
      </c>
      <c r="K235" s="319">
        <f t="shared" si="107"/>
        <v>308.45</v>
      </c>
      <c r="L235" s="332">
        <f t="shared" si="108"/>
        <v>2.194592672</v>
      </c>
      <c r="M235" s="331"/>
      <c r="N235" s="332" t="s">
        <v>112</v>
      </c>
      <c r="O235" s="319">
        <v>449.0</v>
      </c>
      <c r="P235" s="874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05"/>
      <c r="AB235" s="605"/>
      <c r="AC235" s="605"/>
    </row>
    <row r="236" ht="14.25" customHeight="1" outlineLevel="1">
      <c r="A236" s="285">
        <v>233.0</v>
      </c>
      <c r="B236" s="595" t="s">
        <v>2262</v>
      </c>
      <c r="C236" s="595"/>
      <c r="D236" s="595"/>
      <c r="E236" s="595"/>
      <c r="F236" s="596">
        <v>50.0</v>
      </c>
      <c r="G236" s="311">
        <v>899.0</v>
      </c>
      <c r="H236" s="311">
        <v>899.0</v>
      </c>
      <c r="I236" s="345">
        <v>192.84</v>
      </c>
      <c r="J236" s="332">
        <f t="shared" si="106"/>
        <v>0.2145050056</v>
      </c>
      <c r="K236" s="319">
        <f t="shared" si="107"/>
        <v>606.16</v>
      </c>
      <c r="L236" s="332">
        <f t="shared" si="108"/>
        <v>3.143331259</v>
      </c>
      <c r="M236" s="331"/>
      <c r="N236" s="332" t="s">
        <v>112</v>
      </c>
      <c r="O236" s="319">
        <v>799.0</v>
      </c>
      <c r="P236" s="874"/>
      <c r="Q236" s="605"/>
      <c r="R236" s="605"/>
      <c r="S236" s="605"/>
      <c r="T236" s="605"/>
      <c r="U236" s="605"/>
      <c r="V236" s="605"/>
      <c r="W236" s="605"/>
      <c r="X236" s="605"/>
      <c r="Y236" s="605"/>
      <c r="Z236" s="605"/>
      <c r="AA236" s="605"/>
      <c r="AB236" s="605"/>
      <c r="AC236" s="605"/>
    </row>
    <row r="237" ht="14.25" customHeight="1" outlineLevel="1">
      <c r="A237" s="845">
        <v>234.0</v>
      </c>
      <c r="B237" s="595" t="s">
        <v>858</v>
      </c>
      <c r="C237" s="595"/>
      <c r="D237" s="595"/>
      <c r="E237" s="595"/>
      <c r="F237" s="596">
        <v>50.0</v>
      </c>
      <c r="G237" s="301">
        <v>499.0</v>
      </c>
      <c r="H237" s="301">
        <v>499.0</v>
      </c>
      <c r="I237" s="345">
        <v>157.22</v>
      </c>
      <c r="J237" s="332">
        <f t="shared" si="106"/>
        <v>0.3150701403</v>
      </c>
      <c r="K237" s="315">
        <f t="shared" si="107"/>
        <v>281.78</v>
      </c>
      <c r="L237" s="316">
        <f t="shared" si="108"/>
        <v>1.792265615</v>
      </c>
      <c r="M237" s="317"/>
      <c r="N237" s="373" t="s">
        <v>112</v>
      </c>
      <c r="O237" s="300">
        <v>439.0</v>
      </c>
      <c r="P237" s="844"/>
      <c r="Q237" s="840"/>
      <c r="R237" s="840"/>
      <c r="S237" s="840"/>
      <c r="T237" s="840"/>
      <c r="U237" s="840"/>
      <c r="V237" s="840"/>
      <c r="W237" s="840"/>
      <c r="X237" s="840"/>
      <c r="Y237" s="840"/>
      <c r="Z237" s="840"/>
      <c r="AA237" s="840"/>
      <c r="AB237" s="840"/>
      <c r="AC237" s="840"/>
    </row>
    <row r="238" ht="14.25" customHeight="1">
      <c r="A238" s="803">
        <v>235.0</v>
      </c>
      <c r="B238" s="594" t="s">
        <v>1423</v>
      </c>
      <c r="C238" s="290" t="s">
        <v>1424</v>
      </c>
      <c r="D238" s="290"/>
      <c r="E238" s="290"/>
      <c r="F238" s="293"/>
      <c r="G238" s="301"/>
      <c r="H238" s="301"/>
      <c r="I238" s="843"/>
      <c r="J238" s="297" t="str">
        <f>AVERAGE(#REF!)</f>
        <v>#REF!</v>
      </c>
      <c r="K238" s="298"/>
      <c r="L238" s="297"/>
      <c r="M238" s="299"/>
      <c r="N238" s="297"/>
      <c r="O238" s="298"/>
      <c r="P238" s="844"/>
      <c r="Q238" s="840"/>
      <c r="R238" s="840"/>
      <c r="S238" s="840"/>
      <c r="T238" s="840"/>
      <c r="U238" s="840"/>
      <c r="V238" s="840"/>
      <c r="W238" s="840"/>
      <c r="X238" s="840"/>
      <c r="Y238" s="840"/>
      <c r="Z238" s="840"/>
      <c r="AA238" s="840"/>
      <c r="AB238" s="840"/>
      <c r="AC238" s="840"/>
    </row>
    <row r="239" ht="14.25" customHeight="1" outlineLevel="1">
      <c r="A239" s="285">
        <v>236.0</v>
      </c>
      <c r="B239" s="595" t="s">
        <v>1425</v>
      </c>
      <c r="C239" s="595"/>
      <c r="D239" s="595"/>
      <c r="E239" s="595"/>
      <c r="F239" s="602">
        <v>50.0</v>
      </c>
      <c r="G239" s="301">
        <v>1299.0</v>
      </c>
      <c r="H239" s="301">
        <v>1299.0</v>
      </c>
      <c r="I239" s="603">
        <v>301.85</v>
      </c>
      <c r="J239" s="873">
        <f t="shared" ref="J239:J240" si="109">I239/H239</f>
        <v>0.2323710547</v>
      </c>
      <c r="K239" s="300">
        <f t="shared" ref="K239:K240" si="110">O239-I239</f>
        <v>-301.85</v>
      </c>
      <c r="L239" s="413">
        <f t="shared" ref="L239:L240" si="111">O239/I239-1</f>
        <v>-1</v>
      </c>
      <c r="M239" s="331"/>
      <c r="N239" s="373"/>
      <c r="O239" s="821"/>
      <c r="P239" s="844"/>
      <c r="Q239" s="840"/>
      <c r="R239" s="840"/>
      <c r="S239" s="840"/>
      <c r="T239" s="840"/>
      <c r="U239" s="840"/>
      <c r="V239" s="840"/>
      <c r="W239" s="840"/>
      <c r="X239" s="840"/>
      <c r="Y239" s="840"/>
      <c r="Z239" s="840"/>
      <c r="AA239" s="840"/>
      <c r="AB239" s="840"/>
      <c r="AC239" s="840"/>
    </row>
    <row r="240" ht="14.25" customHeight="1" outlineLevel="1">
      <c r="A240" s="285">
        <v>237.0</v>
      </c>
      <c r="B240" s="595" t="s">
        <v>1426</v>
      </c>
      <c r="C240" s="595"/>
      <c r="D240" s="595"/>
      <c r="E240" s="595"/>
      <c r="F240" s="602">
        <v>50.0</v>
      </c>
      <c r="G240" s="301">
        <v>999.0</v>
      </c>
      <c r="H240" s="301">
        <v>999.0</v>
      </c>
      <c r="I240" s="603">
        <v>187.71</v>
      </c>
      <c r="J240" s="873">
        <f t="shared" si="109"/>
        <v>0.1878978979</v>
      </c>
      <c r="K240" s="300">
        <f t="shared" si="110"/>
        <v>-187.71</v>
      </c>
      <c r="L240" s="413">
        <f t="shared" si="111"/>
        <v>-1</v>
      </c>
      <c r="M240" s="331"/>
      <c r="N240" s="373"/>
      <c r="O240" s="821"/>
      <c r="P240" s="844"/>
      <c r="Q240" s="840"/>
      <c r="R240" s="840"/>
      <c r="S240" s="840"/>
      <c r="T240" s="840"/>
      <c r="U240" s="840"/>
      <c r="V240" s="840"/>
      <c r="W240" s="840"/>
      <c r="X240" s="840"/>
      <c r="Y240" s="840"/>
      <c r="Z240" s="840"/>
      <c r="AA240" s="840"/>
      <c r="AB240" s="840"/>
      <c r="AC240" s="840"/>
    </row>
    <row r="241" ht="14.25" customHeight="1">
      <c r="A241" s="803">
        <v>238.0</v>
      </c>
      <c r="B241" s="418" t="s">
        <v>1652</v>
      </c>
      <c r="C241" s="290" t="s">
        <v>1653</v>
      </c>
      <c r="D241" s="290"/>
      <c r="E241" s="290"/>
      <c r="F241" s="293"/>
      <c r="G241" s="301"/>
      <c r="H241" s="301"/>
      <c r="I241" s="843"/>
      <c r="J241" s="873"/>
      <c r="K241" s="298"/>
      <c r="L241" s="297"/>
      <c r="M241" s="299"/>
      <c r="N241" s="388"/>
      <c r="O241" s="298"/>
      <c r="P241" s="874"/>
      <c r="Q241" s="605"/>
      <c r="R241" s="605"/>
      <c r="S241" s="605"/>
      <c r="T241" s="605"/>
      <c r="U241" s="605"/>
      <c r="V241" s="605"/>
      <c r="W241" s="605"/>
      <c r="X241" s="605"/>
      <c r="Y241" s="605"/>
      <c r="Z241" s="605"/>
      <c r="AA241" s="605"/>
      <c r="AB241" s="605"/>
      <c r="AC241" s="605"/>
    </row>
    <row r="242" ht="14.25" customHeight="1" outlineLevel="1">
      <c r="A242" s="285">
        <v>239.0</v>
      </c>
      <c r="B242" s="595" t="s">
        <v>865</v>
      </c>
      <c r="C242" s="595"/>
      <c r="D242" s="595"/>
      <c r="E242" s="595"/>
      <c r="F242" s="596">
        <v>50.0</v>
      </c>
      <c r="G242" s="311">
        <v>849.0</v>
      </c>
      <c r="H242" s="311">
        <v>849.0</v>
      </c>
      <c r="I242" s="345">
        <v>206.89</v>
      </c>
      <c r="J242" s="332">
        <f t="shared" ref="J242:J243" si="112">I242/H242</f>
        <v>0.2436866902</v>
      </c>
      <c r="K242" s="319">
        <f t="shared" ref="K242:K243" si="113">O242-I242</f>
        <v>492.11</v>
      </c>
      <c r="L242" s="332">
        <f t="shared" ref="L242:L243" si="114">O242/I242-1</f>
        <v>2.378606989</v>
      </c>
      <c r="M242" s="331"/>
      <c r="N242" s="332" t="s">
        <v>112</v>
      </c>
      <c r="O242" s="319">
        <v>699.0</v>
      </c>
      <c r="P242" s="874"/>
      <c r="Q242" s="605"/>
      <c r="R242" s="605"/>
      <c r="S242" s="605"/>
      <c r="T242" s="605"/>
      <c r="U242" s="605"/>
      <c r="V242" s="605"/>
      <c r="W242" s="605"/>
      <c r="X242" s="605"/>
      <c r="Y242" s="605"/>
      <c r="Z242" s="605"/>
      <c r="AA242" s="605"/>
      <c r="AB242" s="605"/>
      <c r="AC242" s="605"/>
    </row>
    <row r="243" ht="14.25" customHeight="1" outlineLevel="1">
      <c r="A243" s="285">
        <v>240.0</v>
      </c>
      <c r="B243" s="595" t="s">
        <v>866</v>
      </c>
      <c r="C243" s="595"/>
      <c r="D243" s="595"/>
      <c r="E243" s="595"/>
      <c r="F243" s="596">
        <v>50.0</v>
      </c>
      <c r="G243" s="311">
        <v>949.0</v>
      </c>
      <c r="H243" s="311">
        <v>949.0</v>
      </c>
      <c r="I243" s="345">
        <v>242.55</v>
      </c>
      <c r="J243" s="332">
        <f t="shared" si="112"/>
        <v>0.2555848261</v>
      </c>
      <c r="K243" s="319">
        <f t="shared" si="113"/>
        <v>556.45</v>
      </c>
      <c r="L243" s="332">
        <f t="shared" si="114"/>
        <v>2.294166151</v>
      </c>
      <c r="M243" s="331"/>
      <c r="N243" s="332" t="s">
        <v>112</v>
      </c>
      <c r="O243" s="319">
        <v>799.0</v>
      </c>
      <c r="P243" s="874"/>
      <c r="Q243" s="605"/>
      <c r="R243" s="605"/>
      <c r="S243" s="605"/>
      <c r="T243" s="605"/>
      <c r="U243" s="605"/>
      <c r="V243" s="605"/>
      <c r="W243" s="605"/>
      <c r="X243" s="605"/>
      <c r="Y243" s="605"/>
      <c r="Z243" s="605"/>
      <c r="AA243" s="605"/>
      <c r="AB243" s="605"/>
      <c r="AC243" s="605"/>
    </row>
    <row r="244" ht="14.25" customHeight="1">
      <c r="A244" s="803">
        <v>241.0</v>
      </c>
      <c r="B244" s="418" t="s">
        <v>1427</v>
      </c>
      <c r="C244" s="290" t="s">
        <v>1428</v>
      </c>
      <c r="D244" s="290"/>
      <c r="E244" s="290"/>
      <c r="F244" s="293"/>
      <c r="G244" s="301"/>
      <c r="H244" s="301"/>
      <c r="I244" s="843"/>
      <c r="J244" s="297">
        <f>AVERAGE(J245:J250)</f>
        <v>0.2293887531</v>
      </c>
      <c r="K244" s="298"/>
      <c r="L244" s="297"/>
      <c r="M244" s="299"/>
      <c r="N244" s="377"/>
      <c r="O244" s="298"/>
      <c r="P244" s="844"/>
      <c r="Q244" s="840"/>
      <c r="R244" s="840"/>
      <c r="S244" s="840"/>
      <c r="T244" s="840"/>
      <c r="U244" s="840"/>
      <c r="V244" s="840"/>
      <c r="W244" s="840"/>
      <c r="X244" s="840"/>
      <c r="Y244" s="840"/>
      <c r="Z244" s="840"/>
      <c r="AA244" s="840"/>
      <c r="AB244" s="840"/>
      <c r="AC244" s="840"/>
    </row>
    <row r="245" ht="14.25" customHeight="1" outlineLevel="1">
      <c r="A245" s="285">
        <v>242.0</v>
      </c>
      <c r="B245" s="595" t="s">
        <v>1429</v>
      </c>
      <c r="C245" s="595"/>
      <c r="D245" s="595"/>
      <c r="E245" s="595"/>
      <c r="F245" s="596">
        <v>50.0</v>
      </c>
      <c r="G245" s="311">
        <v>399.0</v>
      </c>
      <c r="H245" s="311">
        <v>399.0</v>
      </c>
      <c r="I245" s="345">
        <v>84.36</v>
      </c>
      <c r="J245" s="332">
        <f t="shared" ref="J245:J246" si="115">I245/H245</f>
        <v>0.2114285714</v>
      </c>
      <c r="K245" s="300">
        <f t="shared" ref="K245:K246" si="116">O245-I245</f>
        <v>294.64</v>
      </c>
      <c r="L245" s="332">
        <f t="shared" ref="L245:L246" si="117">O245/I245-1</f>
        <v>3.492650545</v>
      </c>
      <c r="M245" s="331"/>
      <c r="N245" s="332" t="s">
        <v>112</v>
      </c>
      <c r="O245" s="319">
        <v>379.0</v>
      </c>
      <c r="P245" s="874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05"/>
      <c r="AB245" s="605"/>
      <c r="AC245" s="605"/>
    </row>
    <row r="246" ht="14.25" customHeight="1" outlineLevel="1">
      <c r="A246" s="285">
        <v>243.0</v>
      </c>
      <c r="B246" s="595" t="s">
        <v>1430</v>
      </c>
      <c r="C246" s="595"/>
      <c r="D246" s="595"/>
      <c r="E246" s="595"/>
      <c r="F246" s="596">
        <v>50.0</v>
      </c>
      <c r="G246" s="311">
        <v>449.0</v>
      </c>
      <c r="H246" s="311">
        <v>449.0</v>
      </c>
      <c r="I246" s="345">
        <v>106.62</v>
      </c>
      <c r="J246" s="332">
        <f t="shared" si="115"/>
        <v>0.2374610245</v>
      </c>
      <c r="K246" s="300">
        <f t="shared" si="116"/>
        <v>292.38</v>
      </c>
      <c r="L246" s="332">
        <f t="shared" si="117"/>
        <v>2.74226224</v>
      </c>
      <c r="M246" s="331"/>
      <c r="N246" s="332" t="s">
        <v>112</v>
      </c>
      <c r="O246" s="319">
        <v>399.0</v>
      </c>
      <c r="P246" s="874"/>
      <c r="Q246" s="605"/>
      <c r="R246" s="605"/>
      <c r="S246" s="605"/>
      <c r="T246" s="605"/>
      <c r="U246" s="605"/>
      <c r="V246" s="605"/>
      <c r="W246" s="605"/>
      <c r="X246" s="605"/>
      <c r="Y246" s="605"/>
      <c r="Z246" s="605"/>
      <c r="AA246" s="605"/>
      <c r="AB246" s="605"/>
      <c r="AC246" s="605"/>
    </row>
    <row r="247" ht="14.25" customHeight="1">
      <c r="A247" s="803">
        <v>244.0</v>
      </c>
      <c r="B247" s="594" t="s">
        <v>2263</v>
      </c>
      <c r="C247" s="290" t="s">
        <v>2264</v>
      </c>
      <c r="D247" s="290"/>
      <c r="E247" s="290"/>
      <c r="F247" s="293"/>
      <c r="G247" s="301"/>
      <c r="H247" s="301"/>
      <c r="I247" s="843"/>
      <c r="J247" s="297">
        <f>AVERAGE(J249:J250)</f>
        <v>0.2497260274</v>
      </c>
      <c r="K247" s="298"/>
      <c r="L247" s="297"/>
      <c r="M247" s="299"/>
      <c r="N247" s="377"/>
      <c r="O247" s="298"/>
      <c r="P247" s="844"/>
      <c r="Q247" s="840"/>
      <c r="R247" s="840"/>
      <c r="S247" s="840"/>
      <c r="T247" s="840"/>
      <c r="U247" s="840"/>
      <c r="V247" s="840"/>
      <c r="W247" s="840"/>
      <c r="X247" s="840"/>
      <c r="Y247" s="840"/>
      <c r="Z247" s="840"/>
      <c r="AA247" s="840"/>
      <c r="AB247" s="840"/>
      <c r="AC247" s="840"/>
    </row>
    <row r="248" ht="14.25" customHeight="1" outlineLevel="1">
      <c r="A248" s="285">
        <v>245.0</v>
      </c>
      <c r="B248" s="595" t="s">
        <v>873</v>
      </c>
      <c r="C248" s="595"/>
      <c r="D248" s="595"/>
      <c r="E248" s="595"/>
      <c r="F248" s="596">
        <v>50.0</v>
      </c>
      <c r="G248" s="311">
        <v>219.0</v>
      </c>
      <c r="H248" s="311">
        <v>219.0</v>
      </c>
      <c r="I248" s="345">
        <v>39.04</v>
      </c>
      <c r="J248" s="332">
        <f t="shared" ref="J248:J250" si="118">I248/H248</f>
        <v>0.1782648402</v>
      </c>
      <c r="K248" s="300">
        <f t="shared" ref="K248:K250" si="119">O248-I248</f>
        <v>159.96</v>
      </c>
      <c r="L248" s="413">
        <f t="shared" ref="L248:L250" si="120">O248/I248-1</f>
        <v>4.097336066</v>
      </c>
      <c r="M248" s="331"/>
      <c r="N248" s="332" t="s">
        <v>112</v>
      </c>
      <c r="O248" s="319">
        <v>199.0</v>
      </c>
      <c r="P248" s="332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B248" s="285"/>
      <c r="AC248" s="285"/>
    </row>
    <row r="249" ht="14.25" customHeight="1" outlineLevel="1">
      <c r="A249" s="285">
        <v>246.0</v>
      </c>
      <c r="B249" s="595" t="s">
        <v>874</v>
      </c>
      <c r="C249" s="595"/>
      <c r="D249" s="595"/>
      <c r="E249" s="595"/>
      <c r="F249" s="596">
        <v>50.0</v>
      </c>
      <c r="G249" s="311">
        <v>219.0</v>
      </c>
      <c r="H249" s="311">
        <v>219.0</v>
      </c>
      <c r="I249" s="345">
        <v>54.69</v>
      </c>
      <c r="J249" s="332">
        <f t="shared" si="118"/>
        <v>0.2497260274</v>
      </c>
      <c r="K249" s="300">
        <f t="shared" si="119"/>
        <v>144.31</v>
      </c>
      <c r="L249" s="413">
        <f t="shared" si="120"/>
        <v>2.638690803</v>
      </c>
      <c r="M249" s="331"/>
      <c r="N249" s="332" t="s">
        <v>112</v>
      </c>
      <c r="O249" s="319">
        <v>199.0</v>
      </c>
      <c r="P249" s="332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B249" s="285"/>
      <c r="AC249" s="285"/>
    </row>
    <row r="250" ht="14.25" customHeight="1" outlineLevel="1">
      <c r="A250" s="285">
        <v>247.0</v>
      </c>
      <c r="B250" s="595" t="s">
        <v>875</v>
      </c>
      <c r="C250" s="595"/>
      <c r="D250" s="595"/>
      <c r="E250" s="595"/>
      <c r="F250" s="596">
        <v>50.0</v>
      </c>
      <c r="G250" s="311">
        <v>219.0</v>
      </c>
      <c r="H250" s="311">
        <v>219.0</v>
      </c>
      <c r="I250" s="345">
        <v>54.69</v>
      </c>
      <c r="J250" s="332">
        <f t="shared" si="118"/>
        <v>0.2497260274</v>
      </c>
      <c r="K250" s="300">
        <f t="shared" si="119"/>
        <v>144.31</v>
      </c>
      <c r="L250" s="413">
        <f t="shared" si="120"/>
        <v>2.638690803</v>
      </c>
      <c r="M250" s="331"/>
      <c r="N250" s="332" t="s">
        <v>112</v>
      </c>
      <c r="O250" s="319">
        <v>199.0</v>
      </c>
      <c r="P250" s="332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B250" s="285"/>
      <c r="AC250" s="285"/>
    </row>
    <row r="251" ht="14.25" customHeight="1">
      <c r="A251" s="803">
        <v>248.0</v>
      </c>
      <c r="B251" s="594" t="s">
        <v>1431</v>
      </c>
      <c r="C251" s="290"/>
      <c r="D251" s="290"/>
      <c r="E251" s="290"/>
      <c r="F251" s="293"/>
      <c r="G251" s="301"/>
      <c r="H251" s="301"/>
      <c r="I251" s="843"/>
      <c r="J251" s="297">
        <f>AVERAGE(J252:J254)</f>
        <v>0.2147678506</v>
      </c>
      <c r="K251" s="298"/>
      <c r="L251" s="297"/>
      <c r="M251" s="299"/>
      <c r="N251" s="377"/>
      <c r="O251" s="298"/>
      <c r="P251" s="844"/>
      <c r="Q251" s="840"/>
      <c r="R251" s="840"/>
      <c r="S251" s="840"/>
      <c r="T251" s="840"/>
      <c r="U251" s="840"/>
      <c r="V251" s="840"/>
      <c r="W251" s="840"/>
      <c r="X251" s="840"/>
      <c r="Y251" s="840"/>
      <c r="Z251" s="840"/>
      <c r="AA251" s="840"/>
      <c r="AB251" s="840"/>
      <c r="AC251" s="840"/>
    </row>
    <row r="252" ht="14.25" customHeight="1" outlineLevel="1">
      <c r="A252" s="285">
        <v>249.0</v>
      </c>
      <c r="B252" s="595" t="s">
        <v>878</v>
      </c>
      <c r="C252" s="595"/>
      <c r="D252" s="595"/>
      <c r="E252" s="595"/>
      <c r="F252" s="596">
        <v>50.0</v>
      </c>
      <c r="G252" s="311">
        <v>459.0</v>
      </c>
      <c r="H252" s="311">
        <v>459.0</v>
      </c>
      <c r="I252" s="345">
        <v>113.19</v>
      </c>
      <c r="J252" s="332">
        <f t="shared" ref="J252:J254" si="121">I252/H252</f>
        <v>0.2466013072</v>
      </c>
      <c r="K252" s="319">
        <f t="shared" ref="K252:K254" si="122">O252-I252</f>
        <v>265.81</v>
      </c>
      <c r="L252" s="332">
        <f t="shared" ref="L252:L254" si="123">O252/I252-1</f>
        <v>2.348352328</v>
      </c>
      <c r="M252" s="331"/>
      <c r="N252" s="332" t="s">
        <v>112</v>
      </c>
      <c r="O252" s="319">
        <v>379.0</v>
      </c>
      <c r="P252" s="874"/>
      <c r="Q252" s="605"/>
      <c r="R252" s="605"/>
      <c r="S252" s="605"/>
      <c r="T252" s="605"/>
      <c r="U252" s="605"/>
      <c r="V252" s="605"/>
      <c r="W252" s="605"/>
      <c r="X252" s="605"/>
      <c r="Y252" s="605"/>
      <c r="Z252" s="605"/>
      <c r="AA252" s="605"/>
      <c r="AB252" s="605"/>
      <c r="AC252" s="605"/>
    </row>
    <row r="253" ht="14.25" customHeight="1" outlineLevel="1">
      <c r="A253" s="285">
        <v>250.0</v>
      </c>
      <c r="B253" s="595" t="s">
        <v>1432</v>
      </c>
      <c r="C253" s="595"/>
      <c r="D253" s="595"/>
      <c r="E253" s="595"/>
      <c r="F253" s="596">
        <v>50.0</v>
      </c>
      <c r="G253" s="311">
        <v>459.0</v>
      </c>
      <c r="H253" s="311">
        <v>459.0</v>
      </c>
      <c r="I253" s="345">
        <v>92.0</v>
      </c>
      <c r="J253" s="332">
        <f t="shared" si="121"/>
        <v>0.2004357298</v>
      </c>
      <c r="K253" s="319">
        <f t="shared" si="122"/>
        <v>287</v>
      </c>
      <c r="L253" s="332">
        <f t="shared" si="123"/>
        <v>3.119565217</v>
      </c>
      <c r="M253" s="331"/>
      <c r="N253" s="332"/>
      <c r="O253" s="580">
        <v>379.0</v>
      </c>
      <c r="P253" s="874"/>
      <c r="Q253" s="605"/>
      <c r="R253" s="605"/>
      <c r="S253" s="605"/>
      <c r="T253" s="605"/>
      <c r="U253" s="605"/>
      <c r="V253" s="605"/>
      <c r="W253" s="605"/>
      <c r="X253" s="605"/>
      <c r="Y253" s="605"/>
      <c r="Z253" s="605"/>
      <c r="AA253" s="605"/>
      <c r="AB253" s="605"/>
      <c r="AC253" s="605"/>
    </row>
    <row r="254" ht="14.25" customHeight="1" outlineLevel="1">
      <c r="A254" s="285">
        <v>251.0</v>
      </c>
      <c r="B254" s="595" t="s">
        <v>879</v>
      </c>
      <c r="C254" s="595"/>
      <c r="D254" s="595"/>
      <c r="E254" s="595"/>
      <c r="F254" s="596">
        <v>50.0</v>
      </c>
      <c r="G254" s="311">
        <v>439.0</v>
      </c>
      <c r="H254" s="311">
        <v>439.0</v>
      </c>
      <c r="I254" s="345">
        <v>86.6</v>
      </c>
      <c r="J254" s="332">
        <f t="shared" si="121"/>
        <v>0.1972665148</v>
      </c>
      <c r="K254" s="319">
        <f t="shared" si="122"/>
        <v>282.4</v>
      </c>
      <c r="L254" s="332">
        <f t="shared" si="123"/>
        <v>3.260969977</v>
      </c>
      <c r="M254" s="331"/>
      <c r="N254" s="332" t="s">
        <v>112</v>
      </c>
      <c r="O254" s="319">
        <v>369.0</v>
      </c>
      <c r="P254" s="874"/>
      <c r="Q254" s="605"/>
      <c r="R254" s="605"/>
      <c r="S254" s="605"/>
      <c r="T254" s="605"/>
      <c r="U254" s="605"/>
      <c r="V254" s="605"/>
      <c r="W254" s="605"/>
      <c r="X254" s="605"/>
      <c r="Y254" s="605"/>
      <c r="Z254" s="605"/>
      <c r="AA254" s="605"/>
      <c r="AB254" s="605"/>
      <c r="AC254" s="605"/>
    </row>
    <row r="255" ht="14.25" customHeight="1">
      <c r="A255" s="803">
        <v>252.0</v>
      </c>
      <c r="B255" s="418" t="s">
        <v>2265</v>
      </c>
      <c r="C255" s="290" t="s">
        <v>2266</v>
      </c>
      <c r="D255" s="290"/>
      <c r="E255" s="290"/>
      <c r="F255" s="293"/>
      <c r="G255" s="301"/>
      <c r="H255" s="301"/>
      <c r="I255" s="843"/>
      <c r="J255" s="297"/>
      <c r="K255" s="298"/>
      <c r="L255" s="297"/>
      <c r="M255" s="299"/>
      <c r="N255" s="377"/>
      <c r="O255" s="298"/>
      <c r="P255" s="844"/>
      <c r="Q255" s="840"/>
      <c r="R255" s="840"/>
      <c r="S255" s="840"/>
      <c r="T255" s="840"/>
      <c r="U255" s="840"/>
      <c r="V255" s="840"/>
      <c r="W255" s="840"/>
      <c r="X255" s="840"/>
      <c r="Y255" s="840"/>
      <c r="Z255" s="840"/>
      <c r="AA255" s="840"/>
      <c r="AB255" s="840"/>
      <c r="AC255" s="840"/>
    </row>
    <row r="256" ht="14.25" customHeight="1" outlineLevel="1">
      <c r="A256" s="285">
        <v>253.0</v>
      </c>
      <c r="B256" s="595" t="s">
        <v>2267</v>
      </c>
      <c r="C256" s="595"/>
      <c r="D256" s="595"/>
      <c r="E256" s="595"/>
      <c r="F256" s="596">
        <v>50.0</v>
      </c>
      <c r="G256" s="311">
        <v>599.0</v>
      </c>
      <c r="H256" s="311">
        <v>599.0</v>
      </c>
      <c r="I256" s="345">
        <v>167.85</v>
      </c>
      <c r="J256" s="332">
        <f t="shared" ref="J256:J257" si="124">I256/H256</f>
        <v>0.2802170284</v>
      </c>
      <c r="K256" s="319">
        <f t="shared" ref="K256:K257" si="125">O256-I256</f>
        <v>381.15</v>
      </c>
      <c r="L256" s="332">
        <f t="shared" ref="L256:L257" si="126">O256/I256-1</f>
        <v>2.27077748</v>
      </c>
      <c r="M256" s="331"/>
      <c r="N256" s="332" t="s">
        <v>112</v>
      </c>
      <c r="O256" s="319">
        <v>549.0</v>
      </c>
      <c r="P256" s="874"/>
      <c r="Q256" s="605"/>
      <c r="R256" s="605"/>
      <c r="S256" s="605"/>
      <c r="T256" s="605"/>
      <c r="U256" s="605"/>
      <c r="V256" s="605"/>
      <c r="W256" s="605"/>
      <c r="X256" s="605"/>
      <c r="Y256" s="605"/>
      <c r="Z256" s="605"/>
      <c r="AA256" s="605"/>
      <c r="AB256" s="605"/>
      <c r="AC256" s="605"/>
    </row>
    <row r="257" ht="14.25" customHeight="1" outlineLevel="1">
      <c r="A257" s="285">
        <v>254.0</v>
      </c>
      <c r="B257" s="595" t="s">
        <v>2268</v>
      </c>
      <c r="C257" s="595"/>
      <c r="D257" s="595"/>
      <c r="E257" s="595"/>
      <c r="F257" s="596">
        <v>50.0</v>
      </c>
      <c r="G257" s="311">
        <v>369.0</v>
      </c>
      <c r="H257" s="311">
        <v>369.0</v>
      </c>
      <c r="I257" s="345">
        <v>52.0</v>
      </c>
      <c r="J257" s="332">
        <f t="shared" si="124"/>
        <v>0.1409214092</v>
      </c>
      <c r="K257" s="319">
        <f t="shared" si="125"/>
        <v>-52</v>
      </c>
      <c r="L257" s="332">
        <f t="shared" si="126"/>
        <v>-1</v>
      </c>
      <c r="M257" s="331"/>
      <c r="N257" s="332"/>
      <c r="O257" s="580"/>
      <c r="P257" s="874"/>
      <c r="Q257" s="605"/>
      <c r="R257" s="605"/>
      <c r="S257" s="605"/>
      <c r="T257" s="605"/>
      <c r="U257" s="605"/>
      <c r="V257" s="605"/>
      <c r="W257" s="605"/>
      <c r="X257" s="605"/>
      <c r="Y257" s="605"/>
      <c r="Z257" s="605"/>
      <c r="AA257" s="605"/>
      <c r="AB257" s="605"/>
      <c r="AC257" s="605"/>
    </row>
    <row r="258" ht="14.25" customHeight="1">
      <c r="A258" s="803">
        <v>255.0</v>
      </c>
      <c r="B258" s="594" t="s">
        <v>964</v>
      </c>
      <c r="C258" s="822" t="s">
        <v>1433</v>
      </c>
      <c r="D258" s="290"/>
      <c r="E258" s="290"/>
      <c r="F258" s="293"/>
      <c r="G258" s="301"/>
      <c r="H258" s="301"/>
      <c r="I258" s="843"/>
      <c r="J258" s="297"/>
      <c r="K258" s="298"/>
      <c r="L258" s="297"/>
      <c r="M258" s="299"/>
      <c r="N258" s="377"/>
      <c r="O258" s="298"/>
      <c r="P258" s="844"/>
      <c r="Q258" s="840"/>
      <c r="R258" s="840"/>
      <c r="S258" s="840"/>
      <c r="T258" s="840"/>
      <c r="U258" s="840"/>
      <c r="V258" s="840"/>
      <c r="W258" s="840"/>
      <c r="X258" s="840"/>
      <c r="Y258" s="840"/>
      <c r="Z258" s="840"/>
      <c r="AA258" s="840"/>
      <c r="AB258" s="840"/>
      <c r="AC258" s="840"/>
    </row>
    <row r="259" ht="14.25" customHeight="1" outlineLevel="1">
      <c r="A259" s="285">
        <v>256.0</v>
      </c>
      <c r="B259" s="595" t="s">
        <v>1434</v>
      </c>
      <c r="C259" s="595"/>
      <c r="D259" s="595" t="s">
        <v>1435</v>
      </c>
      <c r="E259" s="595"/>
      <c r="F259" s="602">
        <v>50.0</v>
      </c>
      <c r="G259" s="301">
        <v>569.0</v>
      </c>
      <c r="H259" s="301">
        <v>569.0</v>
      </c>
      <c r="I259" s="603">
        <v>128.02</v>
      </c>
      <c r="J259" s="604">
        <f t="shared" ref="J259:J260" si="127">I259/H259</f>
        <v>0.2249912127</v>
      </c>
      <c r="K259" s="300">
        <f t="shared" ref="K259:K260" si="128">O259-I259</f>
        <v>440.98</v>
      </c>
      <c r="L259" s="413">
        <f t="shared" ref="L259:L260" si="129">O259/I259-1</f>
        <v>3.444618028</v>
      </c>
      <c r="M259" s="331"/>
      <c r="N259" s="373"/>
      <c r="O259" s="821">
        <v>569.0</v>
      </c>
      <c r="P259" s="844"/>
      <c r="Q259" s="840"/>
      <c r="R259" s="840"/>
      <c r="S259" s="840"/>
      <c r="T259" s="840"/>
      <c r="U259" s="840"/>
      <c r="V259" s="840"/>
      <c r="W259" s="840"/>
      <c r="X259" s="840"/>
      <c r="Y259" s="840"/>
      <c r="Z259" s="840"/>
      <c r="AA259" s="840"/>
      <c r="AB259" s="840"/>
      <c r="AC259" s="840"/>
    </row>
    <row r="260" ht="14.25" customHeight="1" outlineLevel="1">
      <c r="A260" s="285">
        <v>257.0</v>
      </c>
      <c r="B260" s="875" t="s">
        <v>887</v>
      </c>
      <c r="C260" s="595"/>
      <c r="D260" s="595"/>
      <c r="E260" s="595"/>
      <c r="F260" s="602">
        <v>50.0</v>
      </c>
      <c r="G260" s="301">
        <v>599.0</v>
      </c>
      <c r="H260" s="301">
        <v>599.0</v>
      </c>
      <c r="I260" s="603">
        <v>132.92</v>
      </c>
      <c r="J260" s="604">
        <f t="shared" si="127"/>
        <v>0.221903172</v>
      </c>
      <c r="K260" s="300">
        <f t="shared" si="128"/>
        <v>466.08</v>
      </c>
      <c r="L260" s="413">
        <f t="shared" si="129"/>
        <v>3.506470057</v>
      </c>
      <c r="M260" s="331"/>
      <c r="N260" s="373"/>
      <c r="O260" s="821">
        <v>599.0</v>
      </c>
      <c r="P260" s="844"/>
      <c r="Q260" s="840"/>
      <c r="R260" s="840"/>
      <c r="S260" s="840"/>
      <c r="T260" s="840"/>
      <c r="U260" s="840"/>
      <c r="V260" s="840"/>
      <c r="W260" s="840"/>
      <c r="X260" s="840"/>
      <c r="Y260" s="840"/>
      <c r="Z260" s="840"/>
      <c r="AA260" s="840"/>
      <c r="AB260" s="840"/>
      <c r="AC260" s="840"/>
    </row>
    <row r="261" ht="14.25" customHeight="1">
      <c r="A261" s="803">
        <v>258.0</v>
      </c>
      <c r="B261" s="594" t="s">
        <v>2269</v>
      </c>
      <c r="C261" s="290" t="s">
        <v>2270</v>
      </c>
      <c r="D261" s="290"/>
      <c r="E261" s="290"/>
      <c r="F261" s="293"/>
      <c r="G261" s="301"/>
      <c r="H261" s="301"/>
      <c r="I261" s="843"/>
      <c r="J261" s="297">
        <f>AVERAGE(J262:J264)</f>
        <v>0.181508391</v>
      </c>
      <c r="K261" s="298"/>
      <c r="L261" s="297"/>
      <c r="M261" s="299"/>
      <c r="N261" s="377"/>
      <c r="O261" s="298"/>
      <c r="P261" s="844"/>
      <c r="Q261" s="840"/>
      <c r="R261" s="840"/>
      <c r="S261" s="840"/>
      <c r="T261" s="840"/>
      <c r="U261" s="840"/>
      <c r="V261" s="840"/>
      <c r="W261" s="840"/>
      <c r="X261" s="840"/>
      <c r="Y261" s="840"/>
      <c r="Z261" s="840"/>
      <c r="AA261" s="840"/>
      <c r="AB261" s="840"/>
      <c r="AC261" s="840"/>
    </row>
    <row r="262" ht="14.25" customHeight="1" outlineLevel="1">
      <c r="A262" s="285">
        <v>259.0</v>
      </c>
      <c r="B262" s="820" t="s">
        <v>890</v>
      </c>
      <c r="C262" s="595"/>
      <c r="D262" s="416"/>
      <c r="E262" s="416"/>
      <c r="F262" s="596">
        <v>50.0</v>
      </c>
      <c r="G262" s="311">
        <v>579.0</v>
      </c>
      <c r="H262" s="311">
        <v>579.0</v>
      </c>
      <c r="I262" s="345">
        <v>111.89</v>
      </c>
      <c r="J262" s="332">
        <f t="shared" ref="J262:J266" si="130">I262/H262</f>
        <v>0.1932469775</v>
      </c>
      <c r="K262" s="319">
        <f t="shared" ref="K262:K266" si="131">O262-I262</f>
        <v>447.11</v>
      </c>
      <c r="L262" s="332">
        <f t="shared" ref="L262:L266" si="132">O262/I262-1</f>
        <v>3.995978193</v>
      </c>
      <c r="M262" s="331"/>
      <c r="N262" s="332" t="s">
        <v>112</v>
      </c>
      <c r="O262" s="319">
        <v>559.0</v>
      </c>
      <c r="P262" s="874"/>
      <c r="Q262" s="605"/>
      <c r="R262" s="605"/>
      <c r="S262" s="605"/>
      <c r="T262" s="605"/>
      <c r="U262" s="605"/>
      <c r="V262" s="605"/>
      <c r="W262" s="605"/>
      <c r="X262" s="605"/>
      <c r="Y262" s="605"/>
      <c r="Z262" s="605"/>
      <c r="AA262" s="605"/>
      <c r="AB262" s="605"/>
      <c r="AC262" s="605"/>
    </row>
    <row r="263" ht="14.25" customHeight="1" outlineLevel="1">
      <c r="A263" s="285">
        <v>260.0</v>
      </c>
      <c r="B263" s="820" t="s">
        <v>891</v>
      </c>
      <c r="C263" s="595"/>
      <c r="D263" s="595"/>
      <c r="E263" s="595"/>
      <c r="F263" s="596">
        <v>50.0</v>
      </c>
      <c r="G263" s="301">
        <v>399.0</v>
      </c>
      <c r="H263" s="301">
        <v>399.0</v>
      </c>
      <c r="I263" s="345">
        <v>40.94</v>
      </c>
      <c r="J263" s="332">
        <f t="shared" si="130"/>
        <v>0.1026065163</v>
      </c>
      <c r="K263" s="319">
        <f t="shared" si="131"/>
        <v>348.06</v>
      </c>
      <c r="L263" s="332">
        <f t="shared" si="132"/>
        <v>8.501709819</v>
      </c>
      <c r="M263" s="331"/>
      <c r="N263" s="332" t="s">
        <v>112</v>
      </c>
      <c r="O263" s="300">
        <v>389.0</v>
      </c>
      <c r="P263" s="874"/>
      <c r="Q263" s="605"/>
      <c r="R263" s="605"/>
      <c r="S263" s="605"/>
      <c r="T263" s="605"/>
      <c r="U263" s="605"/>
      <c r="V263" s="605"/>
      <c r="W263" s="605"/>
      <c r="X263" s="605"/>
      <c r="Y263" s="605"/>
      <c r="Z263" s="605"/>
      <c r="AA263" s="605"/>
      <c r="AB263" s="605"/>
      <c r="AC263" s="605"/>
    </row>
    <row r="264" ht="14.25" customHeight="1" outlineLevel="1">
      <c r="A264" s="285">
        <v>261.0</v>
      </c>
      <c r="B264" s="820" t="s">
        <v>892</v>
      </c>
      <c r="C264" s="595"/>
      <c r="D264" s="595"/>
      <c r="E264" s="595"/>
      <c r="F264" s="596">
        <v>50.0</v>
      </c>
      <c r="G264" s="301">
        <v>399.0</v>
      </c>
      <c r="H264" s="301">
        <v>399.0</v>
      </c>
      <c r="I264" s="345">
        <v>99.22</v>
      </c>
      <c r="J264" s="332">
        <f t="shared" si="130"/>
        <v>0.2486716792</v>
      </c>
      <c r="K264" s="319">
        <f t="shared" si="131"/>
        <v>289.78</v>
      </c>
      <c r="L264" s="332">
        <f t="shared" si="132"/>
        <v>2.920580528</v>
      </c>
      <c r="M264" s="331"/>
      <c r="N264" s="332" t="s">
        <v>112</v>
      </c>
      <c r="O264" s="300">
        <v>389.0</v>
      </c>
      <c r="P264" s="874"/>
      <c r="Q264" s="605"/>
      <c r="R264" s="605"/>
      <c r="S264" s="605"/>
      <c r="T264" s="605"/>
      <c r="U264" s="605"/>
      <c r="V264" s="605"/>
      <c r="W264" s="605"/>
      <c r="X264" s="605"/>
      <c r="Y264" s="605"/>
      <c r="Z264" s="605"/>
      <c r="AA264" s="605"/>
      <c r="AB264" s="605"/>
      <c r="AC264" s="605"/>
    </row>
    <row r="265" ht="14.25" customHeight="1" outlineLevel="1">
      <c r="A265" s="285">
        <v>262.0</v>
      </c>
      <c r="B265" s="817" t="s">
        <v>2271</v>
      </c>
      <c r="C265" s="595"/>
      <c r="D265" s="595"/>
      <c r="E265" s="595"/>
      <c r="F265" s="602">
        <v>50.0</v>
      </c>
      <c r="G265" s="301">
        <v>399.0</v>
      </c>
      <c r="H265" s="301">
        <v>399.0</v>
      </c>
      <c r="I265" s="603">
        <v>127.5</v>
      </c>
      <c r="J265" s="332">
        <f t="shared" si="130"/>
        <v>0.3195488722</v>
      </c>
      <c r="K265" s="300">
        <f t="shared" si="131"/>
        <v>241.5</v>
      </c>
      <c r="L265" s="413">
        <f t="shared" si="132"/>
        <v>1.894117647</v>
      </c>
      <c r="M265" s="331"/>
      <c r="N265" s="373" t="s">
        <v>112</v>
      </c>
      <c r="O265" s="300">
        <v>369.0</v>
      </c>
      <c r="P265" s="844"/>
      <c r="Q265" s="840"/>
      <c r="R265" s="840"/>
      <c r="S265" s="840"/>
      <c r="T265" s="840"/>
      <c r="U265" s="840"/>
      <c r="V265" s="840"/>
      <c r="W265" s="840"/>
      <c r="X265" s="840"/>
      <c r="Y265" s="840"/>
      <c r="Z265" s="840"/>
      <c r="AA265" s="840"/>
      <c r="AB265" s="840"/>
      <c r="AC265" s="840"/>
    </row>
    <row r="266" ht="14.25" customHeight="1" outlineLevel="1">
      <c r="A266" s="285">
        <v>263.0</v>
      </c>
      <c r="B266" s="817" t="s">
        <v>2272</v>
      </c>
      <c r="C266" s="595"/>
      <c r="D266" s="595"/>
      <c r="E266" s="595"/>
      <c r="F266" s="602">
        <v>50.0</v>
      </c>
      <c r="G266" s="301">
        <v>399.0</v>
      </c>
      <c r="H266" s="301">
        <v>399.0</v>
      </c>
      <c r="I266" s="603">
        <v>103.01</v>
      </c>
      <c r="J266" s="332">
        <f t="shared" si="130"/>
        <v>0.2581704261</v>
      </c>
      <c r="K266" s="300">
        <f t="shared" si="131"/>
        <v>265.99</v>
      </c>
      <c r="L266" s="413">
        <f t="shared" si="132"/>
        <v>2.582176488</v>
      </c>
      <c r="M266" s="331"/>
      <c r="N266" s="373" t="s">
        <v>112</v>
      </c>
      <c r="O266" s="300">
        <v>369.0</v>
      </c>
      <c r="P266" s="844"/>
      <c r="Q266" s="840"/>
      <c r="R266" s="840"/>
      <c r="S266" s="840"/>
      <c r="T266" s="840"/>
      <c r="U266" s="840"/>
      <c r="V266" s="840"/>
      <c r="W266" s="840"/>
      <c r="X266" s="840"/>
      <c r="Y266" s="840"/>
      <c r="Z266" s="840"/>
      <c r="AA266" s="840"/>
      <c r="AB266" s="840"/>
      <c r="AC266" s="840"/>
    </row>
    <row r="267" ht="15.75" customHeight="1">
      <c r="A267" s="876">
        <v>264.0</v>
      </c>
      <c r="B267" s="418"/>
      <c r="C267" s="290"/>
      <c r="D267" s="421"/>
      <c r="E267" s="290"/>
      <c r="F267" s="293"/>
      <c r="G267" s="906"/>
      <c r="H267" s="906"/>
      <c r="I267" s="843"/>
      <c r="J267" s="297"/>
      <c r="K267" s="326"/>
      <c r="L267" s="297"/>
      <c r="M267" s="331"/>
      <c r="N267" s="332"/>
      <c r="O267" s="298"/>
      <c r="P267" s="760"/>
      <c r="Q267" s="760"/>
      <c r="R267" s="760"/>
      <c r="S267" s="760"/>
      <c r="T267" s="760"/>
      <c r="U267" s="760"/>
      <c r="V267" s="760"/>
      <c r="W267" s="760"/>
      <c r="X267" s="760"/>
      <c r="Y267" s="760"/>
      <c r="Z267" s="760"/>
      <c r="AA267" s="760"/>
      <c r="AB267" s="760"/>
      <c r="AC267" s="760"/>
    </row>
    <row r="268" ht="15.75" customHeight="1">
      <c r="A268" s="803">
        <v>265.0</v>
      </c>
      <c r="B268" s="418" t="s">
        <v>2273</v>
      </c>
      <c r="C268" s="907" t="s">
        <v>2274</v>
      </c>
      <c r="D268" s="907" t="s">
        <v>2275</v>
      </c>
      <c r="E268" s="290"/>
      <c r="F268" s="293"/>
      <c r="G268" s="906"/>
      <c r="H268" s="906"/>
      <c r="I268" s="908"/>
      <c r="J268" s="297"/>
      <c r="K268" s="319"/>
      <c r="L268" s="332"/>
      <c r="M268" s="909"/>
      <c r="N268" s="431"/>
      <c r="O268" s="298"/>
      <c r="P268" s="760"/>
      <c r="Q268" s="760"/>
      <c r="R268" s="760"/>
      <c r="S268" s="760"/>
      <c r="T268" s="760"/>
      <c r="U268" s="760"/>
      <c r="V268" s="760"/>
      <c r="W268" s="760"/>
      <c r="X268" s="760"/>
      <c r="Y268" s="760"/>
      <c r="Z268" s="760"/>
      <c r="AA268" s="760"/>
      <c r="AB268" s="760"/>
      <c r="AC268" s="760"/>
    </row>
    <row r="269" ht="15.75" customHeight="1">
      <c r="A269" s="285">
        <v>266.0</v>
      </c>
      <c r="B269" s="594" t="s">
        <v>844</v>
      </c>
      <c r="C269" s="803"/>
      <c r="D269" s="803"/>
      <c r="E269" s="290"/>
      <c r="F269" s="910"/>
      <c r="G269" s="911"/>
      <c r="H269" s="911"/>
      <c r="I269" s="908"/>
      <c r="J269" s="297"/>
      <c r="K269" s="319"/>
      <c r="L269" s="332"/>
      <c r="M269" s="372"/>
      <c r="N269" s="373" t="s">
        <v>112</v>
      </c>
      <c r="O269" s="298"/>
      <c r="P269" s="760"/>
      <c r="Q269" s="760"/>
      <c r="R269" s="760"/>
      <c r="S269" s="760"/>
      <c r="T269" s="760"/>
      <c r="U269" s="760"/>
      <c r="V269" s="760"/>
      <c r="W269" s="760"/>
      <c r="X269" s="760"/>
      <c r="Y269" s="760"/>
      <c r="Z269" s="760"/>
      <c r="AA269" s="760"/>
      <c r="AB269" s="760"/>
      <c r="AC269" s="760"/>
    </row>
    <row r="270" ht="15.75" customHeight="1">
      <c r="A270" s="444">
        <v>267.0</v>
      </c>
      <c r="B270" s="912" t="s">
        <v>2276</v>
      </c>
      <c r="C270" s="444" t="s">
        <v>2277</v>
      </c>
      <c r="D270" s="335">
        <v>1183.0</v>
      </c>
      <c r="E270" s="444"/>
      <c r="F270" s="596">
        <v>50.0</v>
      </c>
      <c r="G270" s="913">
        <v>549.0</v>
      </c>
      <c r="H270" s="913">
        <v>549.0</v>
      </c>
      <c r="I270" s="345">
        <v>118.3</v>
      </c>
      <c r="J270" s="332">
        <f t="shared" ref="J270:J271" si="133">I270/O270</f>
        <v>0.2154826958</v>
      </c>
      <c r="K270" s="319">
        <f t="shared" ref="K270:K271" si="134">O270-I270</f>
        <v>430.7</v>
      </c>
      <c r="L270" s="332">
        <f t="shared" ref="L270:L271" si="135">O270/I270-1</f>
        <v>3.640743872</v>
      </c>
      <c r="M270" s="372"/>
      <c r="N270" s="373" t="s">
        <v>112</v>
      </c>
      <c r="O270" s="300">
        <v>549.0</v>
      </c>
      <c r="P270" s="760"/>
      <c r="Q270" s="760"/>
      <c r="R270" s="760"/>
      <c r="S270" s="760"/>
      <c r="T270" s="760"/>
      <c r="U270" s="760"/>
      <c r="V270" s="760"/>
      <c r="W270" s="760"/>
      <c r="X270" s="760"/>
      <c r="Y270" s="760"/>
      <c r="Z270" s="760"/>
      <c r="AA270" s="760"/>
      <c r="AB270" s="760"/>
      <c r="AC270" s="760"/>
    </row>
    <row r="271" ht="15.75" customHeight="1">
      <c r="A271" s="444">
        <v>268.0</v>
      </c>
      <c r="B271" s="912" t="s">
        <v>2278</v>
      </c>
      <c r="C271" s="444" t="s">
        <v>2277</v>
      </c>
      <c r="D271" s="335">
        <v>1632.0</v>
      </c>
      <c r="E271" s="444"/>
      <c r="F271" s="596">
        <v>50.0</v>
      </c>
      <c r="G271" s="913">
        <v>799.0</v>
      </c>
      <c r="H271" s="913">
        <v>799.0</v>
      </c>
      <c r="I271" s="345">
        <v>163.2</v>
      </c>
      <c r="J271" s="332">
        <f t="shared" si="133"/>
        <v>0.2042553191</v>
      </c>
      <c r="K271" s="319">
        <f t="shared" si="134"/>
        <v>635.8</v>
      </c>
      <c r="L271" s="332">
        <f t="shared" si="135"/>
        <v>3.895833333</v>
      </c>
      <c r="M271" s="372"/>
      <c r="N271" s="373" t="s">
        <v>112</v>
      </c>
      <c r="O271" s="300">
        <v>799.0</v>
      </c>
      <c r="P271" s="760"/>
      <c r="Q271" s="760"/>
      <c r="R271" s="760"/>
      <c r="S271" s="760"/>
      <c r="T271" s="760"/>
      <c r="U271" s="760"/>
      <c r="V271" s="760"/>
      <c r="W271" s="760"/>
      <c r="X271" s="760"/>
      <c r="Y271" s="760"/>
      <c r="Z271" s="760"/>
      <c r="AA271" s="760"/>
      <c r="AB271" s="760"/>
      <c r="AC271" s="760"/>
    </row>
    <row r="272" ht="15.75" customHeight="1">
      <c r="A272" s="444">
        <v>269.0</v>
      </c>
      <c r="B272" s="914" t="s">
        <v>2279</v>
      </c>
      <c r="C272" s="406"/>
      <c r="D272" s="325"/>
      <c r="E272" s="406"/>
      <c r="F272" s="910"/>
      <c r="G272" s="913"/>
      <c r="H272" s="913"/>
      <c r="I272" s="908"/>
      <c r="J272" s="297"/>
      <c r="K272" s="319"/>
      <c r="L272" s="332"/>
      <c r="M272" s="372"/>
      <c r="N272" s="373" t="s">
        <v>112</v>
      </c>
      <c r="O272" s="298"/>
      <c r="P272" s="760"/>
      <c r="Q272" s="760"/>
      <c r="R272" s="760"/>
      <c r="S272" s="760"/>
      <c r="T272" s="760"/>
      <c r="U272" s="760"/>
      <c r="V272" s="760"/>
      <c r="W272" s="760"/>
      <c r="X272" s="760"/>
      <c r="Y272" s="760"/>
      <c r="Z272" s="760"/>
      <c r="AA272" s="760"/>
      <c r="AB272" s="760"/>
      <c r="AC272" s="760"/>
    </row>
    <row r="273" ht="15.75" customHeight="1">
      <c r="A273" s="444">
        <v>270.0</v>
      </c>
      <c r="B273" s="915"/>
      <c r="C273" s="916"/>
      <c r="D273" s="335"/>
      <c r="E273" s="916"/>
      <c r="F273" s="596"/>
      <c r="G273" s="911"/>
      <c r="H273" s="911"/>
      <c r="I273" s="345"/>
      <c r="J273" s="332"/>
      <c r="K273" s="319"/>
      <c r="L273" s="332"/>
      <c r="M273" s="372"/>
      <c r="N273" s="373"/>
      <c r="O273" s="300"/>
      <c r="P273" s="760"/>
      <c r="Q273" s="760"/>
      <c r="R273" s="760"/>
      <c r="S273" s="760"/>
      <c r="T273" s="760"/>
      <c r="U273" s="760"/>
      <c r="V273" s="760"/>
      <c r="W273" s="760"/>
      <c r="X273" s="760"/>
      <c r="Y273" s="760"/>
      <c r="Z273" s="760"/>
      <c r="AA273" s="760"/>
      <c r="AB273" s="760"/>
      <c r="AC273" s="760"/>
    </row>
    <row r="274" ht="15.75" customHeight="1">
      <c r="A274" s="444">
        <v>271.0</v>
      </c>
      <c r="B274" s="915"/>
      <c r="C274" s="916"/>
      <c r="D274" s="335"/>
      <c r="E274" s="916"/>
      <c r="F274" s="596"/>
      <c r="G274" s="911"/>
      <c r="H274" s="911"/>
      <c r="I274" s="345"/>
      <c r="J274" s="332"/>
      <c r="K274" s="319"/>
      <c r="L274" s="332"/>
      <c r="M274" s="372"/>
      <c r="N274" s="373"/>
      <c r="O274" s="300"/>
      <c r="P274" s="760"/>
      <c r="Q274" s="760"/>
      <c r="R274" s="760"/>
      <c r="S274" s="760"/>
      <c r="T274" s="760"/>
      <c r="U274" s="760"/>
      <c r="V274" s="760"/>
      <c r="W274" s="760"/>
      <c r="X274" s="760"/>
      <c r="Y274" s="760"/>
      <c r="Z274" s="760"/>
      <c r="AA274" s="760"/>
      <c r="AB274" s="760"/>
      <c r="AC274" s="760"/>
    </row>
    <row r="275" ht="15.75" customHeight="1">
      <c r="A275" s="444">
        <v>272.0</v>
      </c>
      <c r="B275" s="914" t="s">
        <v>2280</v>
      </c>
      <c r="C275" s="406"/>
      <c r="D275" s="325"/>
      <c r="E275" s="406"/>
      <c r="F275" s="910"/>
      <c r="G275" s="911"/>
      <c r="H275" s="911"/>
      <c r="I275" s="908"/>
      <c r="J275" s="297"/>
      <c r="K275" s="319"/>
      <c r="L275" s="332"/>
      <c r="M275" s="372"/>
      <c r="N275" s="373"/>
      <c r="O275" s="298"/>
      <c r="P275" s="760"/>
      <c r="Q275" s="760"/>
      <c r="R275" s="760"/>
      <c r="S275" s="760"/>
      <c r="T275" s="760"/>
      <c r="U275" s="760"/>
      <c r="V275" s="760"/>
      <c r="W275" s="760"/>
      <c r="X275" s="760"/>
      <c r="Y275" s="760"/>
      <c r="Z275" s="760"/>
      <c r="AA275" s="760"/>
      <c r="AB275" s="760"/>
      <c r="AC275" s="760"/>
    </row>
    <row r="276" ht="15.75" customHeight="1">
      <c r="A276" s="444">
        <v>273.0</v>
      </c>
      <c r="B276" s="912" t="s">
        <v>2281</v>
      </c>
      <c r="C276" s="444" t="s">
        <v>2282</v>
      </c>
      <c r="D276" s="335">
        <v>5488.0</v>
      </c>
      <c r="E276" s="444"/>
      <c r="F276" s="596">
        <v>50.0</v>
      </c>
      <c r="G276" s="913">
        <v>1199.0</v>
      </c>
      <c r="H276" s="913">
        <v>1199.0</v>
      </c>
      <c r="I276" s="345">
        <v>274.4</v>
      </c>
      <c r="J276" s="332">
        <f t="shared" ref="J276:J277" si="136">I276/O276</f>
        <v>0.2288573812</v>
      </c>
      <c r="K276" s="319">
        <f t="shared" ref="K276:K277" si="137">O276-I276</f>
        <v>924.6</v>
      </c>
      <c r="L276" s="332">
        <f t="shared" ref="L276:L277" si="138">O276/I276-1</f>
        <v>3.369533528</v>
      </c>
      <c r="M276" s="372"/>
      <c r="N276" s="373" t="s">
        <v>112</v>
      </c>
      <c r="O276" s="300">
        <v>1199.0</v>
      </c>
      <c r="P276" s="760"/>
      <c r="Q276" s="760"/>
      <c r="R276" s="760"/>
      <c r="S276" s="760"/>
      <c r="T276" s="760"/>
      <c r="U276" s="760"/>
      <c r="V276" s="760"/>
      <c r="W276" s="760"/>
      <c r="X276" s="760"/>
      <c r="Y276" s="760"/>
      <c r="Z276" s="760"/>
      <c r="AA276" s="760"/>
      <c r="AB276" s="760"/>
      <c r="AC276" s="760"/>
    </row>
    <row r="277" ht="15.75" customHeight="1">
      <c r="A277" s="444">
        <v>274.0</v>
      </c>
      <c r="B277" s="761" t="s">
        <v>2283</v>
      </c>
      <c r="C277" s="444" t="s">
        <v>2282</v>
      </c>
      <c r="D277" s="335">
        <v>5574.0</v>
      </c>
      <c r="E277" s="444"/>
      <c r="F277" s="596">
        <v>50.0</v>
      </c>
      <c r="G277" s="913">
        <v>1199.0</v>
      </c>
      <c r="H277" s="913">
        <v>1199.0</v>
      </c>
      <c r="I277" s="345">
        <v>278.7</v>
      </c>
      <c r="J277" s="332">
        <f t="shared" si="136"/>
        <v>0.2324437031</v>
      </c>
      <c r="K277" s="319">
        <f t="shared" si="137"/>
        <v>920.3</v>
      </c>
      <c r="L277" s="332">
        <f t="shared" si="138"/>
        <v>3.302116972</v>
      </c>
      <c r="M277" s="372"/>
      <c r="N277" s="373" t="s">
        <v>112</v>
      </c>
      <c r="O277" s="300">
        <v>1199.0</v>
      </c>
      <c r="P277" s="760"/>
      <c r="Q277" s="760"/>
      <c r="R277" s="760"/>
      <c r="S277" s="760"/>
      <c r="T277" s="760"/>
      <c r="U277" s="760"/>
      <c r="V277" s="760"/>
      <c r="W277" s="760"/>
      <c r="X277" s="760"/>
      <c r="Y277" s="760"/>
      <c r="Z277" s="760"/>
      <c r="AA277" s="760"/>
      <c r="AB277" s="760"/>
      <c r="AC277" s="760"/>
    </row>
    <row r="278" ht="15.75" customHeight="1">
      <c r="A278" s="444">
        <v>275.0</v>
      </c>
      <c r="B278" s="914" t="s">
        <v>2284</v>
      </c>
      <c r="C278" s="406"/>
      <c r="D278" s="325"/>
      <c r="E278" s="406"/>
      <c r="F278" s="910"/>
      <c r="G278" s="913"/>
      <c r="H278" s="913"/>
      <c r="I278" s="908"/>
      <c r="J278" s="297"/>
      <c r="K278" s="319"/>
      <c r="L278" s="332"/>
      <c r="M278" s="372"/>
      <c r="N278" s="373"/>
      <c r="O278" s="298"/>
      <c r="P278" s="760"/>
      <c r="Q278" s="760"/>
      <c r="R278" s="760"/>
      <c r="S278" s="760"/>
      <c r="T278" s="760"/>
      <c r="U278" s="760"/>
      <c r="V278" s="760"/>
      <c r="W278" s="760"/>
      <c r="X278" s="760"/>
      <c r="Y278" s="760"/>
      <c r="Z278" s="760"/>
      <c r="AA278" s="760"/>
      <c r="AB278" s="760"/>
      <c r="AC278" s="760"/>
    </row>
    <row r="279" ht="15.75" customHeight="1">
      <c r="A279" s="444">
        <v>276.0</v>
      </c>
      <c r="B279" s="761" t="s">
        <v>2285</v>
      </c>
      <c r="C279" s="444" t="s">
        <v>2286</v>
      </c>
      <c r="D279" s="335">
        <v>5711.0</v>
      </c>
      <c r="E279" s="444"/>
      <c r="F279" s="596">
        <v>50.0</v>
      </c>
      <c r="G279" s="913">
        <v>1799.0</v>
      </c>
      <c r="H279" s="913">
        <v>1799.0</v>
      </c>
      <c r="I279" s="345">
        <v>407.92</v>
      </c>
      <c r="J279" s="332">
        <f t="shared" ref="J279:J280" si="139">I279/O279</f>
        <v>0.2267481934</v>
      </c>
      <c r="K279" s="319">
        <f t="shared" ref="K279:K280" si="140">O279-I279</f>
        <v>1391.08</v>
      </c>
      <c r="L279" s="332">
        <f t="shared" ref="L279:L280" si="141">O279/I279-1</f>
        <v>3.410178466</v>
      </c>
      <c r="M279" s="372"/>
      <c r="N279" s="373" t="s">
        <v>112</v>
      </c>
      <c r="O279" s="300">
        <v>1799.0</v>
      </c>
      <c r="P279" s="760"/>
      <c r="Q279" s="760"/>
      <c r="R279" s="760"/>
      <c r="S279" s="760"/>
      <c r="T279" s="760"/>
      <c r="U279" s="760"/>
      <c r="V279" s="760"/>
      <c r="W279" s="760"/>
      <c r="X279" s="760"/>
      <c r="Y279" s="760"/>
      <c r="Z279" s="760"/>
      <c r="AA279" s="760"/>
      <c r="AB279" s="760"/>
      <c r="AC279" s="760"/>
    </row>
    <row r="280" ht="15.75" customHeight="1">
      <c r="A280" s="444">
        <v>277.0</v>
      </c>
      <c r="B280" s="761" t="s">
        <v>2287</v>
      </c>
      <c r="C280" s="916" t="s">
        <v>2286</v>
      </c>
      <c r="D280" s="335">
        <v>4055.0</v>
      </c>
      <c r="E280" s="444"/>
      <c r="F280" s="596">
        <v>50.0</v>
      </c>
      <c r="G280" s="913">
        <v>1299.0</v>
      </c>
      <c r="H280" s="913">
        <v>1299.0</v>
      </c>
      <c r="I280" s="345">
        <v>289.64</v>
      </c>
      <c r="J280" s="332">
        <f t="shared" si="139"/>
        <v>0.2229715166</v>
      </c>
      <c r="K280" s="319">
        <f t="shared" si="140"/>
        <v>1009.36</v>
      </c>
      <c r="L280" s="332">
        <f t="shared" si="141"/>
        <v>3.484877779</v>
      </c>
      <c r="M280" s="372"/>
      <c r="N280" s="373" t="s">
        <v>112</v>
      </c>
      <c r="O280" s="300">
        <v>1299.0</v>
      </c>
      <c r="P280" s="760"/>
      <c r="Q280" s="760"/>
      <c r="R280" s="760"/>
      <c r="S280" s="760"/>
      <c r="T280" s="760"/>
      <c r="U280" s="760"/>
      <c r="V280" s="760"/>
      <c r="W280" s="760"/>
      <c r="X280" s="760"/>
      <c r="Y280" s="760"/>
      <c r="Z280" s="760"/>
      <c r="AA280" s="760"/>
      <c r="AB280" s="760"/>
      <c r="AC280" s="760"/>
    </row>
    <row r="281" ht="15.75" customHeight="1">
      <c r="A281" s="444">
        <v>278.0</v>
      </c>
      <c r="B281" s="914" t="s">
        <v>863</v>
      </c>
      <c r="C281" s="406"/>
      <c r="D281" s="325"/>
      <c r="E281" s="406"/>
      <c r="F281" s="910"/>
      <c r="G281" s="913"/>
      <c r="H281" s="913"/>
      <c r="I281" s="908"/>
      <c r="J281" s="297"/>
      <c r="K281" s="319"/>
      <c r="L281" s="332"/>
      <c r="M281" s="372"/>
      <c r="N281" s="373" t="s">
        <v>112</v>
      </c>
      <c r="O281" s="298"/>
      <c r="P281" s="760"/>
      <c r="Q281" s="760"/>
      <c r="R281" s="760"/>
      <c r="S281" s="760"/>
      <c r="T281" s="760"/>
      <c r="U281" s="760"/>
      <c r="V281" s="760"/>
      <c r="W281" s="760"/>
      <c r="X281" s="760"/>
      <c r="Y281" s="760"/>
      <c r="Z281" s="760"/>
      <c r="AA281" s="760"/>
      <c r="AB281" s="760"/>
      <c r="AC281" s="760"/>
    </row>
    <row r="282" ht="15.75" customHeight="1">
      <c r="A282" s="759">
        <v>279.0</v>
      </c>
      <c r="B282" s="761" t="s">
        <v>2288</v>
      </c>
      <c r="C282" s="444" t="s">
        <v>2277</v>
      </c>
      <c r="D282" s="335">
        <v>5698.0</v>
      </c>
      <c r="E282" s="444"/>
      <c r="F282" s="596">
        <v>50.0</v>
      </c>
      <c r="G282" s="913">
        <v>2499.0</v>
      </c>
      <c r="H282" s="913">
        <v>2499.0</v>
      </c>
      <c r="I282" s="345">
        <v>569.8</v>
      </c>
      <c r="J282" s="332">
        <f>I282/O282</f>
        <v>0.2280112045</v>
      </c>
      <c r="K282" s="319">
        <f>O282-I282</f>
        <v>1929.2</v>
      </c>
      <c r="L282" s="332">
        <f>O282/I282-1</f>
        <v>3.385749386</v>
      </c>
      <c r="M282" s="372"/>
      <c r="N282" s="373" t="s">
        <v>112</v>
      </c>
      <c r="O282" s="300">
        <v>2499.0</v>
      </c>
      <c r="P282" s="760"/>
      <c r="Q282" s="760"/>
      <c r="R282" s="760"/>
      <c r="S282" s="760"/>
      <c r="T282" s="760"/>
      <c r="U282" s="760"/>
      <c r="V282" s="760"/>
      <c r="W282" s="760"/>
      <c r="X282" s="760"/>
      <c r="Y282" s="760"/>
      <c r="Z282" s="760"/>
      <c r="AA282" s="760"/>
      <c r="AB282" s="760"/>
      <c r="AC282" s="760"/>
    </row>
    <row r="283" ht="18.0" customHeight="1">
      <c r="A283" s="803">
        <v>280.0</v>
      </c>
      <c r="B283" s="418" t="s">
        <v>915</v>
      </c>
      <c r="C283" s="290"/>
      <c r="D283" s="290"/>
      <c r="E283" s="290"/>
      <c r="F283" s="293"/>
      <c r="G283" s="357" t="s">
        <v>916</v>
      </c>
      <c r="H283" s="357" t="s">
        <v>916</v>
      </c>
      <c r="I283" s="357"/>
      <c r="J283" s="843"/>
      <c r="K283" s="303"/>
      <c r="L283" s="298"/>
      <c r="M283" s="303"/>
      <c r="N283" s="299"/>
      <c r="O283" s="377"/>
      <c r="P283" s="298"/>
      <c r="Q283" s="840"/>
      <c r="R283" s="840"/>
      <c r="S283" s="840"/>
      <c r="T283" s="840"/>
      <c r="U283" s="840"/>
      <c r="V283" s="840"/>
      <c r="W283" s="840"/>
      <c r="X283" s="840"/>
      <c r="Y283" s="840"/>
      <c r="Z283" s="840"/>
      <c r="AA283" s="840"/>
      <c r="AB283" s="840"/>
      <c r="AC283" s="840"/>
    </row>
    <row r="284" ht="15.75" customHeight="1">
      <c r="A284" s="917">
        <v>281.0</v>
      </c>
      <c r="B284" s="390" t="s">
        <v>918</v>
      </c>
      <c r="C284" s="390" t="s">
        <v>2125</v>
      </c>
      <c r="D284" s="573"/>
      <c r="E284" s="573"/>
      <c r="F284" s="918">
        <v>400.0</v>
      </c>
      <c r="G284" s="301">
        <v>189.0</v>
      </c>
      <c r="H284" s="301">
        <v>189.0</v>
      </c>
      <c r="I284" s="603">
        <v>29.91</v>
      </c>
      <c r="J284" s="919">
        <f t="shared" ref="J284:J289" si="142">I284/H284</f>
        <v>0.1582539683</v>
      </c>
      <c r="K284" s="315">
        <f t="shared" ref="K284:K288" si="143">O284-I284</f>
        <v>199.09</v>
      </c>
      <c r="L284" s="316">
        <f t="shared" ref="L284:L288" si="144">O284/I284-1</f>
        <v>6.65630224</v>
      </c>
      <c r="M284" s="331"/>
      <c r="N284" s="808" t="s">
        <v>112</v>
      </c>
      <c r="O284" s="300">
        <v>229.0</v>
      </c>
      <c r="P284" s="920"/>
      <c r="Q284" s="457"/>
      <c r="R284" s="457"/>
      <c r="S284" s="457"/>
      <c r="T284" s="457"/>
      <c r="U284" s="457"/>
      <c r="V284" s="457"/>
      <c r="W284" s="457"/>
      <c r="X284" s="457"/>
      <c r="Y284" s="457"/>
      <c r="Z284" s="457"/>
      <c r="AA284" s="457"/>
      <c r="AB284" s="457"/>
      <c r="AC284" s="457"/>
    </row>
    <row r="285" ht="15.75" customHeight="1">
      <c r="A285" s="917">
        <v>282.0</v>
      </c>
      <c r="B285" s="390" t="s">
        <v>919</v>
      </c>
      <c r="C285" s="390" t="s">
        <v>1337</v>
      </c>
      <c r="D285" s="573"/>
      <c r="E285" s="573"/>
      <c r="F285" s="918">
        <v>1000.0</v>
      </c>
      <c r="G285" s="301">
        <v>299.0</v>
      </c>
      <c r="H285" s="301">
        <v>299.0</v>
      </c>
      <c r="I285" s="603">
        <v>59.83</v>
      </c>
      <c r="J285" s="921">
        <f t="shared" si="142"/>
        <v>0.2001003344</v>
      </c>
      <c r="K285" s="315">
        <f t="shared" si="143"/>
        <v>339.17</v>
      </c>
      <c r="L285" s="316">
        <f t="shared" si="144"/>
        <v>5.668895203</v>
      </c>
      <c r="M285" s="442"/>
      <c r="N285" s="808" t="s">
        <v>112</v>
      </c>
      <c r="O285" s="300">
        <v>399.0</v>
      </c>
      <c r="P285" s="920"/>
      <c r="Q285" s="457"/>
      <c r="R285" s="457"/>
      <c r="S285" s="457"/>
      <c r="T285" s="457"/>
      <c r="U285" s="457"/>
      <c r="V285" s="457"/>
      <c r="W285" s="457"/>
      <c r="X285" s="457"/>
      <c r="Y285" s="457"/>
      <c r="Z285" s="457"/>
      <c r="AA285" s="457"/>
      <c r="AB285" s="457"/>
      <c r="AC285" s="457"/>
    </row>
    <row r="286" ht="15.75" customHeight="1">
      <c r="A286" s="917">
        <v>283.0</v>
      </c>
      <c r="B286" s="390" t="s">
        <v>920</v>
      </c>
      <c r="C286" s="390" t="s">
        <v>1339</v>
      </c>
      <c r="D286" s="922"/>
      <c r="E286" s="573"/>
      <c r="F286" s="923">
        <v>300.0</v>
      </c>
      <c r="G286" s="301">
        <v>239.0</v>
      </c>
      <c r="H286" s="301">
        <v>239.0</v>
      </c>
      <c r="I286" s="345">
        <v>20.58</v>
      </c>
      <c r="J286" s="924">
        <f t="shared" si="142"/>
        <v>0.08610878661</v>
      </c>
      <c r="K286" s="315">
        <f t="shared" si="143"/>
        <v>258.42</v>
      </c>
      <c r="L286" s="316">
        <f t="shared" si="144"/>
        <v>12.55685131</v>
      </c>
      <c r="M286" s="317"/>
      <c r="N286" s="808" t="s">
        <v>112</v>
      </c>
      <c r="O286" s="300">
        <v>279.0</v>
      </c>
      <c r="P286" s="920"/>
      <c r="Q286" s="457"/>
      <c r="R286" s="457"/>
      <c r="S286" s="457"/>
      <c r="T286" s="457"/>
      <c r="U286" s="457"/>
      <c r="V286" s="457"/>
      <c r="W286" s="457"/>
      <c r="X286" s="457"/>
      <c r="Y286" s="457"/>
      <c r="Z286" s="457"/>
      <c r="AA286" s="457"/>
      <c r="AB286" s="457"/>
      <c r="AC286" s="457"/>
    </row>
    <row r="287" ht="15.75" customHeight="1">
      <c r="A287" s="917">
        <v>284.0</v>
      </c>
      <c r="B287" s="390" t="s">
        <v>921</v>
      </c>
      <c r="C287" s="390" t="s">
        <v>2129</v>
      </c>
      <c r="D287" s="925" t="s">
        <v>922</v>
      </c>
      <c r="E287" s="573"/>
      <c r="F287" s="923">
        <v>350.0</v>
      </c>
      <c r="G287" s="301">
        <v>239.0</v>
      </c>
      <c r="H287" s="301">
        <v>239.0</v>
      </c>
      <c r="I287" s="345">
        <v>17.56</v>
      </c>
      <c r="J287" s="400">
        <f t="shared" si="142"/>
        <v>0.07347280335</v>
      </c>
      <c r="K287" s="319">
        <f t="shared" si="143"/>
        <v>261.44</v>
      </c>
      <c r="L287" s="332">
        <f t="shared" si="144"/>
        <v>14.88838269</v>
      </c>
      <c r="M287" s="442"/>
      <c r="N287" s="810"/>
      <c r="O287" s="300">
        <v>279.0</v>
      </c>
      <c r="P287" s="442"/>
      <c r="Q287" s="491"/>
      <c r="R287" s="491"/>
      <c r="S287" s="491"/>
      <c r="T287" s="491"/>
      <c r="U287" s="491"/>
      <c r="V287" s="491"/>
      <c r="W287" s="491"/>
      <c r="X287" s="491"/>
      <c r="Y287" s="491"/>
      <c r="Z287" s="491"/>
      <c r="AA287" s="491"/>
      <c r="AB287" s="491"/>
      <c r="AC287" s="491"/>
    </row>
    <row r="288" ht="15.75" customHeight="1">
      <c r="A288" s="917">
        <v>285.0</v>
      </c>
      <c r="B288" s="390" t="s">
        <v>923</v>
      </c>
      <c r="C288" s="390" t="s">
        <v>2133</v>
      </c>
      <c r="D288" s="922"/>
      <c r="E288" s="573"/>
      <c r="F288" s="923">
        <v>350.0</v>
      </c>
      <c r="G288" s="301">
        <v>239.0</v>
      </c>
      <c r="H288" s="301">
        <v>239.0</v>
      </c>
      <c r="I288" s="345">
        <v>38.21</v>
      </c>
      <c r="J288" s="472">
        <f t="shared" si="142"/>
        <v>0.159874477</v>
      </c>
      <c r="K288" s="319">
        <f t="shared" si="143"/>
        <v>-38.21</v>
      </c>
      <c r="L288" s="332">
        <f t="shared" si="144"/>
        <v>-1</v>
      </c>
      <c r="M288" s="442"/>
      <c r="N288" s="810"/>
      <c r="O288" s="577"/>
      <c r="P288" s="442"/>
      <c r="Q288" s="491"/>
      <c r="R288" s="491"/>
      <c r="S288" s="491"/>
      <c r="T288" s="491"/>
      <c r="U288" s="491"/>
      <c r="V288" s="491"/>
      <c r="W288" s="491"/>
      <c r="X288" s="491"/>
      <c r="Y288" s="491"/>
      <c r="Z288" s="491"/>
      <c r="AA288" s="491"/>
      <c r="AB288" s="491"/>
      <c r="AC288" s="491"/>
    </row>
    <row r="289" ht="15.75" customHeight="1">
      <c r="A289" s="917">
        <v>286.0</v>
      </c>
      <c r="B289" s="390" t="s">
        <v>924</v>
      </c>
      <c r="C289" s="390" t="s">
        <v>2134</v>
      </c>
      <c r="D289" s="922"/>
      <c r="E289" s="573"/>
      <c r="F289" s="923">
        <v>350.0</v>
      </c>
      <c r="G289" s="301">
        <v>239.0</v>
      </c>
      <c r="H289" s="301">
        <v>239.0</v>
      </c>
      <c r="I289" s="345">
        <v>27.19</v>
      </c>
      <c r="J289" s="926">
        <f t="shared" si="142"/>
        <v>0.1137656904</v>
      </c>
      <c r="K289" s="319" t="str">
        <f>O289-#REF!</f>
        <v>#REF!</v>
      </c>
      <c r="L289" s="332" t="str">
        <f>O289/#REF!-1</f>
        <v>#REF!</v>
      </c>
      <c r="M289" s="442"/>
      <c r="N289" s="810"/>
      <c r="O289" s="577"/>
      <c r="P289" s="442"/>
      <c r="Q289" s="491"/>
      <c r="R289" s="491"/>
      <c r="S289" s="491"/>
      <c r="T289" s="491"/>
      <c r="U289" s="491"/>
      <c r="V289" s="491"/>
      <c r="W289" s="491"/>
      <c r="X289" s="491"/>
      <c r="Y289" s="491"/>
      <c r="Z289" s="491"/>
      <c r="AA289" s="491"/>
      <c r="AB289" s="491"/>
      <c r="AC289" s="491"/>
    </row>
    <row r="290" ht="15.75" customHeight="1">
      <c r="A290" s="406">
        <v>287.0</v>
      </c>
      <c r="B290" s="914" t="s">
        <v>925</v>
      </c>
      <c r="C290" s="406"/>
      <c r="D290" s="325"/>
      <c r="E290" s="406"/>
      <c r="F290" s="910"/>
      <c r="G290" s="294"/>
      <c r="H290" s="294"/>
      <c r="I290" s="294"/>
      <c r="J290" s="908"/>
      <c r="K290" s="297"/>
      <c r="L290" s="326"/>
      <c r="M290" s="297"/>
      <c r="N290" s="408"/>
      <c r="O290" s="297"/>
      <c r="P290" s="298"/>
      <c r="Q290" s="760"/>
      <c r="R290" s="760"/>
      <c r="S290" s="760"/>
      <c r="T290" s="760"/>
      <c r="U290" s="760"/>
      <c r="V290" s="760"/>
      <c r="W290" s="760"/>
      <c r="X290" s="760"/>
      <c r="Y290" s="760"/>
      <c r="Z290" s="760"/>
      <c r="AA290" s="760"/>
      <c r="AB290" s="760"/>
      <c r="AC290" s="760"/>
    </row>
    <row r="291" ht="15.75" customHeight="1">
      <c r="A291" s="917">
        <v>288.0</v>
      </c>
      <c r="B291" s="390" t="s">
        <v>926</v>
      </c>
      <c r="C291" s="390" t="s">
        <v>2186</v>
      </c>
      <c r="D291" s="925" t="s">
        <v>927</v>
      </c>
      <c r="E291" s="573"/>
      <c r="F291" s="923">
        <v>250.0</v>
      </c>
      <c r="G291" s="301">
        <v>329.0</v>
      </c>
      <c r="H291" s="301">
        <v>329.0</v>
      </c>
      <c r="I291" s="345">
        <v>51.34</v>
      </c>
      <c r="J291" s="477">
        <f t="shared" ref="J291:J300" si="145">I291/H291</f>
        <v>0.1560486322</v>
      </c>
      <c r="K291" s="315">
        <f t="shared" ref="K291:K300" si="146">O291-I291</f>
        <v>307.66</v>
      </c>
      <c r="L291" s="316">
        <f t="shared" ref="L291:L300" si="147">O291/I291-1</f>
        <v>5.992598364</v>
      </c>
      <c r="M291" s="452"/>
      <c r="N291" s="808" t="s">
        <v>112</v>
      </c>
      <c r="O291" s="300">
        <v>359.0</v>
      </c>
      <c r="P291" s="920"/>
      <c r="Q291" s="457"/>
      <c r="R291" s="457"/>
      <c r="S291" s="457"/>
      <c r="T291" s="457"/>
      <c r="U291" s="457"/>
      <c r="V291" s="457"/>
      <c r="W291" s="457"/>
      <c r="X291" s="457"/>
      <c r="Y291" s="457"/>
      <c r="Z291" s="457"/>
      <c r="AA291" s="457"/>
      <c r="AB291" s="457"/>
      <c r="AC291" s="457"/>
    </row>
    <row r="292" ht="15.75" customHeight="1">
      <c r="A292" s="917">
        <v>289.0</v>
      </c>
      <c r="B292" s="390" t="s">
        <v>928</v>
      </c>
      <c r="C292" s="390" t="s">
        <v>1641</v>
      </c>
      <c r="D292" s="925" t="s">
        <v>929</v>
      </c>
      <c r="E292" s="573"/>
      <c r="F292" s="923">
        <v>250.0</v>
      </c>
      <c r="G292" s="301">
        <v>329.0</v>
      </c>
      <c r="H292" s="301">
        <v>329.0</v>
      </c>
      <c r="I292" s="345">
        <v>64.01</v>
      </c>
      <c r="J292" s="477">
        <f t="shared" si="145"/>
        <v>0.1945592705</v>
      </c>
      <c r="K292" s="315">
        <f t="shared" si="146"/>
        <v>294.99</v>
      </c>
      <c r="L292" s="316">
        <f t="shared" si="147"/>
        <v>4.608498672</v>
      </c>
      <c r="M292" s="452"/>
      <c r="N292" s="808" t="s">
        <v>112</v>
      </c>
      <c r="O292" s="300">
        <v>359.0</v>
      </c>
      <c r="P292" s="920"/>
      <c r="Q292" s="457"/>
      <c r="R292" s="457"/>
      <c r="S292" s="457"/>
      <c r="T292" s="457"/>
      <c r="U292" s="457"/>
      <c r="V292" s="457"/>
      <c r="W292" s="457"/>
      <c r="X292" s="457"/>
      <c r="Y292" s="457"/>
      <c r="Z292" s="457"/>
      <c r="AA292" s="457"/>
      <c r="AB292" s="457"/>
      <c r="AC292" s="457"/>
    </row>
    <row r="293" ht="15.75" customHeight="1">
      <c r="A293" s="917">
        <v>290.0</v>
      </c>
      <c r="B293" s="390" t="s">
        <v>930</v>
      </c>
      <c r="C293" s="390" t="s">
        <v>1410</v>
      </c>
      <c r="D293" s="925" t="s">
        <v>931</v>
      </c>
      <c r="E293" s="573"/>
      <c r="F293" s="923">
        <v>250.0</v>
      </c>
      <c r="G293" s="301">
        <v>329.0</v>
      </c>
      <c r="H293" s="301">
        <v>329.0</v>
      </c>
      <c r="I293" s="345">
        <v>64.01</v>
      </c>
      <c r="J293" s="477">
        <f t="shared" si="145"/>
        <v>0.1945592705</v>
      </c>
      <c r="K293" s="315">
        <f t="shared" si="146"/>
        <v>294.99</v>
      </c>
      <c r="L293" s="316">
        <f t="shared" si="147"/>
        <v>4.608498672</v>
      </c>
      <c r="M293" s="452"/>
      <c r="N293" s="808" t="s">
        <v>112</v>
      </c>
      <c r="O293" s="300">
        <v>359.0</v>
      </c>
      <c r="P293" s="920"/>
      <c r="Q293" s="457"/>
      <c r="R293" s="457"/>
      <c r="S293" s="457"/>
      <c r="T293" s="457"/>
      <c r="U293" s="457"/>
      <c r="V293" s="457"/>
      <c r="W293" s="457"/>
      <c r="X293" s="457"/>
      <c r="Y293" s="457"/>
      <c r="Z293" s="457"/>
      <c r="AA293" s="457"/>
      <c r="AB293" s="457"/>
      <c r="AC293" s="457"/>
    </row>
    <row r="294" ht="15.75" customHeight="1">
      <c r="A294" s="917">
        <v>291.0</v>
      </c>
      <c r="B294" s="390" t="s">
        <v>769</v>
      </c>
      <c r="C294" s="390" t="s">
        <v>1642</v>
      </c>
      <c r="D294" s="925" t="s">
        <v>932</v>
      </c>
      <c r="E294" s="573"/>
      <c r="F294" s="923">
        <v>300.0</v>
      </c>
      <c r="G294" s="301">
        <v>329.0</v>
      </c>
      <c r="H294" s="301">
        <v>329.0</v>
      </c>
      <c r="I294" s="608">
        <v>67.84</v>
      </c>
      <c r="J294" s="477">
        <f t="shared" si="145"/>
        <v>0.2062006079</v>
      </c>
      <c r="K294" s="411">
        <f t="shared" si="146"/>
        <v>291.16</v>
      </c>
      <c r="L294" s="316">
        <f t="shared" si="147"/>
        <v>4.291863208</v>
      </c>
      <c r="M294" s="452"/>
      <c r="N294" s="808" t="s">
        <v>112</v>
      </c>
      <c r="O294" s="300">
        <v>359.0</v>
      </c>
      <c r="P294" s="920"/>
      <c r="Q294" s="457"/>
      <c r="R294" s="457"/>
      <c r="S294" s="457"/>
      <c r="T294" s="457"/>
      <c r="U294" s="457"/>
      <c r="V294" s="457"/>
      <c r="W294" s="457"/>
      <c r="X294" s="457"/>
      <c r="Y294" s="457"/>
      <c r="Z294" s="457"/>
      <c r="AA294" s="457"/>
      <c r="AB294" s="457"/>
      <c r="AC294" s="457"/>
    </row>
    <row r="295" ht="15.75" customHeight="1">
      <c r="A295" s="917">
        <v>292.0</v>
      </c>
      <c r="B295" s="390" t="s">
        <v>771</v>
      </c>
      <c r="C295" s="390" t="s">
        <v>933</v>
      </c>
      <c r="D295" s="925" t="s">
        <v>933</v>
      </c>
      <c r="E295" s="573"/>
      <c r="F295" s="923">
        <v>300.0</v>
      </c>
      <c r="G295" s="301">
        <v>329.0</v>
      </c>
      <c r="H295" s="301">
        <v>329.0</v>
      </c>
      <c r="I295" s="345">
        <v>83.63</v>
      </c>
      <c r="J295" s="332">
        <f t="shared" si="145"/>
        <v>0.2541945289</v>
      </c>
      <c r="K295" s="411">
        <f t="shared" si="146"/>
        <v>265.37</v>
      </c>
      <c r="L295" s="316">
        <f t="shared" si="147"/>
        <v>3.173143609</v>
      </c>
      <c r="M295" s="452"/>
      <c r="N295" s="808" t="s">
        <v>112</v>
      </c>
      <c r="O295" s="300">
        <v>349.0</v>
      </c>
      <c r="P295" s="920"/>
      <c r="Q295" s="457"/>
      <c r="R295" s="457"/>
      <c r="S295" s="457"/>
      <c r="T295" s="457"/>
      <c r="U295" s="457"/>
      <c r="V295" s="457"/>
      <c r="W295" s="457"/>
      <c r="X295" s="457"/>
      <c r="Y295" s="457"/>
      <c r="Z295" s="457"/>
      <c r="AA295" s="457"/>
      <c r="AB295" s="457"/>
      <c r="AC295" s="457"/>
    </row>
    <row r="296" ht="14.25" customHeight="1" outlineLevel="1">
      <c r="A296" s="917">
        <v>293.0</v>
      </c>
      <c r="B296" s="390" t="s">
        <v>598</v>
      </c>
      <c r="C296" s="390" t="s">
        <v>1402</v>
      </c>
      <c r="D296" s="390" t="s">
        <v>938</v>
      </c>
      <c r="E296" s="390"/>
      <c r="F296" s="923">
        <v>300.0</v>
      </c>
      <c r="G296" s="301">
        <v>329.0</v>
      </c>
      <c r="H296" s="301">
        <v>329.0</v>
      </c>
      <c r="I296" s="345">
        <v>66.3</v>
      </c>
      <c r="J296" s="332">
        <f t="shared" si="145"/>
        <v>0.2015197568</v>
      </c>
      <c r="K296" s="411">
        <f t="shared" si="146"/>
        <v>282.7</v>
      </c>
      <c r="L296" s="316">
        <f t="shared" si="147"/>
        <v>4.263951735</v>
      </c>
      <c r="M296" s="317"/>
      <c r="N296" s="318" t="s">
        <v>112</v>
      </c>
      <c r="O296" s="300">
        <v>349.0</v>
      </c>
      <c r="P296" s="844"/>
      <c r="Q296" s="840"/>
      <c r="R296" s="840"/>
      <c r="S296" s="840"/>
      <c r="T296" s="840"/>
      <c r="U296" s="840"/>
      <c r="V296" s="840"/>
      <c r="W296" s="840"/>
      <c r="X296" s="840"/>
      <c r="Y296" s="840"/>
      <c r="Z296" s="840"/>
      <c r="AA296" s="840"/>
      <c r="AB296" s="840"/>
      <c r="AC296" s="840"/>
    </row>
    <row r="297" ht="15.75" customHeight="1">
      <c r="A297" s="917">
        <v>294.0</v>
      </c>
      <c r="B297" s="390" t="s">
        <v>934</v>
      </c>
      <c r="C297" s="390" t="s">
        <v>2216</v>
      </c>
      <c r="D297" s="925" t="s">
        <v>935</v>
      </c>
      <c r="E297" s="573"/>
      <c r="F297" s="918">
        <v>300.0</v>
      </c>
      <c r="G297" s="311">
        <v>329.0</v>
      </c>
      <c r="H297" s="311">
        <v>329.0</v>
      </c>
      <c r="I297" s="603">
        <v>56.43</v>
      </c>
      <c r="J297" s="477">
        <f t="shared" si="145"/>
        <v>0.1715197568</v>
      </c>
      <c r="K297" s="300">
        <f t="shared" si="146"/>
        <v>282.57</v>
      </c>
      <c r="L297" s="413">
        <f t="shared" si="147"/>
        <v>5.00744285</v>
      </c>
      <c r="M297" s="442"/>
      <c r="N297" s="808" t="s">
        <v>112</v>
      </c>
      <c r="O297" s="319">
        <v>339.0</v>
      </c>
      <c r="P297" s="920"/>
      <c r="Q297" s="457"/>
      <c r="R297" s="457"/>
      <c r="S297" s="457"/>
      <c r="T297" s="457"/>
      <c r="U297" s="457"/>
      <c r="V297" s="457"/>
      <c r="W297" s="457"/>
      <c r="X297" s="457"/>
      <c r="Y297" s="457"/>
      <c r="Z297" s="457"/>
      <c r="AA297" s="457"/>
      <c r="AB297" s="457"/>
      <c r="AC297" s="457"/>
    </row>
    <row r="298" ht="15.75" customHeight="1">
      <c r="A298" s="917">
        <v>295.0</v>
      </c>
      <c r="B298" s="390" t="s">
        <v>936</v>
      </c>
      <c r="C298" s="390" t="s">
        <v>1646</v>
      </c>
      <c r="D298" s="925" t="s">
        <v>937</v>
      </c>
      <c r="E298" s="573"/>
      <c r="F298" s="923">
        <v>300.0</v>
      </c>
      <c r="G298" s="311">
        <v>329.0</v>
      </c>
      <c r="H298" s="311">
        <v>329.0</v>
      </c>
      <c r="I298" s="345">
        <v>54.36</v>
      </c>
      <c r="J298" s="477">
        <f t="shared" si="145"/>
        <v>0.1652279635</v>
      </c>
      <c r="K298" s="411">
        <f t="shared" si="146"/>
        <v>284.64</v>
      </c>
      <c r="L298" s="316">
        <f t="shared" si="147"/>
        <v>5.236203091</v>
      </c>
      <c r="M298" s="442"/>
      <c r="N298" s="808" t="s">
        <v>112</v>
      </c>
      <c r="O298" s="319">
        <v>339.0</v>
      </c>
      <c r="P298" s="920"/>
      <c r="Q298" s="457"/>
      <c r="R298" s="457"/>
      <c r="S298" s="457"/>
      <c r="T298" s="457"/>
      <c r="U298" s="457"/>
      <c r="V298" s="457"/>
      <c r="W298" s="457"/>
      <c r="X298" s="457"/>
      <c r="Y298" s="457"/>
      <c r="Z298" s="457"/>
      <c r="AA298" s="457"/>
      <c r="AB298" s="457"/>
      <c r="AC298" s="457"/>
    </row>
    <row r="299" ht="15.75" customHeight="1">
      <c r="A299" s="917">
        <v>296.0</v>
      </c>
      <c r="B299" s="390" t="s">
        <v>939</v>
      </c>
      <c r="C299" s="390" t="s">
        <v>2253</v>
      </c>
      <c r="D299" s="925" t="s">
        <v>940</v>
      </c>
      <c r="E299" s="573"/>
      <c r="F299" s="918">
        <v>300.0</v>
      </c>
      <c r="G299" s="301">
        <v>699.0</v>
      </c>
      <c r="H299" s="301">
        <v>699.0</v>
      </c>
      <c r="I299" s="603">
        <v>122.41</v>
      </c>
      <c r="J299" s="477">
        <f t="shared" si="145"/>
        <v>0.1751216023</v>
      </c>
      <c r="K299" s="300">
        <f t="shared" si="146"/>
        <v>676.59</v>
      </c>
      <c r="L299" s="413">
        <f t="shared" si="147"/>
        <v>5.527244506</v>
      </c>
      <c r="M299" s="442"/>
      <c r="N299" s="808" t="s">
        <v>112</v>
      </c>
      <c r="O299" s="300">
        <v>799.0</v>
      </c>
      <c r="P299" s="920"/>
      <c r="Q299" s="457"/>
      <c r="R299" s="457"/>
      <c r="S299" s="457"/>
      <c r="T299" s="457"/>
      <c r="U299" s="457"/>
      <c r="V299" s="457"/>
      <c r="W299" s="457"/>
      <c r="X299" s="457"/>
      <c r="Y299" s="457"/>
      <c r="Z299" s="457"/>
      <c r="AA299" s="457"/>
      <c r="AB299" s="457"/>
      <c r="AC299" s="457"/>
    </row>
    <row r="300" ht="15.75" customHeight="1">
      <c r="A300" s="917">
        <v>297.0</v>
      </c>
      <c r="B300" s="390" t="s">
        <v>941</v>
      </c>
      <c r="C300" s="390" t="s">
        <v>2254</v>
      </c>
      <c r="D300" s="925" t="s">
        <v>942</v>
      </c>
      <c r="E300" s="573"/>
      <c r="F300" s="918">
        <v>300.0</v>
      </c>
      <c r="G300" s="301">
        <v>699.0</v>
      </c>
      <c r="H300" s="301">
        <v>699.0</v>
      </c>
      <c r="I300" s="603">
        <v>90.76</v>
      </c>
      <c r="J300" s="477">
        <f t="shared" si="145"/>
        <v>0.1298426323</v>
      </c>
      <c r="K300" s="300">
        <f t="shared" si="146"/>
        <v>708.24</v>
      </c>
      <c r="L300" s="413">
        <f t="shared" si="147"/>
        <v>7.803437638</v>
      </c>
      <c r="M300" s="442"/>
      <c r="N300" s="808" t="s">
        <v>112</v>
      </c>
      <c r="O300" s="300">
        <v>799.0</v>
      </c>
      <c r="P300" s="920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</row>
    <row r="301" ht="15.75" customHeight="1">
      <c r="A301" s="759">
        <v>298.0</v>
      </c>
      <c r="B301" s="927"/>
      <c r="C301" s="760"/>
      <c r="D301" s="928"/>
      <c r="E301" s="759"/>
      <c r="F301" s="759"/>
      <c r="G301" s="929"/>
      <c r="H301" s="929"/>
      <c r="I301" s="930"/>
      <c r="J301" s="759"/>
      <c r="K301" s="759"/>
      <c r="L301" s="760"/>
      <c r="M301" s="760"/>
      <c r="N301" s="760"/>
      <c r="O301" s="759"/>
      <c r="P301" s="760"/>
      <c r="Q301" s="760"/>
      <c r="R301" s="760"/>
      <c r="S301" s="760"/>
      <c r="T301" s="760"/>
      <c r="U301" s="760"/>
      <c r="V301" s="760"/>
      <c r="W301" s="760"/>
      <c r="X301" s="760"/>
      <c r="Y301" s="760"/>
      <c r="Z301" s="760"/>
      <c r="AA301" s="760"/>
      <c r="AB301" s="760"/>
      <c r="AC301" s="760"/>
    </row>
    <row r="302" ht="15.75" customHeight="1">
      <c r="A302" s="907">
        <v>299.0</v>
      </c>
      <c r="B302" s="418" t="s">
        <v>943</v>
      </c>
      <c r="C302" s="418"/>
      <c r="D302" s="418"/>
      <c r="E302" s="418"/>
      <c r="F302" s="293"/>
      <c r="G302" s="294"/>
      <c r="H302" s="294"/>
      <c r="I302" s="294"/>
      <c r="J302" s="843"/>
      <c r="K302" s="297"/>
      <c r="L302" s="298"/>
      <c r="M302" s="303"/>
      <c r="N302" s="438"/>
      <c r="O302" s="297"/>
      <c r="P302" s="297"/>
      <c r="Q302" s="298"/>
      <c r="R302" s="840"/>
      <c r="S302" s="840"/>
      <c r="T302" s="840"/>
      <c r="U302" s="840"/>
      <c r="V302" s="840"/>
      <c r="W302" s="840"/>
      <c r="X302" s="840"/>
      <c r="Y302" s="840"/>
      <c r="Z302" s="840"/>
      <c r="AA302" s="840"/>
      <c r="AB302" s="840"/>
      <c r="AC302" s="840"/>
    </row>
    <row r="303" ht="15.75" customHeight="1">
      <c r="A303" s="931">
        <v>292.0</v>
      </c>
      <c r="B303" s="418" t="s">
        <v>944</v>
      </c>
      <c r="C303" s="416"/>
      <c r="D303" s="416"/>
      <c r="E303" s="416"/>
      <c r="F303" s="602"/>
      <c r="G303" s="301"/>
      <c r="H303" s="301"/>
      <c r="I303" s="301"/>
      <c r="J303" s="603"/>
      <c r="K303" s="297">
        <f>AVERAGE(K304:K306)</f>
        <v>0.09652509653</v>
      </c>
      <c r="L303" s="300">
        <f t="shared" ref="L303:L316" si="148">Q303-J303</f>
        <v>699</v>
      </c>
      <c r="M303" s="413" t="str">
        <f t="shared" ref="M303:M316" si="149">Q303/J303-1</f>
        <v>#DIV/0!</v>
      </c>
      <c r="N303" s="442"/>
      <c r="O303" s="373" t="s">
        <v>112</v>
      </c>
      <c r="P303" s="373" t="s">
        <v>112</v>
      </c>
      <c r="Q303" s="300">
        <v>699.0</v>
      </c>
      <c r="R303" s="840"/>
      <c r="S303" s="840"/>
      <c r="T303" s="840"/>
      <c r="U303" s="840"/>
      <c r="V303" s="840"/>
      <c r="W303" s="840"/>
      <c r="X303" s="840"/>
      <c r="Y303" s="840"/>
      <c r="Z303" s="840"/>
      <c r="AA303" s="840"/>
      <c r="AB303" s="840"/>
      <c r="AC303" s="840"/>
    </row>
    <row r="304" ht="15.75" customHeight="1">
      <c r="A304" s="931">
        <v>293.0</v>
      </c>
      <c r="B304" s="416" t="s">
        <v>2289</v>
      </c>
      <c r="C304" s="595" t="s">
        <v>2290</v>
      </c>
      <c r="D304" s="416"/>
      <c r="E304" s="416"/>
      <c r="F304" s="602">
        <v>350.0</v>
      </c>
      <c r="G304" s="301">
        <v>259.0</v>
      </c>
      <c r="H304" s="301">
        <v>259.0</v>
      </c>
      <c r="I304" s="301"/>
      <c r="J304" s="603">
        <v>32.0</v>
      </c>
      <c r="K304" s="415">
        <f t="shared" ref="K304:K306" si="150">J304/H304</f>
        <v>0.1235521236</v>
      </c>
      <c r="L304" s="300">
        <f t="shared" si="148"/>
        <v>667</v>
      </c>
      <c r="M304" s="413">
        <f t="shared" si="149"/>
        <v>20.84375</v>
      </c>
      <c r="N304" s="442"/>
      <c r="O304" s="373" t="s">
        <v>112</v>
      </c>
      <c r="P304" s="373" t="s">
        <v>112</v>
      </c>
      <c r="Q304" s="300">
        <v>699.0</v>
      </c>
      <c r="R304" s="840"/>
      <c r="S304" s="840"/>
      <c r="T304" s="840"/>
      <c r="U304" s="840"/>
      <c r="V304" s="840"/>
      <c r="W304" s="840"/>
      <c r="X304" s="840"/>
      <c r="Y304" s="840"/>
      <c r="Z304" s="840"/>
      <c r="AA304" s="840"/>
      <c r="AB304" s="840"/>
      <c r="AC304" s="840"/>
    </row>
    <row r="305" ht="15.75" customHeight="1">
      <c r="A305" s="931">
        <v>294.0</v>
      </c>
      <c r="B305" s="416" t="s">
        <v>2291</v>
      </c>
      <c r="C305" s="595" t="s">
        <v>2292</v>
      </c>
      <c r="D305" s="416"/>
      <c r="E305" s="416"/>
      <c r="F305" s="602">
        <v>300.0</v>
      </c>
      <c r="G305" s="301">
        <v>259.0</v>
      </c>
      <c r="H305" s="301">
        <v>259.0</v>
      </c>
      <c r="I305" s="301"/>
      <c r="J305" s="603">
        <v>25.0</v>
      </c>
      <c r="K305" s="415">
        <f t="shared" si="150"/>
        <v>0.09652509653</v>
      </c>
      <c r="L305" s="300">
        <f t="shared" si="148"/>
        <v>674</v>
      </c>
      <c r="M305" s="413">
        <f t="shared" si="149"/>
        <v>26.96</v>
      </c>
      <c r="N305" s="442"/>
      <c r="O305" s="373" t="s">
        <v>112</v>
      </c>
      <c r="P305" s="373" t="s">
        <v>112</v>
      </c>
      <c r="Q305" s="300">
        <v>699.0</v>
      </c>
      <c r="R305" s="840"/>
      <c r="S305" s="840"/>
      <c r="T305" s="840"/>
      <c r="U305" s="840"/>
      <c r="V305" s="840"/>
      <c r="W305" s="840"/>
      <c r="X305" s="840"/>
      <c r="Y305" s="840"/>
      <c r="Z305" s="840"/>
      <c r="AA305" s="840"/>
      <c r="AB305" s="840"/>
      <c r="AC305" s="840"/>
    </row>
    <row r="306" ht="15.75" customHeight="1">
      <c r="A306" s="931">
        <v>295.0</v>
      </c>
      <c r="B306" s="416" t="s">
        <v>2293</v>
      </c>
      <c r="C306" s="595" t="s">
        <v>2294</v>
      </c>
      <c r="D306" s="416"/>
      <c r="E306" s="416"/>
      <c r="F306" s="602">
        <v>250.0</v>
      </c>
      <c r="G306" s="301">
        <v>259.0</v>
      </c>
      <c r="H306" s="301">
        <v>259.0</v>
      </c>
      <c r="I306" s="301"/>
      <c r="J306" s="603">
        <v>18.0</v>
      </c>
      <c r="K306" s="415">
        <f t="shared" si="150"/>
        <v>0.0694980695</v>
      </c>
      <c r="L306" s="300">
        <f t="shared" si="148"/>
        <v>681</v>
      </c>
      <c r="M306" s="413">
        <f t="shared" si="149"/>
        <v>37.83333333</v>
      </c>
      <c r="N306" s="442"/>
      <c r="O306" s="373" t="s">
        <v>112</v>
      </c>
      <c r="P306" s="373" t="s">
        <v>112</v>
      </c>
      <c r="Q306" s="300">
        <v>699.0</v>
      </c>
      <c r="R306" s="840"/>
      <c r="S306" s="840"/>
      <c r="T306" s="840"/>
      <c r="U306" s="840"/>
      <c r="V306" s="840"/>
      <c r="W306" s="840"/>
      <c r="X306" s="840"/>
      <c r="Y306" s="840"/>
      <c r="Z306" s="840"/>
      <c r="AA306" s="840"/>
      <c r="AB306" s="840"/>
      <c r="AC306" s="840"/>
    </row>
    <row r="307" ht="15.75" customHeight="1">
      <c r="A307" s="931">
        <v>296.0</v>
      </c>
      <c r="B307" s="418" t="s">
        <v>925</v>
      </c>
      <c r="C307" s="421"/>
      <c r="D307" s="290"/>
      <c r="E307" s="290"/>
      <c r="F307" s="293"/>
      <c r="G307" s="294"/>
      <c r="H307" s="294"/>
      <c r="I307" s="294"/>
      <c r="J307" s="843"/>
      <c r="K307" s="297">
        <f>AVERAGE(K308:K312)</f>
        <v>0.1912312519</v>
      </c>
      <c r="L307" s="298">
        <f t="shared" si="148"/>
        <v>699</v>
      </c>
      <c r="M307" s="303" t="str">
        <f t="shared" si="149"/>
        <v>#DIV/0!</v>
      </c>
      <c r="N307" s="438"/>
      <c r="O307" s="297" t="s">
        <v>112</v>
      </c>
      <c r="P307" s="297" t="s">
        <v>112</v>
      </c>
      <c r="Q307" s="298">
        <v>699.0</v>
      </c>
      <c r="R307" s="840"/>
      <c r="S307" s="840"/>
      <c r="T307" s="840"/>
      <c r="U307" s="840"/>
      <c r="V307" s="840"/>
      <c r="W307" s="840"/>
      <c r="X307" s="840"/>
      <c r="Y307" s="840"/>
      <c r="Z307" s="840"/>
      <c r="AA307" s="840"/>
      <c r="AB307" s="840"/>
      <c r="AC307" s="840"/>
    </row>
    <row r="308" ht="15.75" customHeight="1">
      <c r="A308" s="931">
        <v>297.0</v>
      </c>
      <c r="B308" s="416" t="s">
        <v>789</v>
      </c>
      <c r="C308" s="595" t="s">
        <v>2295</v>
      </c>
      <c r="D308" s="416"/>
      <c r="E308" s="416"/>
      <c r="F308" s="602">
        <v>300.0</v>
      </c>
      <c r="G308" s="301">
        <v>399.0</v>
      </c>
      <c r="H308" s="301">
        <v>399.0</v>
      </c>
      <c r="I308" s="301"/>
      <c r="J308" s="603">
        <v>78.0</v>
      </c>
      <c r="K308" s="415">
        <f t="shared" ref="K308:K312" si="151">J308/H308</f>
        <v>0.1954887218</v>
      </c>
      <c r="L308" s="300">
        <f t="shared" si="148"/>
        <v>621</v>
      </c>
      <c r="M308" s="413">
        <f t="shared" si="149"/>
        <v>7.961538462</v>
      </c>
      <c r="N308" s="442"/>
      <c r="O308" s="373" t="s">
        <v>112</v>
      </c>
      <c r="P308" s="373" t="s">
        <v>112</v>
      </c>
      <c r="Q308" s="300">
        <v>699.0</v>
      </c>
      <c r="R308" s="840"/>
      <c r="S308" s="840"/>
      <c r="T308" s="840"/>
      <c r="U308" s="840"/>
      <c r="V308" s="840"/>
      <c r="W308" s="840"/>
      <c r="X308" s="840"/>
      <c r="Y308" s="840"/>
      <c r="Z308" s="840"/>
      <c r="AA308" s="840"/>
      <c r="AB308" s="840"/>
      <c r="AC308" s="840"/>
    </row>
    <row r="309" ht="15.75" customHeight="1">
      <c r="A309" s="931">
        <v>298.0</v>
      </c>
      <c r="B309" s="321" t="s">
        <v>2296</v>
      </c>
      <c r="C309" s="422" t="s">
        <v>2297</v>
      </c>
      <c r="D309" s="321"/>
      <c r="E309" s="321"/>
      <c r="F309" s="602">
        <v>250.0</v>
      </c>
      <c r="G309" s="301">
        <v>339.0</v>
      </c>
      <c r="H309" s="301">
        <v>339.0</v>
      </c>
      <c r="I309" s="301"/>
      <c r="J309" s="603">
        <v>60.0</v>
      </c>
      <c r="K309" s="415">
        <f t="shared" si="151"/>
        <v>0.1769911504</v>
      </c>
      <c r="L309" s="300">
        <f t="shared" si="148"/>
        <v>639</v>
      </c>
      <c r="M309" s="413">
        <f t="shared" si="149"/>
        <v>10.65</v>
      </c>
      <c r="N309" s="442"/>
      <c r="O309" s="373" t="s">
        <v>112</v>
      </c>
      <c r="P309" s="373" t="s">
        <v>112</v>
      </c>
      <c r="Q309" s="300">
        <v>699.0</v>
      </c>
      <c r="R309" s="840"/>
      <c r="S309" s="840"/>
      <c r="T309" s="840"/>
      <c r="U309" s="840"/>
      <c r="V309" s="840"/>
      <c r="W309" s="840"/>
      <c r="X309" s="840"/>
      <c r="Y309" s="840"/>
      <c r="Z309" s="840"/>
      <c r="AA309" s="840"/>
      <c r="AB309" s="840"/>
      <c r="AC309" s="840"/>
    </row>
    <row r="310" ht="15.75" customHeight="1">
      <c r="A310" s="931">
        <v>299.0</v>
      </c>
      <c r="B310" s="321" t="s">
        <v>2298</v>
      </c>
      <c r="C310" s="422" t="s">
        <v>2299</v>
      </c>
      <c r="D310" s="321"/>
      <c r="E310" s="321"/>
      <c r="F310" s="602">
        <v>250.0</v>
      </c>
      <c r="G310" s="301">
        <v>359.0</v>
      </c>
      <c r="H310" s="301">
        <v>359.0</v>
      </c>
      <c r="I310" s="301"/>
      <c r="J310" s="603">
        <v>75.0</v>
      </c>
      <c r="K310" s="415">
        <f t="shared" si="151"/>
        <v>0.208913649</v>
      </c>
      <c r="L310" s="300">
        <f t="shared" si="148"/>
        <v>624</v>
      </c>
      <c r="M310" s="413">
        <f t="shared" si="149"/>
        <v>8.32</v>
      </c>
      <c r="N310" s="442"/>
      <c r="O310" s="373" t="s">
        <v>112</v>
      </c>
      <c r="P310" s="373" t="s">
        <v>112</v>
      </c>
      <c r="Q310" s="300">
        <v>699.0</v>
      </c>
      <c r="R310" s="840"/>
      <c r="S310" s="840"/>
      <c r="T310" s="840"/>
      <c r="U310" s="840"/>
      <c r="V310" s="840"/>
      <c r="W310" s="840"/>
      <c r="X310" s="840"/>
      <c r="Y310" s="840"/>
      <c r="Z310" s="840"/>
      <c r="AA310" s="840"/>
      <c r="AB310" s="840"/>
      <c r="AC310" s="840"/>
    </row>
    <row r="311" ht="15.75" customHeight="1">
      <c r="A311" s="931">
        <v>300.0</v>
      </c>
      <c r="B311" s="321" t="s">
        <v>793</v>
      </c>
      <c r="C311" s="422" t="s">
        <v>2300</v>
      </c>
      <c r="D311" s="321"/>
      <c r="E311" s="321"/>
      <c r="F311" s="602">
        <v>100.0</v>
      </c>
      <c r="G311" s="301">
        <v>359.0</v>
      </c>
      <c r="H311" s="301">
        <v>359.0</v>
      </c>
      <c r="I311" s="301"/>
      <c r="J311" s="603">
        <v>71.0</v>
      </c>
      <c r="K311" s="415">
        <f t="shared" si="151"/>
        <v>0.1977715877</v>
      </c>
      <c r="L311" s="300">
        <f t="shared" si="148"/>
        <v>628</v>
      </c>
      <c r="M311" s="413">
        <f t="shared" si="149"/>
        <v>8.845070423</v>
      </c>
      <c r="N311" s="442"/>
      <c r="O311" s="373" t="s">
        <v>112</v>
      </c>
      <c r="P311" s="373" t="s">
        <v>112</v>
      </c>
      <c r="Q311" s="300">
        <v>699.0</v>
      </c>
      <c r="R311" s="840"/>
      <c r="S311" s="840"/>
      <c r="T311" s="840"/>
      <c r="U311" s="840"/>
      <c r="V311" s="840"/>
      <c r="W311" s="840"/>
      <c r="X311" s="840"/>
      <c r="Y311" s="840"/>
      <c r="Z311" s="840"/>
      <c r="AA311" s="840"/>
      <c r="AB311" s="840"/>
      <c r="AC311" s="840"/>
    </row>
    <row r="312" ht="15.75" customHeight="1">
      <c r="A312" s="931">
        <v>301.0</v>
      </c>
      <c r="B312" s="321" t="s">
        <v>795</v>
      </c>
      <c r="C312" s="422"/>
      <c r="D312" s="321"/>
      <c r="E312" s="321"/>
      <c r="F312" s="602">
        <v>200.0</v>
      </c>
      <c r="G312" s="301">
        <v>339.0</v>
      </c>
      <c r="H312" s="301">
        <v>339.0</v>
      </c>
      <c r="I312" s="301"/>
      <c r="J312" s="603">
        <v>60.0</v>
      </c>
      <c r="K312" s="415">
        <f t="shared" si="151"/>
        <v>0.1769911504</v>
      </c>
      <c r="L312" s="300">
        <f t="shared" si="148"/>
        <v>639</v>
      </c>
      <c r="M312" s="413">
        <f t="shared" si="149"/>
        <v>10.65</v>
      </c>
      <c r="N312" s="442"/>
      <c r="O312" s="373" t="s">
        <v>112</v>
      </c>
      <c r="P312" s="373" t="s">
        <v>112</v>
      </c>
      <c r="Q312" s="300">
        <v>699.0</v>
      </c>
      <c r="R312" s="840"/>
      <c r="S312" s="840"/>
      <c r="T312" s="840"/>
      <c r="U312" s="840"/>
      <c r="V312" s="840"/>
      <c r="W312" s="840"/>
      <c r="X312" s="840"/>
      <c r="Y312" s="840"/>
      <c r="Z312" s="840"/>
      <c r="AA312" s="840"/>
      <c r="AB312" s="840"/>
      <c r="AC312" s="840"/>
    </row>
    <row r="313" ht="15.75" customHeight="1">
      <c r="A313" s="931">
        <v>302.0</v>
      </c>
      <c r="B313" s="418" t="s">
        <v>945</v>
      </c>
      <c r="C313" s="421"/>
      <c r="D313" s="290"/>
      <c r="E313" s="290"/>
      <c r="F313" s="293"/>
      <c r="G313" s="294"/>
      <c r="H313" s="294"/>
      <c r="I313" s="294"/>
      <c r="J313" s="843"/>
      <c r="K313" s="297">
        <f>AVERAGE(K314:K317)</f>
        <v>0.1675977654</v>
      </c>
      <c r="L313" s="298">
        <f t="shared" si="148"/>
        <v>699</v>
      </c>
      <c r="M313" s="303" t="str">
        <f t="shared" si="149"/>
        <v>#DIV/0!</v>
      </c>
      <c r="N313" s="438"/>
      <c r="O313" s="297" t="s">
        <v>112</v>
      </c>
      <c r="P313" s="297" t="s">
        <v>112</v>
      </c>
      <c r="Q313" s="298">
        <v>699.0</v>
      </c>
      <c r="R313" s="840"/>
      <c r="S313" s="840"/>
      <c r="T313" s="840"/>
      <c r="U313" s="840"/>
      <c r="V313" s="840"/>
      <c r="W313" s="840"/>
      <c r="X313" s="840"/>
      <c r="Y313" s="840"/>
      <c r="Z313" s="840"/>
      <c r="AA313" s="840"/>
      <c r="AB313" s="840"/>
      <c r="AC313" s="840"/>
    </row>
    <row r="314" ht="15.75" customHeight="1">
      <c r="A314" s="931">
        <v>303.0</v>
      </c>
      <c r="B314" s="321" t="s">
        <v>946</v>
      </c>
      <c r="C314" s="422"/>
      <c r="D314" s="321"/>
      <c r="E314" s="321"/>
      <c r="F314" s="602">
        <v>50.0</v>
      </c>
      <c r="G314" s="301">
        <v>179.0</v>
      </c>
      <c r="H314" s="301">
        <v>179.0</v>
      </c>
      <c r="I314" s="301"/>
      <c r="J314" s="603">
        <v>25.0</v>
      </c>
      <c r="K314" s="415">
        <f t="shared" ref="K314:K316" si="152">J314/H314</f>
        <v>0.1396648045</v>
      </c>
      <c r="L314" s="300">
        <f t="shared" si="148"/>
        <v>674</v>
      </c>
      <c r="M314" s="413">
        <f t="shared" si="149"/>
        <v>26.96</v>
      </c>
      <c r="N314" s="442"/>
      <c r="O314" s="373" t="s">
        <v>112</v>
      </c>
      <c r="P314" s="373" t="s">
        <v>112</v>
      </c>
      <c r="Q314" s="300">
        <v>699.0</v>
      </c>
      <c r="R314" s="840"/>
      <c r="S314" s="840"/>
      <c r="T314" s="840"/>
      <c r="U314" s="840"/>
      <c r="V314" s="840"/>
      <c r="W314" s="840"/>
      <c r="X314" s="840"/>
      <c r="Y314" s="840"/>
      <c r="Z314" s="840"/>
      <c r="AA314" s="840"/>
      <c r="AB314" s="840"/>
      <c r="AC314" s="840"/>
    </row>
    <row r="315" ht="15.75" customHeight="1">
      <c r="A315" s="931">
        <v>304.0</v>
      </c>
      <c r="B315" s="321" t="s">
        <v>809</v>
      </c>
      <c r="C315" s="422"/>
      <c r="D315" s="321"/>
      <c r="E315" s="321"/>
      <c r="F315" s="602">
        <v>50.0</v>
      </c>
      <c r="G315" s="301">
        <v>179.0</v>
      </c>
      <c r="H315" s="301">
        <v>179.0</v>
      </c>
      <c r="I315" s="301"/>
      <c r="J315" s="603">
        <v>33.0</v>
      </c>
      <c r="K315" s="415">
        <f t="shared" si="152"/>
        <v>0.1843575419</v>
      </c>
      <c r="L315" s="300">
        <f t="shared" si="148"/>
        <v>666</v>
      </c>
      <c r="M315" s="413">
        <f t="shared" si="149"/>
        <v>20.18181818</v>
      </c>
      <c r="N315" s="442"/>
      <c r="O315" s="373" t="s">
        <v>112</v>
      </c>
      <c r="P315" s="373" t="s">
        <v>112</v>
      </c>
      <c r="Q315" s="300">
        <v>699.0</v>
      </c>
      <c r="R315" s="840"/>
      <c r="S315" s="840"/>
      <c r="T315" s="840"/>
      <c r="U315" s="840"/>
      <c r="V315" s="840"/>
      <c r="W315" s="840"/>
      <c r="X315" s="840"/>
      <c r="Y315" s="840"/>
      <c r="Z315" s="840"/>
      <c r="AA315" s="840"/>
      <c r="AB315" s="840"/>
      <c r="AC315" s="840"/>
    </row>
    <row r="316" ht="15.75" customHeight="1">
      <c r="A316" s="931">
        <v>305.0</v>
      </c>
      <c r="B316" s="321" t="s">
        <v>810</v>
      </c>
      <c r="C316" s="422"/>
      <c r="D316" s="321"/>
      <c r="E316" s="321"/>
      <c r="F316" s="602">
        <v>50.0</v>
      </c>
      <c r="G316" s="301">
        <v>179.0</v>
      </c>
      <c r="H316" s="301">
        <v>179.0</v>
      </c>
      <c r="I316" s="301"/>
      <c r="J316" s="603">
        <v>32.0</v>
      </c>
      <c r="K316" s="415">
        <f t="shared" si="152"/>
        <v>0.1787709497</v>
      </c>
      <c r="L316" s="300">
        <f t="shared" si="148"/>
        <v>667</v>
      </c>
      <c r="M316" s="413">
        <f t="shared" si="149"/>
        <v>20.84375</v>
      </c>
      <c r="N316" s="442"/>
      <c r="O316" s="373" t="s">
        <v>112</v>
      </c>
      <c r="P316" s="373" t="s">
        <v>112</v>
      </c>
      <c r="Q316" s="300">
        <v>699.0</v>
      </c>
      <c r="R316" s="840"/>
      <c r="S316" s="840"/>
      <c r="T316" s="840"/>
      <c r="U316" s="840"/>
      <c r="V316" s="840"/>
      <c r="W316" s="840"/>
      <c r="X316" s="840"/>
      <c r="Y316" s="840"/>
      <c r="Z316" s="840"/>
      <c r="AA316" s="840"/>
      <c r="AB316" s="840"/>
      <c r="AC316" s="840"/>
    </row>
    <row r="317" ht="15.75" customHeight="1">
      <c r="A317" s="759"/>
      <c r="B317" s="927"/>
      <c r="C317" s="760"/>
      <c r="D317" s="928"/>
      <c r="E317" s="759"/>
      <c r="F317" s="759"/>
      <c r="G317" s="929"/>
      <c r="H317" s="929"/>
      <c r="I317" s="930"/>
      <c r="J317" s="759"/>
      <c r="K317" s="759"/>
      <c r="L317" s="760"/>
      <c r="M317" s="760"/>
      <c r="N317" s="760"/>
      <c r="O317" s="759"/>
      <c r="P317" s="760"/>
      <c r="Q317" s="760"/>
      <c r="R317" s="760"/>
      <c r="S317" s="760"/>
      <c r="T317" s="760"/>
      <c r="U317" s="760"/>
      <c r="V317" s="760"/>
      <c r="W317" s="760"/>
      <c r="X317" s="760"/>
      <c r="Y317" s="760"/>
      <c r="Z317" s="760"/>
      <c r="AA317" s="760"/>
      <c r="AB317" s="760"/>
      <c r="AC317" s="760"/>
    </row>
    <row r="318" ht="15.75" customHeight="1">
      <c r="A318" s="759"/>
      <c r="B318" s="927"/>
      <c r="C318" s="760"/>
      <c r="D318" s="928"/>
      <c r="E318" s="759"/>
      <c r="F318" s="759"/>
      <c r="G318" s="929"/>
      <c r="H318" s="929"/>
      <c r="I318" s="930"/>
      <c r="J318" s="759"/>
      <c r="K318" s="759"/>
      <c r="L318" s="760"/>
      <c r="M318" s="760"/>
      <c r="N318" s="760"/>
      <c r="O318" s="759"/>
      <c r="P318" s="760"/>
      <c r="Q318" s="760"/>
      <c r="R318" s="760"/>
      <c r="S318" s="760"/>
      <c r="T318" s="760"/>
      <c r="U318" s="760"/>
      <c r="V318" s="760"/>
      <c r="W318" s="760"/>
      <c r="X318" s="760"/>
      <c r="Y318" s="760"/>
      <c r="Z318" s="760"/>
      <c r="AA318" s="760"/>
      <c r="AB318" s="760"/>
      <c r="AC318" s="760"/>
    </row>
    <row r="319" ht="15.75" customHeight="1">
      <c r="A319" s="759"/>
      <c r="B319" s="927"/>
      <c r="C319" s="760"/>
      <c r="D319" s="928"/>
      <c r="E319" s="759"/>
      <c r="F319" s="759"/>
      <c r="G319" s="929"/>
      <c r="H319" s="929"/>
      <c r="I319" s="930"/>
      <c r="J319" s="759"/>
      <c r="K319" s="759"/>
      <c r="L319" s="760"/>
      <c r="M319" s="760"/>
      <c r="N319" s="760"/>
      <c r="O319" s="759"/>
      <c r="P319" s="760"/>
      <c r="Q319" s="760"/>
      <c r="R319" s="760"/>
      <c r="S319" s="760"/>
      <c r="T319" s="760"/>
      <c r="U319" s="760"/>
      <c r="V319" s="760"/>
      <c r="W319" s="760"/>
      <c r="X319" s="760"/>
      <c r="Y319" s="760"/>
      <c r="Z319" s="760"/>
      <c r="AA319" s="760"/>
      <c r="AB319" s="760"/>
      <c r="AC319" s="760"/>
    </row>
    <row r="320" ht="15.75" customHeight="1">
      <c r="A320" s="759"/>
      <c r="B320" s="927"/>
      <c r="C320" s="760"/>
      <c r="D320" s="928"/>
      <c r="E320" s="759"/>
      <c r="F320" s="759"/>
      <c r="G320" s="929"/>
      <c r="H320" s="929"/>
      <c r="I320" s="930"/>
      <c r="J320" s="759"/>
      <c r="K320" s="759"/>
      <c r="L320" s="760"/>
      <c r="M320" s="760"/>
      <c r="N320" s="760"/>
      <c r="O320" s="759"/>
      <c r="P320" s="760"/>
      <c r="Q320" s="760"/>
      <c r="R320" s="760"/>
      <c r="S320" s="760"/>
      <c r="T320" s="760"/>
      <c r="U320" s="760"/>
      <c r="V320" s="760"/>
      <c r="W320" s="760"/>
      <c r="X320" s="760"/>
      <c r="Y320" s="760"/>
      <c r="Z320" s="760"/>
      <c r="AA320" s="760"/>
      <c r="AB320" s="760"/>
      <c r="AC320" s="760"/>
    </row>
    <row r="321" ht="15.75" customHeight="1">
      <c r="A321" s="759"/>
      <c r="B321" s="927"/>
      <c r="C321" s="760"/>
      <c r="D321" s="928"/>
      <c r="E321" s="759"/>
      <c r="F321" s="759"/>
      <c r="G321" s="929"/>
      <c r="H321" s="929"/>
      <c r="I321" s="930"/>
      <c r="J321" s="759"/>
      <c r="K321" s="759"/>
      <c r="L321" s="760"/>
      <c r="M321" s="760"/>
      <c r="N321" s="760"/>
      <c r="O321" s="759"/>
      <c r="P321" s="760"/>
      <c r="Q321" s="760"/>
      <c r="R321" s="760"/>
      <c r="S321" s="760"/>
      <c r="T321" s="760"/>
      <c r="U321" s="760"/>
      <c r="V321" s="760"/>
      <c r="W321" s="760"/>
      <c r="X321" s="760"/>
      <c r="Y321" s="760"/>
      <c r="Z321" s="760"/>
      <c r="AA321" s="760"/>
      <c r="AB321" s="760"/>
      <c r="AC321" s="760"/>
    </row>
    <row r="322" ht="15.75" customHeight="1">
      <c r="A322" s="759"/>
      <c r="B322" s="927"/>
      <c r="C322" s="760"/>
      <c r="D322" s="928"/>
      <c r="E322" s="759"/>
      <c r="F322" s="759"/>
      <c r="G322" s="929"/>
      <c r="H322" s="929"/>
      <c r="I322" s="930"/>
      <c r="J322" s="759"/>
      <c r="K322" s="759"/>
      <c r="L322" s="760"/>
      <c r="M322" s="760"/>
      <c r="N322" s="760"/>
      <c r="O322" s="759"/>
      <c r="P322" s="760"/>
      <c r="Q322" s="760"/>
      <c r="R322" s="760"/>
      <c r="S322" s="760"/>
      <c r="T322" s="760"/>
      <c r="U322" s="760"/>
      <c r="V322" s="760"/>
      <c r="W322" s="760"/>
      <c r="X322" s="760"/>
      <c r="Y322" s="760"/>
      <c r="Z322" s="760"/>
      <c r="AA322" s="760"/>
      <c r="AB322" s="760"/>
      <c r="AC322" s="760"/>
    </row>
    <row r="323" ht="15.75" customHeight="1">
      <c r="A323" s="759"/>
      <c r="B323" s="927"/>
      <c r="C323" s="760"/>
      <c r="D323" s="928"/>
      <c r="E323" s="759"/>
      <c r="F323" s="759"/>
      <c r="G323" s="929"/>
      <c r="H323" s="929"/>
      <c r="I323" s="930"/>
      <c r="J323" s="759"/>
      <c r="K323" s="759"/>
      <c r="L323" s="760"/>
      <c r="M323" s="760"/>
      <c r="N323" s="760"/>
      <c r="O323" s="759"/>
      <c r="P323" s="760"/>
      <c r="Q323" s="760"/>
      <c r="R323" s="760"/>
      <c r="S323" s="760"/>
      <c r="T323" s="760"/>
      <c r="U323" s="760"/>
      <c r="V323" s="760"/>
      <c r="W323" s="760"/>
      <c r="X323" s="760"/>
      <c r="Y323" s="760"/>
      <c r="Z323" s="760"/>
      <c r="AA323" s="760"/>
      <c r="AB323" s="760"/>
      <c r="AC323" s="760"/>
    </row>
    <row r="324" ht="15.75" customHeight="1">
      <c r="A324" s="759"/>
      <c r="B324" s="927"/>
      <c r="C324" s="760"/>
      <c r="D324" s="928"/>
      <c r="E324" s="759"/>
      <c r="F324" s="759"/>
      <c r="G324" s="929"/>
      <c r="H324" s="929"/>
      <c r="I324" s="930"/>
      <c r="J324" s="759"/>
      <c r="K324" s="759"/>
      <c r="L324" s="760"/>
      <c r="M324" s="760"/>
      <c r="N324" s="760"/>
      <c r="O324" s="759"/>
      <c r="P324" s="760"/>
      <c r="Q324" s="760"/>
      <c r="R324" s="760"/>
      <c r="S324" s="760"/>
      <c r="T324" s="760"/>
      <c r="U324" s="760"/>
      <c r="V324" s="760"/>
      <c r="W324" s="760"/>
      <c r="X324" s="760"/>
      <c r="Y324" s="760"/>
      <c r="Z324" s="760"/>
      <c r="AA324" s="760"/>
      <c r="AB324" s="760"/>
      <c r="AC324" s="760"/>
    </row>
    <row r="325" ht="15.75" customHeight="1">
      <c r="A325" s="759"/>
      <c r="B325" s="927"/>
      <c r="C325" s="760"/>
      <c r="D325" s="928"/>
      <c r="E325" s="759"/>
      <c r="F325" s="759"/>
      <c r="G325" s="929"/>
      <c r="H325" s="929"/>
      <c r="I325" s="930"/>
      <c r="J325" s="759"/>
      <c r="K325" s="759"/>
      <c r="L325" s="760"/>
      <c r="M325" s="760"/>
      <c r="N325" s="760"/>
      <c r="O325" s="759"/>
      <c r="P325" s="760"/>
      <c r="Q325" s="760"/>
      <c r="R325" s="760"/>
      <c r="S325" s="760"/>
      <c r="T325" s="760"/>
      <c r="U325" s="760"/>
      <c r="V325" s="760"/>
      <c r="W325" s="760"/>
      <c r="X325" s="760"/>
      <c r="Y325" s="760"/>
      <c r="Z325" s="760"/>
      <c r="AA325" s="760"/>
      <c r="AB325" s="760"/>
      <c r="AC325" s="760"/>
    </row>
    <row r="326" ht="15.75" customHeight="1">
      <c r="A326" s="759"/>
      <c r="B326" s="927"/>
      <c r="C326" s="760"/>
      <c r="D326" s="928"/>
      <c r="E326" s="759"/>
      <c r="F326" s="759"/>
      <c r="G326" s="929"/>
      <c r="H326" s="929"/>
      <c r="I326" s="930"/>
      <c r="J326" s="759"/>
      <c r="K326" s="759"/>
      <c r="L326" s="760"/>
      <c r="M326" s="760"/>
      <c r="N326" s="760"/>
      <c r="O326" s="759"/>
      <c r="P326" s="760"/>
      <c r="Q326" s="760"/>
      <c r="R326" s="760"/>
      <c r="S326" s="760"/>
      <c r="T326" s="760"/>
      <c r="U326" s="760"/>
      <c r="V326" s="760"/>
      <c r="W326" s="760"/>
      <c r="X326" s="760"/>
      <c r="Y326" s="760"/>
      <c r="Z326" s="760"/>
      <c r="AA326" s="760"/>
      <c r="AB326" s="760"/>
      <c r="AC326" s="760"/>
    </row>
    <row r="327" ht="15.75" customHeight="1">
      <c r="A327" s="759"/>
      <c r="B327" s="927"/>
      <c r="C327" s="760"/>
      <c r="D327" s="928"/>
      <c r="E327" s="759"/>
      <c r="F327" s="759"/>
      <c r="G327" s="929"/>
      <c r="H327" s="929"/>
      <c r="I327" s="930"/>
      <c r="J327" s="759"/>
      <c r="K327" s="759"/>
      <c r="L327" s="760"/>
      <c r="M327" s="760"/>
      <c r="N327" s="760"/>
      <c r="O327" s="759"/>
      <c r="P327" s="760"/>
      <c r="Q327" s="760"/>
      <c r="R327" s="760"/>
      <c r="S327" s="760"/>
      <c r="T327" s="760"/>
      <c r="U327" s="760"/>
      <c r="V327" s="760"/>
      <c r="W327" s="760"/>
      <c r="X327" s="760"/>
      <c r="Y327" s="760"/>
      <c r="Z327" s="760"/>
      <c r="AA327" s="760"/>
      <c r="AB327" s="760"/>
      <c r="AC327" s="760"/>
    </row>
    <row r="328" ht="15.75" customHeight="1">
      <c r="A328" s="759"/>
      <c r="B328" s="927"/>
      <c r="C328" s="760"/>
      <c r="D328" s="928"/>
      <c r="E328" s="759"/>
      <c r="F328" s="759"/>
      <c r="G328" s="929"/>
      <c r="H328" s="929"/>
      <c r="I328" s="930"/>
      <c r="J328" s="759"/>
      <c r="K328" s="759"/>
      <c r="L328" s="760"/>
      <c r="M328" s="760"/>
      <c r="N328" s="760"/>
      <c r="O328" s="759"/>
      <c r="P328" s="760"/>
      <c r="Q328" s="760"/>
      <c r="R328" s="760"/>
      <c r="S328" s="760"/>
      <c r="T328" s="760"/>
      <c r="U328" s="760"/>
      <c r="V328" s="760"/>
      <c r="W328" s="760"/>
      <c r="X328" s="760"/>
      <c r="Y328" s="760"/>
      <c r="Z328" s="760"/>
      <c r="AA328" s="760"/>
      <c r="AB328" s="760"/>
      <c r="AC328" s="760"/>
    </row>
    <row r="329" ht="15.75" customHeight="1">
      <c r="A329" s="759"/>
      <c r="B329" s="927"/>
      <c r="C329" s="760"/>
      <c r="D329" s="928"/>
      <c r="E329" s="759"/>
      <c r="F329" s="759"/>
      <c r="G329" s="929"/>
      <c r="H329" s="929"/>
      <c r="I329" s="930"/>
      <c r="J329" s="759"/>
      <c r="K329" s="759"/>
      <c r="L329" s="760"/>
      <c r="M329" s="760"/>
      <c r="N329" s="760"/>
      <c r="O329" s="759"/>
      <c r="P329" s="760"/>
      <c r="Q329" s="760"/>
      <c r="R329" s="760"/>
      <c r="S329" s="760"/>
      <c r="T329" s="760"/>
      <c r="U329" s="760"/>
      <c r="V329" s="760"/>
      <c r="W329" s="760"/>
      <c r="X329" s="760"/>
      <c r="Y329" s="760"/>
      <c r="Z329" s="760"/>
      <c r="AA329" s="760"/>
      <c r="AB329" s="760"/>
      <c r="AC329" s="760"/>
    </row>
    <row r="330" ht="15.75" customHeight="1">
      <c r="A330" s="759"/>
      <c r="B330" s="927"/>
      <c r="C330" s="760"/>
      <c r="D330" s="928"/>
      <c r="E330" s="759"/>
      <c r="F330" s="759"/>
      <c r="G330" s="929"/>
      <c r="H330" s="929"/>
      <c r="I330" s="930"/>
      <c r="J330" s="759"/>
      <c r="K330" s="759"/>
      <c r="L330" s="760"/>
      <c r="M330" s="760"/>
      <c r="N330" s="760"/>
      <c r="O330" s="759"/>
      <c r="P330" s="760"/>
      <c r="Q330" s="760"/>
      <c r="R330" s="760"/>
      <c r="S330" s="760"/>
      <c r="T330" s="760"/>
      <c r="U330" s="760"/>
      <c r="V330" s="760"/>
      <c r="W330" s="760"/>
      <c r="X330" s="760"/>
      <c r="Y330" s="760"/>
      <c r="Z330" s="760"/>
      <c r="AA330" s="760"/>
      <c r="AB330" s="760"/>
      <c r="AC330" s="760"/>
    </row>
    <row r="331" ht="15.75" customHeight="1">
      <c r="A331" s="759"/>
      <c r="B331" s="927"/>
      <c r="C331" s="760"/>
      <c r="D331" s="928"/>
      <c r="E331" s="759"/>
      <c r="F331" s="759"/>
      <c r="G331" s="929"/>
      <c r="H331" s="929"/>
      <c r="I331" s="930"/>
      <c r="J331" s="759"/>
      <c r="K331" s="759"/>
      <c r="L331" s="760"/>
      <c r="M331" s="760"/>
      <c r="N331" s="760"/>
      <c r="O331" s="759"/>
      <c r="P331" s="760"/>
      <c r="Q331" s="760"/>
      <c r="R331" s="760"/>
      <c r="S331" s="760"/>
      <c r="T331" s="760"/>
      <c r="U331" s="760"/>
      <c r="V331" s="760"/>
      <c r="W331" s="760"/>
      <c r="X331" s="760"/>
      <c r="Y331" s="760"/>
      <c r="Z331" s="760"/>
      <c r="AA331" s="760"/>
      <c r="AB331" s="760"/>
      <c r="AC331" s="760"/>
    </row>
    <row r="332" ht="15.75" customHeight="1">
      <c r="A332" s="759"/>
      <c r="B332" s="927"/>
      <c r="C332" s="760"/>
      <c r="D332" s="928"/>
      <c r="E332" s="759"/>
      <c r="F332" s="759"/>
      <c r="G332" s="929"/>
      <c r="H332" s="929"/>
      <c r="I332" s="930"/>
      <c r="J332" s="759"/>
      <c r="K332" s="759"/>
      <c r="L332" s="760"/>
      <c r="M332" s="760"/>
      <c r="N332" s="760"/>
      <c r="O332" s="759"/>
      <c r="P332" s="760"/>
      <c r="Q332" s="760"/>
      <c r="R332" s="760"/>
      <c r="S332" s="760"/>
      <c r="T332" s="760"/>
      <c r="U332" s="760"/>
      <c r="V332" s="760"/>
      <c r="W332" s="760"/>
      <c r="X332" s="760"/>
      <c r="Y332" s="760"/>
      <c r="Z332" s="760"/>
      <c r="AA332" s="760"/>
      <c r="AB332" s="760"/>
      <c r="AC332" s="760"/>
    </row>
    <row r="333" ht="15.75" customHeight="1">
      <c r="A333" s="759"/>
      <c r="B333" s="927"/>
      <c r="C333" s="760"/>
      <c r="D333" s="928"/>
      <c r="E333" s="759"/>
      <c r="F333" s="759"/>
      <c r="G333" s="929"/>
      <c r="H333" s="929"/>
      <c r="I333" s="930"/>
      <c r="J333" s="759"/>
      <c r="K333" s="759"/>
      <c r="L333" s="760"/>
      <c r="M333" s="760"/>
      <c r="N333" s="760"/>
      <c r="O333" s="759"/>
      <c r="P333" s="760"/>
      <c r="Q333" s="760"/>
      <c r="R333" s="760"/>
      <c r="S333" s="760"/>
      <c r="T333" s="760"/>
      <c r="U333" s="760"/>
      <c r="V333" s="760"/>
      <c r="W333" s="760"/>
      <c r="X333" s="760"/>
      <c r="Y333" s="760"/>
      <c r="Z333" s="760"/>
      <c r="AA333" s="760"/>
      <c r="AB333" s="760"/>
      <c r="AC333" s="760"/>
    </row>
    <row r="334" ht="15.75" customHeight="1">
      <c r="A334" s="759"/>
      <c r="B334" s="927"/>
      <c r="C334" s="760"/>
      <c r="D334" s="928"/>
      <c r="E334" s="759"/>
      <c r="F334" s="759"/>
      <c r="G334" s="929"/>
      <c r="H334" s="929"/>
      <c r="I334" s="930"/>
      <c r="J334" s="759"/>
      <c r="K334" s="759"/>
      <c r="L334" s="760"/>
      <c r="M334" s="760"/>
      <c r="N334" s="760"/>
      <c r="O334" s="759"/>
      <c r="P334" s="760"/>
      <c r="Q334" s="760"/>
      <c r="R334" s="760"/>
      <c r="S334" s="760"/>
      <c r="T334" s="760"/>
      <c r="U334" s="760"/>
      <c r="V334" s="760"/>
      <c r="W334" s="760"/>
      <c r="X334" s="760"/>
      <c r="Y334" s="760"/>
      <c r="Z334" s="760"/>
      <c r="AA334" s="760"/>
      <c r="AB334" s="760"/>
      <c r="AC334" s="760"/>
    </row>
    <row r="335" ht="15.75" customHeight="1">
      <c r="A335" s="759"/>
      <c r="B335" s="927"/>
      <c r="C335" s="760"/>
      <c r="D335" s="928"/>
      <c r="E335" s="759"/>
      <c r="F335" s="759"/>
      <c r="G335" s="929"/>
      <c r="H335" s="929"/>
      <c r="I335" s="930"/>
      <c r="J335" s="759"/>
      <c r="K335" s="759"/>
      <c r="L335" s="760"/>
      <c r="M335" s="760"/>
      <c r="N335" s="760"/>
      <c r="O335" s="759"/>
      <c r="P335" s="760"/>
      <c r="Q335" s="760"/>
      <c r="R335" s="760"/>
      <c r="S335" s="760"/>
      <c r="T335" s="760"/>
      <c r="U335" s="760"/>
      <c r="V335" s="760"/>
      <c r="W335" s="760"/>
      <c r="X335" s="760"/>
      <c r="Y335" s="760"/>
      <c r="Z335" s="760"/>
      <c r="AA335" s="760"/>
      <c r="AB335" s="760"/>
      <c r="AC335" s="760"/>
    </row>
    <row r="336" ht="15.75" customHeight="1">
      <c r="A336" s="759"/>
      <c r="B336" s="927"/>
      <c r="C336" s="760"/>
      <c r="D336" s="928"/>
      <c r="E336" s="759"/>
      <c r="F336" s="759"/>
      <c r="G336" s="929"/>
      <c r="H336" s="929"/>
      <c r="I336" s="930"/>
      <c r="J336" s="759"/>
      <c r="K336" s="759"/>
      <c r="L336" s="760"/>
      <c r="M336" s="760"/>
      <c r="N336" s="760"/>
      <c r="O336" s="759"/>
      <c r="P336" s="760"/>
      <c r="Q336" s="760"/>
      <c r="R336" s="760"/>
      <c r="S336" s="760"/>
      <c r="T336" s="760"/>
      <c r="U336" s="760"/>
      <c r="V336" s="760"/>
      <c r="W336" s="760"/>
      <c r="X336" s="760"/>
      <c r="Y336" s="760"/>
      <c r="Z336" s="760"/>
      <c r="AA336" s="760"/>
      <c r="AB336" s="760"/>
      <c r="AC336" s="760"/>
    </row>
    <row r="337" ht="15.75" customHeight="1">
      <c r="A337" s="759"/>
      <c r="B337" s="927"/>
      <c r="C337" s="760"/>
      <c r="D337" s="928"/>
      <c r="E337" s="759"/>
      <c r="F337" s="759"/>
      <c r="G337" s="929"/>
      <c r="H337" s="929"/>
      <c r="I337" s="930"/>
      <c r="J337" s="759"/>
      <c r="K337" s="759"/>
      <c r="L337" s="760"/>
      <c r="M337" s="760"/>
      <c r="N337" s="760"/>
      <c r="O337" s="759"/>
      <c r="P337" s="760"/>
      <c r="Q337" s="760"/>
      <c r="R337" s="760"/>
      <c r="S337" s="760"/>
      <c r="T337" s="760"/>
      <c r="U337" s="760"/>
      <c r="V337" s="760"/>
      <c r="W337" s="760"/>
      <c r="X337" s="760"/>
      <c r="Y337" s="760"/>
      <c r="Z337" s="760"/>
      <c r="AA337" s="760"/>
      <c r="AB337" s="760"/>
      <c r="AC337" s="760"/>
    </row>
    <row r="338" ht="15.75" customHeight="1">
      <c r="A338" s="759"/>
      <c r="B338" s="927"/>
      <c r="C338" s="760"/>
      <c r="D338" s="928"/>
      <c r="E338" s="759"/>
      <c r="F338" s="759"/>
      <c r="G338" s="929"/>
      <c r="H338" s="929"/>
      <c r="I338" s="930"/>
      <c r="J338" s="759"/>
      <c r="K338" s="759"/>
      <c r="L338" s="760"/>
      <c r="M338" s="760"/>
      <c r="N338" s="760"/>
      <c r="O338" s="759"/>
      <c r="P338" s="760"/>
      <c r="Q338" s="760"/>
      <c r="R338" s="760"/>
      <c r="S338" s="760"/>
      <c r="T338" s="760"/>
      <c r="U338" s="760"/>
      <c r="V338" s="760"/>
      <c r="W338" s="760"/>
      <c r="X338" s="760"/>
      <c r="Y338" s="760"/>
      <c r="Z338" s="760"/>
      <c r="AA338" s="760"/>
      <c r="AB338" s="760"/>
      <c r="AC338" s="760"/>
    </row>
    <row r="339" ht="15.75" customHeight="1">
      <c r="A339" s="759"/>
      <c r="B339" s="927"/>
      <c r="C339" s="760"/>
      <c r="D339" s="928"/>
      <c r="E339" s="759"/>
      <c r="F339" s="759"/>
      <c r="G339" s="929"/>
      <c r="H339" s="929"/>
      <c r="I339" s="930"/>
      <c r="J339" s="759"/>
      <c r="K339" s="759"/>
      <c r="L339" s="760"/>
      <c r="M339" s="760"/>
      <c r="N339" s="760"/>
      <c r="O339" s="759"/>
      <c r="P339" s="760"/>
      <c r="Q339" s="760"/>
      <c r="R339" s="760"/>
      <c r="S339" s="760"/>
      <c r="T339" s="760"/>
      <c r="U339" s="760"/>
      <c r="V339" s="760"/>
      <c r="W339" s="760"/>
      <c r="X339" s="760"/>
      <c r="Y339" s="760"/>
      <c r="Z339" s="760"/>
      <c r="AA339" s="760"/>
      <c r="AB339" s="760"/>
      <c r="AC339" s="760"/>
    </row>
    <row r="340" ht="15.75" customHeight="1">
      <c r="A340" s="759"/>
      <c r="B340" s="927"/>
      <c r="C340" s="760"/>
      <c r="D340" s="928"/>
      <c r="E340" s="759"/>
      <c r="F340" s="759"/>
      <c r="G340" s="929"/>
      <c r="H340" s="929"/>
      <c r="I340" s="930"/>
      <c r="J340" s="759"/>
      <c r="K340" s="759"/>
      <c r="L340" s="760"/>
      <c r="M340" s="760"/>
      <c r="N340" s="760"/>
      <c r="O340" s="759"/>
      <c r="P340" s="760"/>
      <c r="Q340" s="760"/>
      <c r="R340" s="760"/>
      <c r="S340" s="760"/>
      <c r="T340" s="760"/>
      <c r="U340" s="760"/>
      <c r="V340" s="760"/>
      <c r="W340" s="760"/>
      <c r="X340" s="760"/>
      <c r="Y340" s="760"/>
      <c r="Z340" s="760"/>
      <c r="AA340" s="760"/>
      <c r="AB340" s="760"/>
      <c r="AC340" s="760"/>
    </row>
    <row r="341" ht="15.75" customHeight="1">
      <c r="A341" s="759"/>
      <c r="B341" s="927"/>
      <c r="C341" s="760"/>
      <c r="D341" s="928"/>
      <c r="E341" s="759"/>
      <c r="F341" s="759"/>
      <c r="G341" s="929"/>
      <c r="H341" s="929"/>
      <c r="I341" s="930"/>
      <c r="J341" s="759"/>
      <c r="K341" s="759"/>
      <c r="L341" s="760"/>
      <c r="M341" s="760"/>
      <c r="N341" s="760"/>
      <c r="O341" s="759"/>
      <c r="P341" s="760"/>
      <c r="Q341" s="760"/>
      <c r="R341" s="760"/>
      <c r="S341" s="760"/>
      <c r="T341" s="760"/>
      <c r="U341" s="760"/>
      <c r="V341" s="760"/>
      <c r="W341" s="760"/>
      <c r="X341" s="760"/>
      <c r="Y341" s="760"/>
      <c r="Z341" s="760"/>
      <c r="AA341" s="760"/>
      <c r="AB341" s="760"/>
      <c r="AC341" s="760"/>
    </row>
    <row r="342" ht="15.75" customHeight="1">
      <c r="A342" s="759"/>
      <c r="B342" s="927"/>
      <c r="C342" s="760"/>
      <c r="D342" s="928"/>
      <c r="E342" s="759"/>
      <c r="F342" s="759"/>
      <c r="G342" s="929"/>
      <c r="H342" s="929"/>
      <c r="I342" s="930"/>
      <c r="J342" s="759"/>
      <c r="K342" s="759"/>
      <c r="L342" s="760"/>
      <c r="M342" s="760"/>
      <c r="N342" s="760"/>
      <c r="O342" s="759"/>
      <c r="P342" s="760"/>
      <c r="Q342" s="760"/>
      <c r="R342" s="760"/>
      <c r="S342" s="760"/>
      <c r="T342" s="760"/>
      <c r="U342" s="760"/>
      <c r="V342" s="760"/>
      <c r="W342" s="760"/>
      <c r="X342" s="760"/>
      <c r="Y342" s="760"/>
      <c r="Z342" s="760"/>
      <c r="AA342" s="760"/>
      <c r="AB342" s="760"/>
      <c r="AC342" s="760"/>
    </row>
    <row r="343" ht="15.75" customHeight="1">
      <c r="A343" s="759"/>
      <c r="B343" s="927"/>
      <c r="C343" s="760"/>
      <c r="D343" s="928"/>
      <c r="E343" s="759"/>
      <c r="F343" s="759"/>
      <c r="G343" s="929"/>
      <c r="H343" s="929"/>
      <c r="I343" s="930"/>
      <c r="J343" s="759"/>
      <c r="K343" s="759"/>
      <c r="L343" s="760"/>
      <c r="M343" s="760"/>
      <c r="N343" s="760"/>
      <c r="O343" s="759"/>
      <c r="P343" s="760"/>
      <c r="Q343" s="760"/>
      <c r="R343" s="760"/>
      <c r="S343" s="760"/>
      <c r="T343" s="760"/>
      <c r="U343" s="760"/>
      <c r="V343" s="760"/>
      <c r="W343" s="760"/>
      <c r="X343" s="760"/>
      <c r="Y343" s="760"/>
      <c r="Z343" s="760"/>
      <c r="AA343" s="760"/>
      <c r="AB343" s="760"/>
      <c r="AC343" s="760"/>
    </row>
    <row r="344" ht="15.75" customHeight="1">
      <c r="A344" s="759"/>
      <c r="B344" s="927"/>
      <c r="C344" s="760"/>
      <c r="D344" s="928"/>
      <c r="E344" s="759"/>
      <c r="F344" s="759"/>
      <c r="G344" s="929"/>
      <c r="H344" s="929"/>
      <c r="I344" s="930"/>
      <c r="J344" s="759"/>
      <c r="K344" s="759"/>
      <c r="L344" s="760"/>
      <c r="M344" s="760"/>
      <c r="N344" s="760"/>
      <c r="O344" s="759"/>
      <c r="P344" s="760"/>
      <c r="Q344" s="760"/>
      <c r="R344" s="760"/>
      <c r="S344" s="760"/>
      <c r="T344" s="760"/>
      <c r="U344" s="760"/>
      <c r="V344" s="760"/>
      <c r="W344" s="760"/>
      <c r="X344" s="760"/>
      <c r="Y344" s="760"/>
      <c r="Z344" s="760"/>
      <c r="AA344" s="760"/>
      <c r="AB344" s="760"/>
      <c r="AC344" s="760"/>
    </row>
    <row r="345" ht="15.75" customHeight="1">
      <c r="A345" s="759"/>
      <c r="B345" s="927"/>
      <c r="C345" s="760"/>
      <c r="D345" s="928"/>
      <c r="E345" s="759"/>
      <c r="F345" s="759"/>
      <c r="G345" s="929"/>
      <c r="H345" s="929"/>
      <c r="I345" s="930"/>
      <c r="J345" s="759"/>
      <c r="K345" s="759"/>
      <c r="L345" s="760"/>
      <c r="M345" s="760"/>
      <c r="N345" s="760"/>
      <c r="O345" s="759"/>
      <c r="P345" s="760"/>
      <c r="Q345" s="760"/>
      <c r="R345" s="760"/>
      <c r="S345" s="760"/>
      <c r="T345" s="760"/>
      <c r="U345" s="760"/>
      <c r="V345" s="760"/>
      <c r="W345" s="760"/>
      <c r="X345" s="760"/>
      <c r="Y345" s="760"/>
      <c r="Z345" s="760"/>
      <c r="AA345" s="760"/>
      <c r="AB345" s="760"/>
      <c r="AC345" s="760"/>
    </row>
    <row r="346" ht="15.75" customHeight="1">
      <c r="A346" s="759"/>
      <c r="B346" s="927"/>
      <c r="C346" s="760"/>
      <c r="D346" s="928"/>
      <c r="E346" s="759"/>
      <c r="F346" s="759"/>
      <c r="G346" s="929"/>
      <c r="H346" s="929"/>
      <c r="I346" s="930"/>
      <c r="J346" s="759"/>
      <c r="K346" s="759"/>
      <c r="L346" s="760"/>
      <c r="M346" s="760"/>
      <c r="N346" s="760"/>
      <c r="O346" s="759"/>
      <c r="P346" s="760"/>
      <c r="Q346" s="760"/>
      <c r="R346" s="760"/>
      <c r="S346" s="760"/>
      <c r="T346" s="760"/>
      <c r="U346" s="760"/>
      <c r="V346" s="760"/>
      <c r="W346" s="760"/>
      <c r="X346" s="760"/>
      <c r="Y346" s="760"/>
      <c r="Z346" s="760"/>
      <c r="AA346" s="760"/>
      <c r="AB346" s="760"/>
      <c r="AC346" s="760"/>
    </row>
    <row r="347" ht="15.75" customHeight="1">
      <c r="A347" s="759"/>
      <c r="B347" s="927"/>
      <c r="C347" s="760"/>
      <c r="D347" s="928"/>
      <c r="E347" s="759"/>
      <c r="F347" s="759"/>
      <c r="G347" s="929"/>
      <c r="H347" s="929"/>
      <c r="I347" s="930"/>
      <c r="J347" s="759"/>
      <c r="K347" s="759"/>
      <c r="L347" s="760"/>
      <c r="M347" s="760"/>
      <c r="N347" s="760"/>
      <c r="O347" s="759"/>
      <c r="P347" s="760"/>
      <c r="Q347" s="760"/>
      <c r="R347" s="760"/>
      <c r="S347" s="760"/>
      <c r="T347" s="760"/>
      <c r="U347" s="760"/>
      <c r="V347" s="760"/>
      <c r="W347" s="760"/>
      <c r="X347" s="760"/>
      <c r="Y347" s="760"/>
      <c r="Z347" s="760"/>
      <c r="AA347" s="760"/>
      <c r="AB347" s="760"/>
      <c r="AC347" s="760"/>
    </row>
    <row r="348" ht="15.75" customHeight="1">
      <c r="A348" s="759"/>
      <c r="B348" s="927"/>
      <c r="C348" s="760"/>
      <c r="D348" s="928"/>
      <c r="E348" s="759"/>
      <c r="F348" s="759"/>
      <c r="G348" s="929"/>
      <c r="H348" s="929"/>
      <c r="I348" s="930"/>
      <c r="J348" s="759"/>
      <c r="K348" s="759"/>
      <c r="L348" s="760"/>
      <c r="M348" s="760"/>
      <c r="N348" s="760"/>
      <c r="O348" s="759"/>
      <c r="P348" s="760"/>
      <c r="Q348" s="760"/>
      <c r="R348" s="760"/>
      <c r="S348" s="760"/>
      <c r="T348" s="760"/>
      <c r="U348" s="760"/>
      <c r="V348" s="760"/>
      <c r="W348" s="760"/>
      <c r="X348" s="760"/>
      <c r="Y348" s="760"/>
      <c r="Z348" s="760"/>
      <c r="AA348" s="760"/>
      <c r="AB348" s="760"/>
      <c r="AC348" s="760"/>
    </row>
    <row r="349" ht="15.75" customHeight="1">
      <c r="A349" s="759"/>
      <c r="B349" s="927"/>
      <c r="C349" s="760"/>
      <c r="D349" s="928"/>
      <c r="E349" s="759"/>
      <c r="F349" s="759"/>
      <c r="G349" s="929"/>
      <c r="H349" s="929"/>
      <c r="I349" s="930"/>
      <c r="J349" s="759"/>
      <c r="K349" s="759"/>
      <c r="L349" s="760"/>
      <c r="M349" s="760"/>
      <c r="N349" s="760"/>
      <c r="O349" s="759"/>
      <c r="P349" s="760"/>
      <c r="Q349" s="760"/>
      <c r="R349" s="760"/>
      <c r="S349" s="760"/>
      <c r="T349" s="760"/>
      <c r="U349" s="760"/>
      <c r="V349" s="760"/>
      <c r="W349" s="760"/>
      <c r="X349" s="760"/>
      <c r="Y349" s="760"/>
      <c r="Z349" s="760"/>
      <c r="AA349" s="760"/>
      <c r="AB349" s="760"/>
      <c r="AC349" s="760"/>
    </row>
    <row r="350" ht="15.75" customHeight="1">
      <c r="A350" s="759"/>
      <c r="B350" s="927"/>
      <c r="C350" s="760"/>
      <c r="D350" s="928"/>
      <c r="E350" s="759"/>
      <c r="F350" s="759"/>
      <c r="G350" s="929"/>
      <c r="H350" s="929"/>
      <c r="I350" s="930"/>
      <c r="J350" s="759"/>
      <c r="K350" s="759"/>
      <c r="L350" s="760"/>
      <c r="M350" s="760"/>
      <c r="N350" s="760"/>
      <c r="O350" s="759"/>
      <c r="P350" s="760"/>
      <c r="Q350" s="760"/>
      <c r="R350" s="760"/>
      <c r="S350" s="760"/>
      <c r="T350" s="760"/>
      <c r="U350" s="760"/>
      <c r="V350" s="760"/>
      <c r="W350" s="760"/>
      <c r="X350" s="760"/>
      <c r="Y350" s="760"/>
      <c r="Z350" s="760"/>
      <c r="AA350" s="760"/>
      <c r="AB350" s="760"/>
      <c r="AC350" s="760"/>
    </row>
    <row r="351" ht="15.75" customHeight="1">
      <c r="A351" s="759"/>
      <c r="B351" s="927"/>
      <c r="C351" s="760"/>
      <c r="D351" s="928"/>
      <c r="E351" s="759"/>
      <c r="F351" s="759"/>
      <c r="G351" s="929"/>
      <c r="H351" s="929"/>
      <c r="I351" s="930"/>
      <c r="J351" s="759"/>
      <c r="K351" s="759"/>
      <c r="L351" s="760"/>
      <c r="M351" s="760"/>
      <c r="N351" s="760"/>
      <c r="O351" s="759"/>
      <c r="P351" s="760"/>
      <c r="Q351" s="760"/>
      <c r="R351" s="760"/>
      <c r="S351" s="760"/>
      <c r="T351" s="760"/>
      <c r="U351" s="760"/>
      <c r="V351" s="760"/>
      <c r="W351" s="760"/>
      <c r="X351" s="760"/>
      <c r="Y351" s="760"/>
      <c r="Z351" s="760"/>
      <c r="AA351" s="760"/>
      <c r="AB351" s="760"/>
      <c r="AC351" s="760"/>
    </row>
    <row r="352" ht="15.75" customHeight="1">
      <c r="A352" s="759"/>
      <c r="B352" s="927"/>
      <c r="C352" s="760"/>
      <c r="D352" s="928"/>
      <c r="E352" s="759"/>
      <c r="F352" s="759"/>
      <c r="G352" s="929"/>
      <c r="H352" s="929"/>
      <c r="I352" s="930"/>
      <c r="J352" s="759"/>
      <c r="K352" s="759"/>
      <c r="L352" s="760"/>
      <c r="M352" s="760"/>
      <c r="N352" s="760"/>
      <c r="O352" s="759"/>
      <c r="P352" s="760"/>
      <c r="Q352" s="760"/>
      <c r="R352" s="760"/>
      <c r="S352" s="760"/>
      <c r="T352" s="760"/>
      <c r="U352" s="760"/>
      <c r="V352" s="760"/>
      <c r="W352" s="760"/>
      <c r="X352" s="760"/>
      <c r="Y352" s="760"/>
      <c r="Z352" s="760"/>
      <c r="AA352" s="760"/>
      <c r="AB352" s="760"/>
      <c r="AC352" s="760"/>
    </row>
    <row r="353" ht="15.75" customHeight="1">
      <c r="A353" s="759"/>
      <c r="B353" s="927"/>
      <c r="C353" s="760"/>
      <c r="D353" s="928"/>
      <c r="E353" s="759"/>
      <c r="F353" s="759"/>
      <c r="G353" s="929"/>
      <c r="H353" s="929"/>
      <c r="I353" s="930"/>
      <c r="J353" s="759"/>
      <c r="K353" s="759"/>
      <c r="L353" s="760"/>
      <c r="M353" s="760"/>
      <c r="N353" s="760"/>
      <c r="O353" s="759"/>
      <c r="P353" s="760"/>
      <c r="Q353" s="760"/>
      <c r="R353" s="760"/>
      <c r="S353" s="760"/>
      <c r="T353" s="760"/>
      <c r="U353" s="760"/>
      <c r="V353" s="760"/>
      <c r="W353" s="760"/>
      <c r="X353" s="760"/>
      <c r="Y353" s="760"/>
      <c r="Z353" s="760"/>
      <c r="AA353" s="760"/>
      <c r="AB353" s="760"/>
      <c r="AC353" s="760"/>
    </row>
    <row r="354" ht="15.75" customHeight="1">
      <c r="A354" s="759"/>
      <c r="B354" s="927"/>
      <c r="C354" s="760"/>
      <c r="D354" s="928"/>
      <c r="E354" s="759"/>
      <c r="F354" s="759"/>
      <c r="G354" s="929"/>
      <c r="H354" s="929"/>
      <c r="I354" s="930"/>
      <c r="J354" s="759"/>
      <c r="K354" s="759"/>
      <c r="L354" s="760"/>
      <c r="M354" s="760"/>
      <c r="N354" s="760"/>
      <c r="O354" s="759"/>
      <c r="P354" s="760"/>
      <c r="Q354" s="760"/>
      <c r="R354" s="760"/>
      <c r="S354" s="760"/>
      <c r="T354" s="760"/>
      <c r="U354" s="760"/>
      <c r="V354" s="760"/>
      <c r="W354" s="760"/>
      <c r="X354" s="760"/>
      <c r="Y354" s="760"/>
      <c r="Z354" s="760"/>
      <c r="AA354" s="760"/>
      <c r="AB354" s="760"/>
      <c r="AC354" s="760"/>
    </row>
    <row r="355" ht="15.75" customHeight="1">
      <c r="A355" s="759"/>
      <c r="B355" s="927"/>
      <c r="C355" s="760"/>
      <c r="D355" s="928"/>
      <c r="E355" s="759"/>
      <c r="F355" s="759"/>
      <c r="G355" s="929"/>
      <c r="H355" s="929"/>
      <c r="I355" s="930"/>
      <c r="J355" s="759"/>
      <c r="K355" s="759"/>
      <c r="L355" s="760"/>
      <c r="M355" s="760"/>
      <c r="N355" s="760"/>
      <c r="O355" s="759"/>
      <c r="P355" s="760"/>
      <c r="Q355" s="760"/>
      <c r="R355" s="760"/>
      <c r="S355" s="760"/>
      <c r="T355" s="760"/>
      <c r="U355" s="760"/>
      <c r="V355" s="760"/>
      <c r="W355" s="760"/>
      <c r="X355" s="760"/>
      <c r="Y355" s="760"/>
      <c r="Z355" s="760"/>
      <c r="AA355" s="760"/>
      <c r="AB355" s="760"/>
      <c r="AC355" s="760"/>
    </row>
    <row r="356" ht="15.75" customHeight="1">
      <c r="A356" s="759"/>
      <c r="B356" s="927"/>
      <c r="C356" s="760"/>
      <c r="D356" s="928"/>
      <c r="E356" s="759"/>
      <c r="F356" s="759"/>
      <c r="G356" s="929"/>
      <c r="H356" s="929"/>
      <c r="I356" s="930"/>
      <c r="J356" s="759"/>
      <c r="K356" s="759"/>
      <c r="L356" s="760"/>
      <c r="M356" s="760"/>
      <c r="N356" s="760"/>
      <c r="O356" s="759"/>
      <c r="P356" s="760"/>
      <c r="Q356" s="760"/>
      <c r="R356" s="760"/>
      <c r="S356" s="760"/>
      <c r="T356" s="760"/>
      <c r="U356" s="760"/>
      <c r="V356" s="760"/>
      <c r="W356" s="760"/>
      <c r="X356" s="760"/>
      <c r="Y356" s="760"/>
      <c r="Z356" s="760"/>
      <c r="AA356" s="760"/>
      <c r="AB356" s="760"/>
      <c r="AC356" s="760"/>
    </row>
    <row r="357" ht="15.75" customHeight="1">
      <c r="A357" s="759"/>
      <c r="B357" s="927"/>
      <c r="C357" s="760"/>
      <c r="D357" s="928"/>
      <c r="E357" s="759"/>
      <c r="F357" s="759"/>
      <c r="G357" s="929"/>
      <c r="H357" s="929"/>
      <c r="I357" s="930"/>
      <c r="J357" s="759"/>
      <c r="K357" s="759"/>
      <c r="L357" s="760"/>
      <c r="M357" s="760"/>
      <c r="N357" s="760"/>
      <c r="O357" s="759"/>
      <c r="P357" s="760"/>
      <c r="Q357" s="760"/>
      <c r="R357" s="760"/>
      <c r="S357" s="760"/>
      <c r="T357" s="760"/>
      <c r="U357" s="760"/>
      <c r="V357" s="760"/>
      <c r="W357" s="760"/>
      <c r="X357" s="760"/>
      <c r="Y357" s="760"/>
      <c r="Z357" s="760"/>
      <c r="AA357" s="760"/>
      <c r="AB357" s="760"/>
      <c r="AC357" s="760"/>
    </row>
    <row r="358" ht="15.75" customHeight="1">
      <c r="A358" s="759"/>
      <c r="B358" s="927"/>
      <c r="C358" s="760"/>
      <c r="D358" s="928"/>
      <c r="E358" s="759"/>
      <c r="F358" s="759"/>
      <c r="G358" s="929"/>
      <c r="H358" s="929"/>
      <c r="I358" s="930"/>
      <c r="J358" s="759"/>
      <c r="K358" s="759"/>
      <c r="L358" s="760"/>
      <c r="M358" s="760"/>
      <c r="N358" s="760"/>
      <c r="O358" s="759"/>
      <c r="P358" s="760"/>
      <c r="Q358" s="760"/>
      <c r="R358" s="760"/>
      <c r="S358" s="760"/>
      <c r="T358" s="760"/>
      <c r="U358" s="760"/>
      <c r="V358" s="760"/>
      <c r="W358" s="760"/>
      <c r="X358" s="760"/>
      <c r="Y358" s="760"/>
      <c r="Z358" s="760"/>
      <c r="AA358" s="760"/>
      <c r="AB358" s="760"/>
      <c r="AC358" s="760"/>
    </row>
    <row r="359" ht="15.75" customHeight="1">
      <c r="A359" s="759"/>
      <c r="B359" s="927"/>
      <c r="C359" s="760"/>
      <c r="D359" s="928"/>
      <c r="E359" s="759"/>
      <c r="F359" s="759"/>
      <c r="G359" s="929"/>
      <c r="H359" s="929"/>
      <c r="I359" s="930"/>
      <c r="J359" s="759"/>
      <c r="K359" s="759"/>
      <c r="L359" s="760"/>
      <c r="M359" s="760"/>
      <c r="N359" s="760"/>
      <c r="O359" s="759"/>
      <c r="P359" s="760"/>
      <c r="Q359" s="760"/>
      <c r="R359" s="760"/>
      <c r="S359" s="760"/>
      <c r="T359" s="760"/>
      <c r="U359" s="760"/>
      <c r="V359" s="760"/>
      <c r="W359" s="760"/>
      <c r="X359" s="760"/>
      <c r="Y359" s="760"/>
      <c r="Z359" s="760"/>
      <c r="AA359" s="760"/>
      <c r="AB359" s="760"/>
      <c r="AC359" s="760"/>
    </row>
    <row r="360" ht="15.75" customHeight="1">
      <c r="A360" s="759"/>
      <c r="B360" s="927"/>
      <c r="C360" s="760"/>
      <c r="D360" s="928"/>
      <c r="E360" s="759"/>
      <c r="F360" s="759"/>
      <c r="G360" s="929"/>
      <c r="H360" s="929"/>
      <c r="I360" s="930"/>
      <c r="J360" s="759"/>
      <c r="K360" s="759"/>
      <c r="L360" s="760"/>
      <c r="M360" s="760"/>
      <c r="N360" s="760"/>
      <c r="O360" s="759"/>
      <c r="P360" s="760"/>
      <c r="Q360" s="760"/>
      <c r="R360" s="760"/>
      <c r="S360" s="760"/>
      <c r="T360" s="760"/>
      <c r="U360" s="760"/>
      <c r="V360" s="760"/>
      <c r="W360" s="760"/>
      <c r="X360" s="760"/>
      <c r="Y360" s="760"/>
      <c r="Z360" s="760"/>
      <c r="AA360" s="760"/>
      <c r="AB360" s="760"/>
      <c r="AC360" s="760"/>
    </row>
    <row r="361" ht="15.75" customHeight="1">
      <c r="A361" s="759"/>
      <c r="B361" s="927"/>
      <c r="C361" s="760"/>
      <c r="D361" s="928"/>
      <c r="E361" s="759"/>
      <c r="F361" s="759"/>
      <c r="G361" s="929"/>
      <c r="H361" s="929"/>
      <c r="I361" s="930"/>
      <c r="J361" s="759"/>
      <c r="K361" s="759"/>
      <c r="L361" s="760"/>
      <c r="M361" s="760"/>
      <c r="N361" s="760"/>
      <c r="O361" s="759"/>
      <c r="P361" s="760"/>
      <c r="Q361" s="760"/>
      <c r="R361" s="760"/>
      <c r="S361" s="760"/>
      <c r="T361" s="760"/>
      <c r="U361" s="760"/>
      <c r="V361" s="760"/>
      <c r="W361" s="760"/>
      <c r="X361" s="760"/>
      <c r="Y361" s="760"/>
      <c r="Z361" s="760"/>
      <c r="AA361" s="760"/>
      <c r="AB361" s="760"/>
      <c r="AC361" s="760"/>
    </row>
    <row r="362" ht="15.75" customHeight="1">
      <c r="A362" s="759"/>
      <c r="B362" s="927"/>
      <c r="C362" s="760"/>
      <c r="D362" s="928"/>
      <c r="E362" s="759"/>
      <c r="F362" s="759"/>
      <c r="G362" s="929"/>
      <c r="H362" s="929"/>
      <c r="I362" s="930"/>
      <c r="J362" s="759"/>
      <c r="K362" s="759"/>
      <c r="L362" s="760"/>
      <c r="M362" s="760"/>
      <c r="N362" s="760"/>
      <c r="O362" s="759"/>
      <c r="P362" s="760"/>
      <c r="Q362" s="760"/>
      <c r="R362" s="760"/>
      <c r="S362" s="760"/>
      <c r="T362" s="760"/>
      <c r="U362" s="760"/>
      <c r="V362" s="760"/>
      <c r="W362" s="760"/>
      <c r="X362" s="760"/>
      <c r="Y362" s="760"/>
      <c r="Z362" s="760"/>
      <c r="AA362" s="760"/>
      <c r="AB362" s="760"/>
      <c r="AC362" s="760"/>
    </row>
    <row r="363" ht="15.75" customHeight="1">
      <c r="A363" s="759"/>
      <c r="B363" s="927"/>
      <c r="C363" s="760"/>
      <c r="D363" s="928"/>
      <c r="E363" s="759"/>
      <c r="F363" s="759"/>
      <c r="G363" s="929"/>
      <c r="H363" s="929"/>
      <c r="I363" s="930"/>
      <c r="J363" s="759"/>
      <c r="K363" s="759"/>
      <c r="L363" s="760"/>
      <c r="M363" s="760"/>
      <c r="N363" s="760"/>
      <c r="O363" s="759"/>
      <c r="P363" s="760"/>
      <c r="Q363" s="760"/>
      <c r="R363" s="760"/>
      <c r="S363" s="760"/>
      <c r="T363" s="760"/>
      <c r="U363" s="760"/>
      <c r="V363" s="760"/>
      <c r="W363" s="760"/>
      <c r="X363" s="760"/>
      <c r="Y363" s="760"/>
      <c r="Z363" s="760"/>
      <c r="AA363" s="760"/>
      <c r="AB363" s="760"/>
      <c r="AC363" s="760"/>
    </row>
    <row r="364" ht="15.75" customHeight="1">
      <c r="A364" s="759"/>
      <c r="B364" s="927"/>
      <c r="C364" s="760"/>
      <c r="D364" s="928"/>
      <c r="E364" s="759"/>
      <c r="F364" s="759"/>
      <c r="G364" s="929"/>
      <c r="H364" s="929"/>
      <c r="I364" s="930"/>
      <c r="J364" s="759"/>
      <c r="K364" s="759"/>
      <c r="L364" s="760"/>
      <c r="M364" s="760"/>
      <c r="N364" s="760"/>
      <c r="O364" s="759"/>
      <c r="P364" s="760"/>
      <c r="Q364" s="760"/>
      <c r="R364" s="760"/>
      <c r="S364" s="760"/>
      <c r="T364" s="760"/>
      <c r="U364" s="760"/>
      <c r="V364" s="760"/>
      <c r="W364" s="760"/>
      <c r="X364" s="760"/>
      <c r="Y364" s="760"/>
      <c r="Z364" s="760"/>
      <c r="AA364" s="760"/>
      <c r="AB364" s="760"/>
      <c r="AC364" s="760"/>
    </row>
    <row r="365" ht="15.75" customHeight="1">
      <c r="A365" s="759"/>
      <c r="B365" s="927"/>
      <c r="C365" s="760"/>
      <c r="D365" s="928"/>
      <c r="E365" s="759"/>
      <c r="F365" s="759"/>
      <c r="G365" s="929"/>
      <c r="H365" s="929"/>
      <c r="I365" s="930"/>
      <c r="J365" s="759"/>
      <c r="K365" s="759"/>
      <c r="L365" s="760"/>
      <c r="M365" s="760"/>
      <c r="N365" s="760"/>
      <c r="O365" s="759"/>
      <c r="P365" s="760"/>
      <c r="Q365" s="760"/>
      <c r="R365" s="760"/>
      <c r="S365" s="760"/>
      <c r="T365" s="760"/>
      <c r="U365" s="760"/>
      <c r="V365" s="760"/>
      <c r="W365" s="760"/>
      <c r="X365" s="760"/>
      <c r="Y365" s="760"/>
      <c r="Z365" s="760"/>
      <c r="AA365" s="760"/>
      <c r="AB365" s="760"/>
      <c r="AC365" s="760"/>
    </row>
    <row r="366" ht="15.75" customHeight="1">
      <c r="A366" s="759"/>
      <c r="B366" s="927"/>
      <c r="C366" s="760"/>
      <c r="D366" s="928"/>
      <c r="E366" s="759"/>
      <c r="F366" s="759"/>
      <c r="G366" s="929"/>
      <c r="H366" s="929"/>
      <c r="I366" s="930"/>
      <c r="J366" s="759"/>
      <c r="K366" s="759"/>
      <c r="L366" s="760"/>
      <c r="M366" s="760"/>
      <c r="N366" s="760"/>
      <c r="O366" s="759"/>
      <c r="P366" s="760"/>
      <c r="Q366" s="760"/>
      <c r="R366" s="760"/>
      <c r="S366" s="760"/>
      <c r="T366" s="760"/>
      <c r="U366" s="760"/>
      <c r="V366" s="760"/>
      <c r="W366" s="760"/>
      <c r="X366" s="760"/>
      <c r="Y366" s="760"/>
      <c r="Z366" s="760"/>
      <c r="AA366" s="760"/>
      <c r="AB366" s="760"/>
      <c r="AC366" s="760"/>
    </row>
    <row r="367" ht="15.75" customHeight="1">
      <c r="A367" s="759"/>
      <c r="B367" s="927"/>
      <c r="C367" s="760"/>
      <c r="D367" s="928"/>
      <c r="E367" s="759"/>
      <c r="F367" s="759"/>
      <c r="G367" s="929"/>
      <c r="H367" s="929"/>
      <c r="I367" s="930"/>
      <c r="J367" s="759"/>
      <c r="K367" s="759"/>
      <c r="L367" s="760"/>
      <c r="M367" s="760"/>
      <c r="N367" s="760"/>
      <c r="O367" s="759"/>
      <c r="P367" s="760"/>
      <c r="Q367" s="760"/>
      <c r="R367" s="760"/>
      <c r="S367" s="760"/>
      <c r="T367" s="760"/>
      <c r="U367" s="760"/>
      <c r="V367" s="760"/>
      <c r="W367" s="760"/>
      <c r="X367" s="760"/>
      <c r="Y367" s="760"/>
      <c r="Z367" s="760"/>
      <c r="AA367" s="760"/>
      <c r="AB367" s="760"/>
      <c r="AC367" s="760"/>
    </row>
    <row r="368" ht="15.75" customHeight="1">
      <c r="A368" s="759"/>
      <c r="B368" s="927"/>
      <c r="C368" s="760"/>
      <c r="D368" s="928"/>
      <c r="E368" s="759"/>
      <c r="F368" s="759"/>
      <c r="G368" s="929"/>
      <c r="H368" s="929"/>
      <c r="I368" s="930"/>
      <c r="J368" s="759"/>
      <c r="K368" s="759"/>
      <c r="L368" s="760"/>
      <c r="M368" s="760"/>
      <c r="N368" s="760"/>
      <c r="O368" s="759"/>
      <c r="P368" s="760"/>
      <c r="Q368" s="760"/>
      <c r="R368" s="760"/>
      <c r="S368" s="760"/>
      <c r="T368" s="760"/>
      <c r="U368" s="760"/>
      <c r="V368" s="760"/>
      <c r="W368" s="760"/>
      <c r="X368" s="760"/>
      <c r="Y368" s="760"/>
      <c r="Z368" s="760"/>
      <c r="AA368" s="760"/>
      <c r="AB368" s="760"/>
      <c r="AC368" s="760"/>
    </row>
    <row r="369" ht="15.75" customHeight="1">
      <c r="A369" s="759"/>
      <c r="B369" s="927"/>
      <c r="C369" s="760"/>
      <c r="D369" s="928"/>
      <c r="E369" s="759"/>
      <c r="F369" s="759"/>
      <c r="G369" s="929"/>
      <c r="H369" s="929"/>
      <c r="I369" s="930"/>
      <c r="J369" s="759"/>
      <c r="K369" s="759"/>
      <c r="L369" s="760"/>
      <c r="M369" s="760"/>
      <c r="N369" s="760"/>
      <c r="O369" s="759"/>
      <c r="P369" s="760"/>
      <c r="Q369" s="760"/>
      <c r="R369" s="760"/>
      <c r="S369" s="760"/>
      <c r="T369" s="760"/>
      <c r="U369" s="760"/>
      <c r="V369" s="760"/>
      <c r="W369" s="760"/>
      <c r="X369" s="760"/>
      <c r="Y369" s="760"/>
      <c r="Z369" s="760"/>
      <c r="AA369" s="760"/>
      <c r="AB369" s="760"/>
      <c r="AC369" s="760"/>
    </row>
    <row r="370" ht="15.75" customHeight="1">
      <c r="A370" s="759"/>
      <c r="B370" s="927"/>
      <c r="C370" s="760"/>
      <c r="D370" s="928"/>
      <c r="E370" s="759"/>
      <c r="F370" s="759"/>
      <c r="G370" s="929"/>
      <c r="H370" s="929"/>
      <c r="I370" s="930"/>
      <c r="J370" s="759"/>
      <c r="K370" s="759"/>
      <c r="L370" s="760"/>
      <c r="M370" s="760"/>
      <c r="N370" s="760"/>
      <c r="O370" s="759"/>
      <c r="P370" s="760"/>
      <c r="Q370" s="760"/>
      <c r="R370" s="760"/>
      <c r="S370" s="760"/>
      <c r="T370" s="760"/>
      <c r="U370" s="760"/>
      <c r="V370" s="760"/>
      <c r="W370" s="760"/>
      <c r="X370" s="760"/>
      <c r="Y370" s="760"/>
      <c r="Z370" s="760"/>
      <c r="AA370" s="760"/>
      <c r="AB370" s="760"/>
      <c r="AC370" s="760"/>
    </row>
    <row r="371" ht="15.75" customHeight="1">
      <c r="A371" s="759"/>
      <c r="B371" s="927"/>
      <c r="C371" s="760"/>
      <c r="D371" s="928"/>
      <c r="E371" s="759"/>
      <c r="F371" s="759"/>
      <c r="G371" s="929"/>
      <c r="H371" s="929"/>
      <c r="I371" s="930"/>
      <c r="J371" s="759"/>
      <c r="K371" s="759"/>
      <c r="L371" s="760"/>
      <c r="M371" s="760"/>
      <c r="N371" s="760"/>
      <c r="O371" s="759"/>
      <c r="P371" s="760"/>
      <c r="Q371" s="760"/>
      <c r="R371" s="760"/>
      <c r="S371" s="760"/>
      <c r="T371" s="760"/>
      <c r="U371" s="760"/>
      <c r="V371" s="760"/>
      <c r="W371" s="760"/>
      <c r="X371" s="760"/>
      <c r="Y371" s="760"/>
      <c r="Z371" s="760"/>
      <c r="AA371" s="760"/>
      <c r="AB371" s="760"/>
      <c r="AC371" s="760"/>
    </row>
    <row r="372" ht="15.75" customHeight="1">
      <c r="A372" s="759"/>
      <c r="B372" s="927"/>
      <c r="C372" s="760"/>
      <c r="D372" s="928"/>
      <c r="E372" s="759"/>
      <c r="F372" s="759"/>
      <c r="G372" s="929"/>
      <c r="H372" s="929"/>
      <c r="I372" s="930"/>
      <c r="J372" s="759"/>
      <c r="K372" s="759"/>
      <c r="L372" s="760"/>
      <c r="M372" s="760"/>
      <c r="N372" s="760"/>
      <c r="O372" s="759"/>
      <c r="P372" s="760"/>
      <c r="Q372" s="760"/>
      <c r="R372" s="760"/>
      <c r="S372" s="760"/>
      <c r="T372" s="760"/>
      <c r="U372" s="760"/>
      <c r="V372" s="760"/>
      <c r="W372" s="760"/>
      <c r="X372" s="760"/>
      <c r="Y372" s="760"/>
      <c r="Z372" s="760"/>
      <c r="AA372" s="760"/>
      <c r="AB372" s="760"/>
      <c r="AC372" s="760"/>
    </row>
    <row r="373" ht="15.75" customHeight="1">
      <c r="A373" s="759"/>
      <c r="B373" s="927"/>
      <c r="C373" s="760"/>
      <c r="D373" s="928"/>
      <c r="E373" s="759"/>
      <c r="F373" s="759"/>
      <c r="G373" s="929"/>
      <c r="H373" s="929"/>
      <c r="I373" s="930"/>
      <c r="J373" s="759"/>
      <c r="K373" s="759"/>
      <c r="L373" s="760"/>
      <c r="M373" s="760"/>
      <c r="N373" s="760"/>
      <c r="O373" s="759"/>
      <c r="P373" s="760"/>
      <c r="Q373" s="760"/>
      <c r="R373" s="760"/>
      <c r="S373" s="760"/>
      <c r="T373" s="760"/>
      <c r="U373" s="760"/>
      <c r="V373" s="760"/>
      <c r="W373" s="760"/>
      <c r="X373" s="760"/>
      <c r="Y373" s="760"/>
      <c r="Z373" s="760"/>
      <c r="AA373" s="760"/>
      <c r="AB373" s="760"/>
      <c r="AC373" s="760"/>
    </row>
    <row r="374" ht="15.75" customHeight="1">
      <c r="A374" s="759"/>
      <c r="B374" s="927"/>
      <c r="C374" s="760"/>
      <c r="D374" s="928"/>
      <c r="E374" s="759"/>
      <c r="F374" s="759"/>
      <c r="G374" s="929"/>
      <c r="H374" s="929"/>
      <c r="I374" s="930"/>
      <c r="J374" s="759"/>
      <c r="K374" s="759"/>
      <c r="L374" s="760"/>
      <c r="M374" s="760"/>
      <c r="N374" s="760"/>
      <c r="O374" s="759"/>
      <c r="P374" s="760"/>
      <c r="Q374" s="760"/>
      <c r="R374" s="760"/>
      <c r="S374" s="760"/>
      <c r="T374" s="760"/>
      <c r="U374" s="760"/>
      <c r="V374" s="760"/>
      <c r="W374" s="760"/>
      <c r="X374" s="760"/>
      <c r="Y374" s="760"/>
      <c r="Z374" s="760"/>
      <c r="AA374" s="760"/>
      <c r="AB374" s="760"/>
      <c r="AC374" s="760"/>
    </row>
    <row r="375" ht="15.75" customHeight="1">
      <c r="A375" s="759"/>
      <c r="B375" s="927"/>
      <c r="C375" s="760"/>
      <c r="D375" s="928"/>
      <c r="E375" s="759"/>
      <c r="F375" s="759"/>
      <c r="G375" s="929"/>
      <c r="H375" s="929"/>
      <c r="I375" s="930"/>
      <c r="J375" s="759"/>
      <c r="K375" s="759"/>
      <c r="L375" s="760"/>
      <c r="M375" s="760"/>
      <c r="N375" s="760"/>
      <c r="O375" s="759"/>
      <c r="P375" s="760"/>
      <c r="Q375" s="760"/>
      <c r="R375" s="760"/>
      <c r="S375" s="760"/>
      <c r="T375" s="760"/>
      <c r="U375" s="760"/>
      <c r="V375" s="760"/>
      <c r="W375" s="760"/>
      <c r="X375" s="760"/>
      <c r="Y375" s="760"/>
      <c r="Z375" s="760"/>
      <c r="AA375" s="760"/>
      <c r="AB375" s="760"/>
      <c r="AC375" s="760"/>
    </row>
    <row r="376" ht="15.75" customHeight="1">
      <c r="A376" s="759"/>
      <c r="B376" s="927"/>
      <c r="C376" s="760"/>
      <c r="D376" s="928"/>
      <c r="E376" s="759"/>
      <c r="F376" s="759"/>
      <c r="G376" s="929"/>
      <c r="H376" s="929"/>
      <c r="I376" s="930"/>
      <c r="J376" s="759"/>
      <c r="K376" s="759"/>
      <c r="L376" s="760"/>
      <c r="M376" s="760"/>
      <c r="N376" s="760"/>
      <c r="O376" s="759"/>
      <c r="P376" s="760"/>
      <c r="Q376" s="760"/>
      <c r="R376" s="760"/>
      <c r="S376" s="760"/>
      <c r="T376" s="760"/>
      <c r="U376" s="760"/>
      <c r="V376" s="760"/>
      <c r="W376" s="760"/>
      <c r="X376" s="760"/>
      <c r="Y376" s="760"/>
      <c r="Z376" s="760"/>
      <c r="AA376" s="760"/>
      <c r="AB376" s="760"/>
      <c r="AC376" s="760"/>
    </row>
    <row r="377" ht="15.75" customHeight="1">
      <c r="A377" s="759"/>
      <c r="B377" s="927"/>
      <c r="C377" s="760"/>
      <c r="D377" s="928"/>
      <c r="E377" s="759"/>
      <c r="F377" s="759"/>
      <c r="G377" s="929"/>
      <c r="H377" s="929"/>
      <c r="I377" s="930"/>
      <c r="J377" s="759"/>
      <c r="K377" s="759"/>
      <c r="L377" s="760"/>
      <c r="M377" s="760"/>
      <c r="N377" s="760"/>
      <c r="O377" s="759"/>
      <c r="P377" s="760"/>
      <c r="Q377" s="760"/>
      <c r="R377" s="760"/>
      <c r="S377" s="760"/>
      <c r="T377" s="760"/>
      <c r="U377" s="760"/>
      <c r="V377" s="760"/>
      <c r="W377" s="760"/>
      <c r="X377" s="760"/>
      <c r="Y377" s="760"/>
      <c r="Z377" s="760"/>
      <c r="AA377" s="760"/>
      <c r="AB377" s="760"/>
      <c r="AC377" s="760"/>
    </row>
    <row r="378" ht="15.75" customHeight="1">
      <c r="A378" s="759"/>
      <c r="B378" s="927"/>
      <c r="C378" s="760"/>
      <c r="D378" s="928"/>
      <c r="E378" s="759"/>
      <c r="F378" s="759"/>
      <c r="G378" s="929"/>
      <c r="H378" s="929"/>
      <c r="I378" s="930"/>
      <c r="J378" s="759"/>
      <c r="K378" s="759"/>
      <c r="L378" s="760"/>
      <c r="M378" s="760"/>
      <c r="N378" s="760"/>
      <c r="O378" s="759"/>
      <c r="P378" s="760"/>
      <c r="Q378" s="760"/>
      <c r="R378" s="760"/>
      <c r="S378" s="760"/>
      <c r="T378" s="760"/>
      <c r="U378" s="760"/>
      <c r="V378" s="760"/>
      <c r="W378" s="760"/>
      <c r="X378" s="760"/>
      <c r="Y378" s="760"/>
      <c r="Z378" s="760"/>
      <c r="AA378" s="760"/>
      <c r="AB378" s="760"/>
      <c r="AC378" s="760"/>
    </row>
    <row r="379" ht="15.75" customHeight="1">
      <c r="A379" s="759"/>
      <c r="B379" s="927"/>
      <c r="C379" s="760"/>
      <c r="D379" s="928"/>
      <c r="E379" s="759"/>
      <c r="F379" s="759"/>
      <c r="G379" s="929"/>
      <c r="H379" s="929"/>
      <c r="I379" s="930"/>
      <c r="J379" s="759"/>
      <c r="K379" s="759"/>
      <c r="L379" s="760"/>
      <c r="M379" s="760"/>
      <c r="N379" s="760"/>
      <c r="O379" s="759"/>
      <c r="P379" s="760"/>
      <c r="Q379" s="760"/>
      <c r="R379" s="760"/>
      <c r="S379" s="760"/>
      <c r="T379" s="760"/>
      <c r="U379" s="760"/>
      <c r="V379" s="760"/>
      <c r="W379" s="760"/>
      <c r="X379" s="760"/>
      <c r="Y379" s="760"/>
      <c r="Z379" s="760"/>
      <c r="AA379" s="760"/>
      <c r="AB379" s="760"/>
      <c r="AC379" s="760"/>
    </row>
    <row r="380" ht="15.75" customHeight="1">
      <c r="A380" s="759"/>
      <c r="B380" s="927"/>
      <c r="C380" s="760"/>
      <c r="D380" s="928"/>
      <c r="E380" s="759"/>
      <c r="F380" s="759"/>
      <c r="G380" s="929"/>
      <c r="H380" s="929"/>
      <c r="I380" s="930"/>
      <c r="J380" s="759"/>
      <c r="K380" s="759"/>
      <c r="L380" s="760"/>
      <c r="M380" s="760"/>
      <c r="N380" s="760"/>
      <c r="O380" s="759"/>
      <c r="P380" s="760"/>
      <c r="Q380" s="760"/>
      <c r="R380" s="760"/>
      <c r="S380" s="760"/>
      <c r="T380" s="760"/>
      <c r="U380" s="760"/>
      <c r="V380" s="760"/>
      <c r="W380" s="760"/>
      <c r="X380" s="760"/>
      <c r="Y380" s="760"/>
      <c r="Z380" s="760"/>
      <c r="AA380" s="760"/>
      <c r="AB380" s="760"/>
      <c r="AC380" s="760"/>
    </row>
    <row r="381" ht="15.75" customHeight="1">
      <c r="A381" s="759"/>
      <c r="B381" s="927"/>
      <c r="C381" s="760"/>
      <c r="D381" s="928"/>
      <c r="E381" s="759"/>
      <c r="F381" s="759"/>
      <c r="G381" s="929"/>
      <c r="H381" s="929"/>
      <c r="I381" s="930"/>
      <c r="J381" s="759"/>
      <c r="K381" s="759"/>
      <c r="L381" s="760"/>
      <c r="M381" s="760"/>
      <c r="N381" s="760"/>
      <c r="O381" s="759"/>
      <c r="P381" s="760"/>
      <c r="Q381" s="760"/>
      <c r="R381" s="760"/>
      <c r="S381" s="760"/>
      <c r="T381" s="760"/>
      <c r="U381" s="760"/>
      <c r="V381" s="760"/>
      <c r="W381" s="760"/>
      <c r="X381" s="760"/>
      <c r="Y381" s="760"/>
      <c r="Z381" s="760"/>
      <c r="AA381" s="760"/>
      <c r="AB381" s="760"/>
      <c r="AC381" s="760"/>
    </row>
    <row r="382" ht="15.75" customHeight="1">
      <c r="A382" s="759"/>
      <c r="B382" s="927"/>
      <c r="C382" s="760"/>
      <c r="D382" s="928"/>
      <c r="E382" s="759"/>
      <c r="F382" s="759"/>
      <c r="G382" s="929"/>
      <c r="H382" s="929"/>
      <c r="I382" s="930"/>
      <c r="J382" s="759"/>
      <c r="K382" s="759"/>
      <c r="L382" s="760"/>
      <c r="M382" s="760"/>
      <c r="N382" s="760"/>
      <c r="O382" s="759"/>
      <c r="P382" s="760"/>
      <c r="Q382" s="760"/>
      <c r="R382" s="760"/>
      <c r="S382" s="760"/>
      <c r="T382" s="760"/>
      <c r="U382" s="760"/>
      <c r="V382" s="760"/>
      <c r="W382" s="760"/>
      <c r="X382" s="760"/>
      <c r="Y382" s="760"/>
      <c r="Z382" s="760"/>
      <c r="AA382" s="760"/>
      <c r="AB382" s="760"/>
      <c r="AC382" s="760"/>
    </row>
    <row r="383" ht="15.75" customHeight="1">
      <c r="A383" s="759"/>
      <c r="B383" s="927"/>
      <c r="C383" s="760"/>
      <c r="D383" s="928"/>
      <c r="E383" s="759"/>
      <c r="F383" s="759"/>
      <c r="G383" s="929"/>
      <c r="H383" s="929"/>
      <c r="I383" s="930"/>
      <c r="J383" s="759"/>
      <c r="K383" s="759"/>
      <c r="L383" s="760"/>
      <c r="M383" s="760"/>
      <c r="N383" s="760"/>
      <c r="O383" s="759"/>
      <c r="P383" s="760"/>
      <c r="Q383" s="760"/>
      <c r="R383" s="760"/>
      <c r="S383" s="760"/>
      <c r="T383" s="760"/>
      <c r="U383" s="760"/>
      <c r="V383" s="760"/>
      <c r="W383" s="760"/>
      <c r="X383" s="760"/>
      <c r="Y383" s="760"/>
      <c r="Z383" s="760"/>
      <c r="AA383" s="760"/>
      <c r="AB383" s="760"/>
      <c r="AC383" s="760"/>
    </row>
    <row r="384" ht="15.75" customHeight="1">
      <c r="A384" s="759"/>
      <c r="B384" s="927"/>
      <c r="C384" s="760"/>
      <c r="D384" s="928"/>
      <c r="E384" s="759"/>
      <c r="F384" s="759"/>
      <c r="G384" s="929"/>
      <c r="H384" s="929"/>
      <c r="I384" s="930"/>
      <c r="J384" s="759"/>
      <c r="K384" s="759"/>
      <c r="L384" s="760"/>
      <c r="M384" s="760"/>
      <c r="N384" s="760"/>
      <c r="O384" s="759"/>
      <c r="P384" s="760"/>
      <c r="Q384" s="760"/>
      <c r="R384" s="760"/>
      <c r="S384" s="760"/>
      <c r="T384" s="760"/>
      <c r="U384" s="760"/>
      <c r="V384" s="760"/>
      <c r="W384" s="760"/>
      <c r="X384" s="760"/>
      <c r="Y384" s="760"/>
      <c r="Z384" s="760"/>
      <c r="AA384" s="760"/>
      <c r="AB384" s="760"/>
      <c r="AC384" s="760"/>
    </row>
    <row r="385" ht="15.75" customHeight="1">
      <c r="A385" s="759"/>
      <c r="B385" s="927"/>
      <c r="C385" s="760"/>
      <c r="D385" s="928"/>
      <c r="E385" s="759"/>
      <c r="F385" s="759"/>
      <c r="G385" s="929"/>
      <c r="H385" s="929"/>
      <c r="I385" s="930"/>
      <c r="J385" s="759"/>
      <c r="K385" s="759"/>
      <c r="L385" s="760"/>
      <c r="M385" s="760"/>
      <c r="N385" s="760"/>
      <c r="O385" s="759"/>
      <c r="P385" s="760"/>
      <c r="Q385" s="760"/>
      <c r="R385" s="760"/>
      <c r="S385" s="760"/>
      <c r="T385" s="760"/>
      <c r="U385" s="760"/>
      <c r="V385" s="760"/>
      <c r="W385" s="760"/>
      <c r="X385" s="760"/>
      <c r="Y385" s="760"/>
      <c r="Z385" s="760"/>
      <c r="AA385" s="760"/>
      <c r="AB385" s="760"/>
      <c r="AC385" s="760"/>
    </row>
    <row r="386" ht="15.75" customHeight="1">
      <c r="A386" s="759"/>
      <c r="B386" s="927"/>
      <c r="C386" s="760"/>
      <c r="D386" s="928"/>
      <c r="E386" s="759"/>
      <c r="F386" s="759"/>
      <c r="G386" s="929"/>
      <c r="H386" s="929"/>
      <c r="I386" s="930"/>
      <c r="J386" s="759"/>
      <c r="K386" s="759"/>
      <c r="L386" s="760"/>
      <c r="M386" s="760"/>
      <c r="N386" s="760"/>
      <c r="O386" s="759"/>
      <c r="P386" s="760"/>
      <c r="Q386" s="760"/>
      <c r="R386" s="760"/>
      <c r="S386" s="760"/>
      <c r="T386" s="760"/>
      <c r="U386" s="760"/>
      <c r="V386" s="760"/>
      <c r="W386" s="760"/>
      <c r="X386" s="760"/>
      <c r="Y386" s="760"/>
      <c r="Z386" s="760"/>
      <c r="AA386" s="760"/>
      <c r="AB386" s="760"/>
      <c r="AC386" s="760"/>
    </row>
    <row r="387" ht="15.75" customHeight="1">
      <c r="A387" s="759"/>
      <c r="B387" s="927"/>
      <c r="C387" s="760"/>
      <c r="D387" s="928"/>
      <c r="E387" s="759"/>
      <c r="F387" s="759"/>
      <c r="G387" s="929"/>
      <c r="H387" s="929"/>
      <c r="I387" s="930"/>
      <c r="J387" s="759"/>
      <c r="K387" s="759"/>
      <c r="L387" s="760"/>
      <c r="M387" s="760"/>
      <c r="N387" s="760"/>
      <c r="O387" s="759"/>
      <c r="P387" s="760"/>
      <c r="Q387" s="760"/>
      <c r="R387" s="760"/>
      <c r="S387" s="760"/>
      <c r="T387" s="760"/>
      <c r="U387" s="760"/>
      <c r="V387" s="760"/>
      <c r="W387" s="760"/>
      <c r="X387" s="760"/>
      <c r="Y387" s="760"/>
      <c r="Z387" s="760"/>
      <c r="AA387" s="760"/>
      <c r="AB387" s="760"/>
      <c r="AC387" s="760"/>
    </row>
    <row r="388" ht="15.75" customHeight="1">
      <c r="A388" s="759"/>
      <c r="B388" s="927"/>
      <c r="C388" s="760"/>
      <c r="D388" s="928"/>
      <c r="E388" s="759"/>
      <c r="F388" s="759"/>
      <c r="G388" s="929"/>
      <c r="H388" s="929"/>
      <c r="I388" s="930"/>
      <c r="J388" s="759"/>
      <c r="K388" s="759"/>
      <c r="L388" s="760"/>
      <c r="M388" s="760"/>
      <c r="N388" s="760"/>
      <c r="O388" s="759"/>
      <c r="P388" s="760"/>
      <c r="Q388" s="760"/>
      <c r="R388" s="760"/>
      <c r="S388" s="760"/>
      <c r="T388" s="760"/>
      <c r="U388" s="760"/>
      <c r="V388" s="760"/>
      <c r="W388" s="760"/>
      <c r="X388" s="760"/>
      <c r="Y388" s="760"/>
      <c r="Z388" s="760"/>
      <c r="AA388" s="760"/>
      <c r="AB388" s="760"/>
      <c r="AC388" s="760"/>
    </row>
    <row r="389" ht="15.75" customHeight="1">
      <c r="A389" s="759"/>
      <c r="B389" s="927"/>
      <c r="C389" s="760"/>
      <c r="D389" s="928"/>
      <c r="E389" s="759"/>
      <c r="F389" s="759"/>
      <c r="G389" s="929"/>
      <c r="H389" s="929"/>
      <c r="I389" s="930"/>
      <c r="J389" s="759"/>
      <c r="K389" s="759"/>
      <c r="L389" s="760"/>
      <c r="M389" s="760"/>
      <c r="N389" s="760"/>
      <c r="O389" s="759"/>
      <c r="P389" s="760"/>
      <c r="Q389" s="760"/>
      <c r="R389" s="760"/>
      <c r="S389" s="760"/>
      <c r="T389" s="760"/>
      <c r="U389" s="760"/>
      <c r="V389" s="760"/>
      <c r="W389" s="760"/>
      <c r="X389" s="760"/>
      <c r="Y389" s="760"/>
      <c r="Z389" s="760"/>
      <c r="AA389" s="760"/>
      <c r="AB389" s="760"/>
      <c r="AC389" s="760"/>
    </row>
    <row r="390" ht="15.75" customHeight="1">
      <c r="A390" s="759"/>
      <c r="B390" s="927"/>
      <c r="C390" s="760"/>
      <c r="D390" s="928"/>
      <c r="E390" s="759"/>
      <c r="F390" s="759"/>
      <c r="G390" s="929"/>
      <c r="H390" s="929"/>
      <c r="I390" s="930"/>
      <c r="J390" s="759"/>
      <c r="K390" s="759"/>
      <c r="L390" s="760"/>
      <c r="M390" s="760"/>
      <c r="N390" s="760"/>
      <c r="O390" s="759"/>
      <c r="P390" s="760"/>
      <c r="Q390" s="760"/>
      <c r="R390" s="760"/>
      <c r="S390" s="760"/>
      <c r="T390" s="760"/>
      <c r="U390" s="760"/>
      <c r="V390" s="760"/>
      <c r="W390" s="760"/>
      <c r="X390" s="760"/>
      <c r="Y390" s="760"/>
      <c r="Z390" s="760"/>
      <c r="AA390" s="760"/>
      <c r="AB390" s="760"/>
      <c r="AC390" s="760"/>
    </row>
    <row r="391" ht="15.75" customHeight="1">
      <c r="A391" s="759"/>
      <c r="B391" s="927"/>
      <c r="C391" s="760"/>
      <c r="D391" s="928"/>
      <c r="E391" s="759"/>
      <c r="F391" s="759"/>
      <c r="G391" s="929"/>
      <c r="H391" s="929"/>
      <c r="I391" s="930"/>
      <c r="J391" s="759"/>
      <c r="K391" s="759"/>
      <c r="L391" s="760"/>
      <c r="M391" s="760"/>
      <c r="N391" s="760"/>
      <c r="O391" s="759"/>
      <c r="P391" s="760"/>
      <c r="Q391" s="760"/>
      <c r="R391" s="760"/>
      <c r="S391" s="760"/>
      <c r="T391" s="760"/>
      <c r="U391" s="760"/>
      <c r="V391" s="760"/>
      <c r="W391" s="760"/>
      <c r="X391" s="760"/>
      <c r="Y391" s="760"/>
      <c r="Z391" s="760"/>
      <c r="AA391" s="760"/>
      <c r="AB391" s="760"/>
      <c r="AC391" s="760"/>
    </row>
    <row r="392" ht="15.75" customHeight="1">
      <c r="A392" s="759"/>
      <c r="B392" s="927"/>
      <c r="C392" s="760"/>
      <c r="D392" s="928"/>
      <c r="E392" s="759"/>
      <c r="F392" s="759"/>
      <c r="G392" s="929"/>
      <c r="H392" s="929"/>
      <c r="I392" s="930"/>
      <c r="J392" s="759"/>
      <c r="K392" s="759"/>
      <c r="L392" s="760"/>
      <c r="M392" s="760"/>
      <c r="N392" s="760"/>
      <c r="O392" s="759"/>
      <c r="P392" s="760"/>
      <c r="Q392" s="760"/>
      <c r="R392" s="760"/>
      <c r="S392" s="760"/>
      <c r="T392" s="760"/>
      <c r="U392" s="760"/>
      <c r="V392" s="760"/>
      <c r="W392" s="760"/>
      <c r="X392" s="760"/>
      <c r="Y392" s="760"/>
      <c r="Z392" s="760"/>
      <c r="AA392" s="760"/>
      <c r="AB392" s="760"/>
      <c r="AC392" s="760"/>
    </row>
    <row r="393" ht="15.75" customHeight="1">
      <c r="A393" s="759"/>
      <c r="B393" s="927"/>
      <c r="C393" s="760"/>
      <c r="D393" s="928"/>
      <c r="E393" s="759"/>
      <c r="F393" s="759"/>
      <c r="G393" s="929"/>
      <c r="H393" s="929"/>
      <c r="I393" s="930"/>
      <c r="J393" s="759"/>
      <c r="K393" s="759"/>
      <c r="L393" s="760"/>
      <c r="M393" s="760"/>
      <c r="N393" s="760"/>
      <c r="O393" s="759"/>
      <c r="P393" s="760"/>
      <c r="Q393" s="760"/>
      <c r="R393" s="760"/>
      <c r="S393" s="760"/>
      <c r="T393" s="760"/>
      <c r="U393" s="760"/>
      <c r="V393" s="760"/>
      <c r="W393" s="760"/>
      <c r="X393" s="760"/>
      <c r="Y393" s="760"/>
      <c r="Z393" s="760"/>
      <c r="AA393" s="760"/>
      <c r="AB393" s="760"/>
      <c r="AC393" s="760"/>
    </row>
    <row r="394" ht="15.75" customHeight="1">
      <c r="A394" s="759"/>
      <c r="B394" s="927"/>
      <c r="C394" s="760"/>
      <c r="D394" s="928"/>
      <c r="E394" s="759"/>
      <c r="F394" s="759"/>
      <c r="G394" s="929"/>
      <c r="H394" s="929"/>
      <c r="I394" s="930"/>
      <c r="J394" s="759"/>
      <c r="K394" s="759"/>
      <c r="L394" s="760"/>
      <c r="M394" s="760"/>
      <c r="N394" s="760"/>
      <c r="O394" s="759"/>
      <c r="P394" s="760"/>
      <c r="Q394" s="760"/>
      <c r="R394" s="760"/>
      <c r="S394" s="760"/>
      <c r="T394" s="760"/>
      <c r="U394" s="760"/>
      <c r="V394" s="760"/>
      <c r="W394" s="760"/>
      <c r="X394" s="760"/>
      <c r="Y394" s="760"/>
      <c r="Z394" s="760"/>
      <c r="AA394" s="760"/>
      <c r="AB394" s="760"/>
      <c r="AC394" s="760"/>
    </row>
    <row r="395" ht="15.75" customHeight="1">
      <c r="A395" s="759"/>
      <c r="B395" s="927"/>
      <c r="C395" s="760"/>
      <c r="D395" s="928"/>
      <c r="E395" s="759"/>
      <c r="F395" s="759"/>
      <c r="G395" s="929"/>
      <c r="H395" s="929"/>
      <c r="I395" s="930"/>
      <c r="J395" s="759"/>
      <c r="K395" s="759"/>
      <c r="L395" s="760"/>
      <c r="M395" s="760"/>
      <c r="N395" s="760"/>
      <c r="O395" s="759"/>
      <c r="P395" s="760"/>
      <c r="Q395" s="760"/>
      <c r="R395" s="760"/>
      <c r="S395" s="760"/>
      <c r="T395" s="760"/>
      <c r="U395" s="760"/>
      <c r="V395" s="760"/>
      <c r="W395" s="760"/>
      <c r="X395" s="760"/>
      <c r="Y395" s="760"/>
      <c r="Z395" s="760"/>
      <c r="AA395" s="760"/>
      <c r="AB395" s="760"/>
      <c r="AC395" s="760"/>
    </row>
    <row r="396" ht="15.75" customHeight="1">
      <c r="A396" s="759"/>
      <c r="B396" s="927"/>
      <c r="C396" s="760"/>
      <c r="D396" s="928"/>
      <c r="E396" s="759"/>
      <c r="F396" s="759"/>
      <c r="G396" s="929"/>
      <c r="H396" s="929"/>
      <c r="I396" s="930"/>
      <c r="J396" s="759"/>
      <c r="K396" s="759"/>
      <c r="L396" s="760"/>
      <c r="M396" s="760"/>
      <c r="N396" s="760"/>
      <c r="O396" s="759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760"/>
      <c r="AB396" s="760"/>
      <c r="AC396" s="760"/>
    </row>
    <row r="397" ht="15.75" customHeight="1">
      <c r="A397" s="759"/>
      <c r="B397" s="927"/>
      <c r="C397" s="760"/>
      <c r="D397" s="928"/>
      <c r="E397" s="759"/>
      <c r="F397" s="759"/>
      <c r="G397" s="929"/>
      <c r="H397" s="929"/>
      <c r="I397" s="930"/>
      <c r="J397" s="759"/>
      <c r="K397" s="759"/>
      <c r="L397" s="760"/>
      <c r="M397" s="760"/>
      <c r="N397" s="760"/>
      <c r="O397" s="759"/>
      <c r="P397" s="760"/>
      <c r="Q397" s="760"/>
      <c r="R397" s="760"/>
      <c r="S397" s="760"/>
      <c r="T397" s="760"/>
      <c r="U397" s="760"/>
      <c r="V397" s="760"/>
      <c r="W397" s="760"/>
      <c r="X397" s="760"/>
      <c r="Y397" s="760"/>
      <c r="Z397" s="760"/>
      <c r="AA397" s="760"/>
      <c r="AB397" s="760"/>
      <c r="AC397" s="760"/>
    </row>
    <row r="398" ht="15.75" customHeight="1">
      <c r="A398" s="759"/>
      <c r="B398" s="927"/>
      <c r="C398" s="760"/>
      <c r="D398" s="928"/>
      <c r="E398" s="759"/>
      <c r="F398" s="759"/>
      <c r="G398" s="929"/>
      <c r="H398" s="929"/>
      <c r="I398" s="930"/>
      <c r="J398" s="759"/>
      <c r="K398" s="759"/>
      <c r="L398" s="760"/>
      <c r="M398" s="760"/>
      <c r="N398" s="760"/>
      <c r="O398" s="759"/>
      <c r="P398" s="760"/>
      <c r="Q398" s="760"/>
      <c r="R398" s="760"/>
      <c r="S398" s="760"/>
      <c r="T398" s="760"/>
      <c r="U398" s="760"/>
      <c r="V398" s="760"/>
      <c r="W398" s="760"/>
      <c r="X398" s="760"/>
      <c r="Y398" s="760"/>
      <c r="Z398" s="760"/>
      <c r="AA398" s="760"/>
      <c r="AB398" s="760"/>
      <c r="AC398" s="760"/>
    </row>
    <row r="399" ht="15.75" customHeight="1">
      <c r="A399" s="759"/>
      <c r="B399" s="927"/>
      <c r="C399" s="760"/>
      <c r="D399" s="928"/>
      <c r="E399" s="759"/>
      <c r="F399" s="759"/>
      <c r="G399" s="929"/>
      <c r="H399" s="929"/>
      <c r="I399" s="930"/>
      <c r="J399" s="759"/>
      <c r="K399" s="759"/>
      <c r="L399" s="760"/>
      <c r="M399" s="760"/>
      <c r="N399" s="760"/>
      <c r="O399" s="759"/>
      <c r="P399" s="760"/>
      <c r="Q399" s="760"/>
      <c r="R399" s="760"/>
      <c r="S399" s="760"/>
      <c r="T399" s="760"/>
      <c r="U399" s="760"/>
      <c r="V399" s="760"/>
      <c r="W399" s="760"/>
      <c r="X399" s="760"/>
      <c r="Y399" s="760"/>
      <c r="Z399" s="760"/>
      <c r="AA399" s="760"/>
      <c r="AB399" s="760"/>
      <c r="AC399" s="760"/>
    </row>
    <row r="400" ht="15.75" customHeight="1">
      <c r="A400" s="759"/>
      <c r="B400" s="927"/>
      <c r="C400" s="760"/>
      <c r="D400" s="928"/>
      <c r="E400" s="759"/>
      <c r="F400" s="759"/>
      <c r="G400" s="929"/>
      <c r="H400" s="929"/>
      <c r="I400" s="930"/>
      <c r="J400" s="759"/>
      <c r="K400" s="759"/>
      <c r="L400" s="760"/>
      <c r="M400" s="760"/>
      <c r="N400" s="760"/>
      <c r="O400" s="759"/>
      <c r="P400" s="760"/>
      <c r="Q400" s="760"/>
      <c r="R400" s="760"/>
      <c r="S400" s="760"/>
      <c r="T400" s="760"/>
      <c r="U400" s="760"/>
      <c r="V400" s="760"/>
      <c r="W400" s="760"/>
      <c r="X400" s="760"/>
      <c r="Y400" s="760"/>
      <c r="Z400" s="760"/>
      <c r="AA400" s="760"/>
      <c r="AB400" s="760"/>
      <c r="AC400" s="760"/>
    </row>
    <row r="401" ht="15.75" customHeight="1">
      <c r="A401" s="759"/>
      <c r="B401" s="927"/>
      <c r="C401" s="760"/>
      <c r="D401" s="928"/>
      <c r="E401" s="759"/>
      <c r="F401" s="759"/>
      <c r="G401" s="929"/>
      <c r="H401" s="929"/>
      <c r="I401" s="930"/>
      <c r="J401" s="759"/>
      <c r="K401" s="759"/>
      <c r="L401" s="760"/>
      <c r="M401" s="760"/>
      <c r="N401" s="760"/>
      <c r="O401" s="759"/>
      <c r="P401" s="760"/>
      <c r="Q401" s="760"/>
      <c r="R401" s="760"/>
      <c r="S401" s="760"/>
      <c r="T401" s="760"/>
      <c r="U401" s="760"/>
      <c r="V401" s="760"/>
      <c r="W401" s="760"/>
      <c r="X401" s="760"/>
      <c r="Y401" s="760"/>
      <c r="Z401" s="760"/>
      <c r="AA401" s="760"/>
      <c r="AB401" s="760"/>
      <c r="AC401" s="760"/>
    </row>
    <row r="402" ht="15.75" customHeight="1">
      <c r="A402" s="759"/>
      <c r="B402" s="927"/>
      <c r="C402" s="760"/>
      <c r="D402" s="928"/>
      <c r="E402" s="759"/>
      <c r="F402" s="759"/>
      <c r="G402" s="929"/>
      <c r="H402" s="929"/>
      <c r="I402" s="930"/>
      <c r="J402" s="759"/>
      <c r="K402" s="759"/>
      <c r="L402" s="760"/>
      <c r="M402" s="760"/>
      <c r="N402" s="760"/>
      <c r="O402" s="759"/>
      <c r="P402" s="760"/>
      <c r="Q402" s="760"/>
      <c r="R402" s="760"/>
      <c r="S402" s="760"/>
      <c r="T402" s="760"/>
      <c r="U402" s="760"/>
      <c r="V402" s="760"/>
      <c r="W402" s="760"/>
      <c r="X402" s="760"/>
      <c r="Y402" s="760"/>
      <c r="Z402" s="760"/>
      <c r="AA402" s="760"/>
      <c r="AB402" s="760"/>
      <c r="AC402" s="760"/>
    </row>
    <row r="403" ht="15.75" customHeight="1">
      <c r="A403" s="759"/>
      <c r="B403" s="927"/>
      <c r="C403" s="760"/>
      <c r="D403" s="928"/>
      <c r="E403" s="759"/>
      <c r="F403" s="759"/>
      <c r="G403" s="929"/>
      <c r="H403" s="929"/>
      <c r="I403" s="930"/>
      <c r="J403" s="759"/>
      <c r="K403" s="759"/>
      <c r="L403" s="760"/>
      <c r="M403" s="760"/>
      <c r="N403" s="760"/>
      <c r="O403" s="759"/>
      <c r="P403" s="760"/>
      <c r="Q403" s="760"/>
      <c r="R403" s="760"/>
      <c r="S403" s="760"/>
      <c r="T403" s="760"/>
      <c r="U403" s="760"/>
      <c r="V403" s="760"/>
      <c r="W403" s="760"/>
      <c r="X403" s="760"/>
      <c r="Y403" s="760"/>
      <c r="Z403" s="760"/>
      <c r="AA403" s="760"/>
      <c r="AB403" s="760"/>
      <c r="AC403" s="760"/>
    </row>
    <row r="404" ht="15.75" customHeight="1">
      <c r="A404" s="759"/>
      <c r="B404" s="927"/>
      <c r="C404" s="760"/>
      <c r="D404" s="928"/>
      <c r="E404" s="759"/>
      <c r="F404" s="759"/>
      <c r="G404" s="929"/>
      <c r="H404" s="929"/>
      <c r="I404" s="930"/>
      <c r="J404" s="759"/>
      <c r="K404" s="759"/>
      <c r="L404" s="760"/>
      <c r="M404" s="760"/>
      <c r="N404" s="760"/>
      <c r="O404" s="759"/>
      <c r="P404" s="760"/>
      <c r="Q404" s="760"/>
      <c r="R404" s="760"/>
      <c r="S404" s="760"/>
      <c r="T404" s="760"/>
      <c r="U404" s="760"/>
      <c r="V404" s="760"/>
      <c r="W404" s="760"/>
      <c r="X404" s="760"/>
      <c r="Y404" s="760"/>
      <c r="Z404" s="760"/>
      <c r="AA404" s="760"/>
      <c r="AB404" s="760"/>
      <c r="AC404" s="760"/>
    </row>
    <row r="405" ht="15.75" customHeight="1">
      <c r="A405" s="759"/>
      <c r="B405" s="927"/>
      <c r="C405" s="760"/>
      <c r="D405" s="928"/>
      <c r="E405" s="759"/>
      <c r="F405" s="759"/>
      <c r="G405" s="929"/>
      <c r="H405" s="929"/>
      <c r="I405" s="930"/>
      <c r="J405" s="759"/>
      <c r="K405" s="759"/>
      <c r="L405" s="760"/>
      <c r="M405" s="760"/>
      <c r="N405" s="760"/>
      <c r="O405" s="759"/>
      <c r="P405" s="760"/>
      <c r="Q405" s="760"/>
      <c r="R405" s="760"/>
      <c r="S405" s="760"/>
      <c r="T405" s="760"/>
      <c r="U405" s="760"/>
      <c r="V405" s="760"/>
      <c r="W405" s="760"/>
      <c r="X405" s="760"/>
      <c r="Y405" s="760"/>
      <c r="Z405" s="760"/>
      <c r="AA405" s="760"/>
      <c r="AB405" s="760"/>
      <c r="AC405" s="760"/>
    </row>
    <row r="406" ht="15.75" customHeight="1">
      <c r="A406" s="759"/>
      <c r="B406" s="927"/>
      <c r="C406" s="760"/>
      <c r="D406" s="928"/>
      <c r="E406" s="759"/>
      <c r="F406" s="759"/>
      <c r="G406" s="929"/>
      <c r="H406" s="929"/>
      <c r="I406" s="930"/>
      <c r="J406" s="759"/>
      <c r="K406" s="759"/>
      <c r="L406" s="760"/>
      <c r="M406" s="760"/>
      <c r="N406" s="760"/>
      <c r="O406" s="759"/>
      <c r="P406" s="760"/>
      <c r="Q406" s="760"/>
      <c r="R406" s="760"/>
      <c r="S406" s="760"/>
      <c r="T406" s="760"/>
      <c r="U406" s="760"/>
      <c r="V406" s="760"/>
      <c r="W406" s="760"/>
      <c r="X406" s="760"/>
      <c r="Y406" s="760"/>
      <c r="Z406" s="760"/>
      <c r="AA406" s="760"/>
      <c r="AB406" s="760"/>
      <c r="AC406" s="760"/>
    </row>
    <row r="407" ht="15.75" customHeight="1">
      <c r="A407" s="759"/>
      <c r="B407" s="927"/>
      <c r="C407" s="760"/>
      <c r="D407" s="928"/>
      <c r="E407" s="759"/>
      <c r="F407" s="759"/>
      <c r="G407" s="929"/>
      <c r="H407" s="929"/>
      <c r="I407" s="930"/>
      <c r="J407" s="759"/>
      <c r="K407" s="759"/>
      <c r="L407" s="760"/>
      <c r="M407" s="760"/>
      <c r="N407" s="760"/>
      <c r="O407" s="759"/>
      <c r="P407" s="760"/>
      <c r="Q407" s="760"/>
      <c r="R407" s="760"/>
      <c r="S407" s="760"/>
      <c r="T407" s="760"/>
      <c r="U407" s="760"/>
      <c r="V407" s="760"/>
      <c r="W407" s="760"/>
      <c r="X407" s="760"/>
      <c r="Y407" s="760"/>
      <c r="Z407" s="760"/>
      <c r="AA407" s="760"/>
      <c r="AB407" s="760"/>
      <c r="AC407" s="760"/>
    </row>
    <row r="408" ht="15.75" customHeight="1">
      <c r="A408" s="759"/>
      <c r="B408" s="927"/>
      <c r="C408" s="760"/>
      <c r="D408" s="928"/>
      <c r="E408" s="759"/>
      <c r="F408" s="759"/>
      <c r="G408" s="929"/>
      <c r="H408" s="929"/>
      <c r="I408" s="930"/>
      <c r="J408" s="759"/>
      <c r="K408" s="759"/>
      <c r="L408" s="760"/>
      <c r="M408" s="760"/>
      <c r="N408" s="760"/>
      <c r="O408" s="759"/>
      <c r="P408" s="760"/>
      <c r="Q408" s="760"/>
      <c r="R408" s="760"/>
      <c r="S408" s="760"/>
      <c r="T408" s="760"/>
      <c r="U408" s="760"/>
      <c r="V408" s="760"/>
      <c r="W408" s="760"/>
      <c r="X408" s="760"/>
      <c r="Y408" s="760"/>
      <c r="Z408" s="760"/>
      <c r="AA408" s="760"/>
      <c r="AB408" s="760"/>
      <c r="AC408" s="760"/>
    </row>
    <row r="409" ht="15.75" customHeight="1">
      <c r="A409" s="759"/>
      <c r="B409" s="927"/>
      <c r="C409" s="760"/>
      <c r="D409" s="928"/>
      <c r="E409" s="759"/>
      <c r="F409" s="759"/>
      <c r="G409" s="929"/>
      <c r="H409" s="929"/>
      <c r="I409" s="930"/>
      <c r="J409" s="759"/>
      <c r="K409" s="759"/>
      <c r="L409" s="760"/>
      <c r="M409" s="760"/>
      <c r="N409" s="760"/>
      <c r="O409" s="759"/>
      <c r="P409" s="760"/>
      <c r="Q409" s="760"/>
      <c r="R409" s="760"/>
      <c r="S409" s="760"/>
      <c r="T409" s="760"/>
      <c r="U409" s="760"/>
      <c r="V409" s="760"/>
      <c r="W409" s="760"/>
      <c r="X409" s="760"/>
      <c r="Y409" s="760"/>
      <c r="Z409" s="760"/>
      <c r="AA409" s="760"/>
      <c r="AB409" s="760"/>
      <c r="AC409" s="760"/>
    </row>
    <row r="410" ht="15.75" customHeight="1">
      <c r="A410" s="759"/>
      <c r="B410" s="927"/>
      <c r="C410" s="760"/>
      <c r="D410" s="928"/>
      <c r="E410" s="759"/>
      <c r="F410" s="759"/>
      <c r="G410" s="929"/>
      <c r="H410" s="929"/>
      <c r="I410" s="930"/>
      <c r="J410" s="759"/>
      <c r="K410" s="759"/>
      <c r="L410" s="760"/>
      <c r="M410" s="760"/>
      <c r="N410" s="760"/>
      <c r="O410" s="759"/>
      <c r="P410" s="760"/>
      <c r="Q410" s="760"/>
      <c r="R410" s="760"/>
      <c r="S410" s="760"/>
      <c r="T410" s="760"/>
      <c r="U410" s="760"/>
      <c r="V410" s="760"/>
      <c r="W410" s="760"/>
      <c r="X410" s="760"/>
      <c r="Y410" s="760"/>
      <c r="Z410" s="760"/>
      <c r="AA410" s="760"/>
      <c r="AB410" s="760"/>
      <c r="AC410" s="760"/>
    </row>
    <row r="411" ht="15.75" customHeight="1">
      <c r="A411" s="759"/>
      <c r="B411" s="927"/>
      <c r="C411" s="760"/>
      <c r="D411" s="928"/>
      <c r="E411" s="759"/>
      <c r="F411" s="759"/>
      <c r="G411" s="929"/>
      <c r="H411" s="929"/>
      <c r="I411" s="930"/>
      <c r="J411" s="759"/>
      <c r="K411" s="759"/>
      <c r="L411" s="760"/>
      <c r="M411" s="760"/>
      <c r="N411" s="760"/>
      <c r="O411" s="759"/>
      <c r="P411" s="760"/>
      <c r="Q411" s="760"/>
      <c r="R411" s="760"/>
      <c r="S411" s="760"/>
      <c r="T411" s="760"/>
      <c r="U411" s="760"/>
      <c r="V411" s="760"/>
      <c r="W411" s="760"/>
      <c r="X411" s="760"/>
      <c r="Y411" s="760"/>
      <c r="Z411" s="760"/>
      <c r="AA411" s="760"/>
      <c r="AB411" s="760"/>
      <c r="AC411" s="760"/>
    </row>
    <row r="412" ht="15.75" customHeight="1">
      <c r="A412" s="759"/>
      <c r="B412" s="927"/>
      <c r="C412" s="760"/>
      <c r="D412" s="928"/>
      <c r="E412" s="759"/>
      <c r="F412" s="759"/>
      <c r="G412" s="929"/>
      <c r="H412" s="929"/>
      <c r="I412" s="930"/>
      <c r="J412" s="759"/>
      <c r="K412" s="759"/>
      <c r="L412" s="760"/>
      <c r="M412" s="760"/>
      <c r="N412" s="760"/>
      <c r="O412" s="759"/>
      <c r="P412" s="760"/>
      <c r="Q412" s="760"/>
      <c r="R412" s="760"/>
      <c r="S412" s="760"/>
      <c r="T412" s="760"/>
      <c r="U412" s="760"/>
      <c r="V412" s="760"/>
      <c r="W412" s="760"/>
      <c r="X412" s="760"/>
      <c r="Y412" s="760"/>
      <c r="Z412" s="760"/>
      <c r="AA412" s="760"/>
      <c r="AB412" s="760"/>
      <c r="AC412" s="760"/>
    </row>
    <row r="413" ht="15.75" customHeight="1">
      <c r="A413" s="759"/>
      <c r="B413" s="927"/>
      <c r="C413" s="760"/>
      <c r="D413" s="928"/>
      <c r="E413" s="759"/>
      <c r="F413" s="759"/>
      <c r="G413" s="929"/>
      <c r="H413" s="929"/>
      <c r="I413" s="930"/>
      <c r="J413" s="759"/>
      <c r="K413" s="759"/>
      <c r="L413" s="760"/>
      <c r="M413" s="760"/>
      <c r="N413" s="760"/>
      <c r="O413" s="759"/>
      <c r="P413" s="760"/>
      <c r="Q413" s="760"/>
      <c r="R413" s="760"/>
      <c r="S413" s="760"/>
      <c r="T413" s="760"/>
      <c r="U413" s="760"/>
      <c r="V413" s="760"/>
      <c r="W413" s="760"/>
      <c r="X413" s="760"/>
      <c r="Y413" s="760"/>
      <c r="Z413" s="760"/>
      <c r="AA413" s="760"/>
      <c r="AB413" s="760"/>
      <c r="AC413" s="760"/>
    </row>
    <row r="414" ht="15.75" customHeight="1">
      <c r="A414" s="759"/>
      <c r="B414" s="927"/>
      <c r="C414" s="760"/>
      <c r="D414" s="928"/>
      <c r="E414" s="759"/>
      <c r="F414" s="759"/>
      <c r="G414" s="929"/>
      <c r="H414" s="929"/>
      <c r="I414" s="930"/>
      <c r="J414" s="759"/>
      <c r="K414" s="759"/>
      <c r="L414" s="760"/>
      <c r="M414" s="760"/>
      <c r="N414" s="760"/>
      <c r="O414" s="759"/>
      <c r="P414" s="760"/>
      <c r="Q414" s="760"/>
      <c r="R414" s="760"/>
      <c r="S414" s="760"/>
      <c r="T414" s="760"/>
      <c r="U414" s="760"/>
      <c r="V414" s="760"/>
      <c r="W414" s="760"/>
      <c r="X414" s="760"/>
      <c r="Y414" s="760"/>
      <c r="Z414" s="760"/>
      <c r="AA414" s="760"/>
      <c r="AB414" s="760"/>
      <c r="AC414" s="760"/>
    </row>
    <row r="415" ht="15.75" customHeight="1">
      <c r="A415" s="759"/>
      <c r="B415" s="927"/>
      <c r="C415" s="760"/>
      <c r="D415" s="928"/>
      <c r="E415" s="759"/>
      <c r="F415" s="759"/>
      <c r="G415" s="929"/>
      <c r="H415" s="929"/>
      <c r="I415" s="930"/>
      <c r="J415" s="759"/>
      <c r="K415" s="759"/>
      <c r="L415" s="760"/>
      <c r="M415" s="760"/>
      <c r="N415" s="760"/>
      <c r="O415" s="759"/>
      <c r="P415" s="760"/>
      <c r="Q415" s="760"/>
      <c r="R415" s="760"/>
      <c r="S415" s="760"/>
      <c r="T415" s="760"/>
      <c r="U415" s="760"/>
      <c r="V415" s="760"/>
      <c r="W415" s="760"/>
      <c r="X415" s="760"/>
      <c r="Y415" s="760"/>
      <c r="Z415" s="760"/>
      <c r="AA415" s="760"/>
      <c r="AB415" s="760"/>
      <c r="AC415" s="760"/>
    </row>
    <row r="416" ht="15.75" customHeight="1">
      <c r="A416" s="759"/>
      <c r="B416" s="927"/>
      <c r="C416" s="760"/>
      <c r="D416" s="928"/>
      <c r="E416" s="759"/>
      <c r="F416" s="759"/>
      <c r="G416" s="929"/>
      <c r="H416" s="929"/>
      <c r="I416" s="930"/>
      <c r="J416" s="759"/>
      <c r="K416" s="759"/>
      <c r="L416" s="760"/>
      <c r="M416" s="760"/>
      <c r="N416" s="760"/>
      <c r="O416" s="759"/>
      <c r="P416" s="760"/>
      <c r="Q416" s="760"/>
      <c r="R416" s="760"/>
      <c r="S416" s="760"/>
      <c r="T416" s="760"/>
      <c r="U416" s="760"/>
      <c r="V416" s="760"/>
      <c r="W416" s="760"/>
      <c r="X416" s="760"/>
      <c r="Y416" s="760"/>
      <c r="Z416" s="760"/>
      <c r="AA416" s="760"/>
      <c r="AB416" s="760"/>
      <c r="AC416" s="760"/>
    </row>
    <row r="417" ht="15.75" customHeight="1">
      <c r="A417" s="759"/>
      <c r="B417" s="927"/>
      <c r="C417" s="760"/>
      <c r="D417" s="928"/>
      <c r="E417" s="759"/>
      <c r="F417" s="759"/>
      <c r="G417" s="929"/>
      <c r="H417" s="929"/>
      <c r="I417" s="930"/>
      <c r="J417" s="759"/>
      <c r="K417" s="759"/>
      <c r="L417" s="760"/>
      <c r="M417" s="760"/>
      <c r="N417" s="760"/>
      <c r="O417" s="759"/>
      <c r="P417" s="760"/>
      <c r="Q417" s="760"/>
      <c r="R417" s="760"/>
      <c r="S417" s="760"/>
      <c r="T417" s="760"/>
      <c r="U417" s="760"/>
      <c r="V417" s="760"/>
      <c r="W417" s="760"/>
      <c r="X417" s="760"/>
      <c r="Y417" s="760"/>
      <c r="Z417" s="760"/>
      <c r="AA417" s="760"/>
      <c r="AB417" s="760"/>
      <c r="AC417" s="760"/>
    </row>
    <row r="418" ht="15.75" customHeight="1">
      <c r="A418" s="759"/>
      <c r="B418" s="927"/>
      <c r="C418" s="760"/>
      <c r="D418" s="928"/>
      <c r="E418" s="759"/>
      <c r="F418" s="759"/>
      <c r="G418" s="929"/>
      <c r="H418" s="929"/>
      <c r="I418" s="930"/>
      <c r="J418" s="759"/>
      <c r="K418" s="759"/>
      <c r="L418" s="760"/>
      <c r="M418" s="760"/>
      <c r="N418" s="760"/>
      <c r="O418" s="759"/>
      <c r="P418" s="760"/>
      <c r="Q418" s="760"/>
      <c r="R418" s="760"/>
      <c r="S418" s="760"/>
      <c r="T418" s="760"/>
      <c r="U418" s="760"/>
      <c r="V418" s="760"/>
      <c r="W418" s="760"/>
      <c r="X418" s="760"/>
      <c r="Y418" s="760"/>
      <c r="Z418" s="760"/>
      <c r="AA418" s="760"/>
      <c r="AB418" s="760"/>
      <c r="AC418" s="760"/>
    </row>
    <row r="419" ht="15.75" customHeight="1">
      <c r="A419" s="759"/>
      <c r="B419" s="927"/>
      <c r="C419" s="760"/>
      <c r="D419" s="928"/>
      <c r="E419" s="759"/>
      <c r="F419" s="759"/>
      <c r="G419" s="929"/>
      <c r="H419" s="929"/>
      <c r="I419" s="930"/>
      <c r="J419" s="759"/>
      <c r="K419" s="759"/>
      <c r="L419" s="760"/>
      <c r="M419" s="760"/>
      <c r="N419" s="760"/>
      <c r="O419" s="759"/>
      <c r="P419" s="760"/>
      <c r="Q419" s="760"/>
      <c r="R419" s="760"/>
      <c r="S419" s="760"/>
      <c r="T419" s="760"/>
      <c r="U419" s="760"/>
      <c r="V419" s="760"/>
      <c r="W419" s="760"/>
      <c r="X419" s="760"/>
      <c r="Y419" s="760"/>
      <c r="Z419" s="760"/>
      <c r="AA419" s="760"/>
      <c r="AB419" s="760"/>
      <c r="AC419" s="760"/>
    </row>
    <row r="420" ht="15.75" customHeight="1">
      <c r="A420" s="759"/>
      <c r="B420" s="927"/>
      <c r="C420" s="760"/>
      <c r="D420" s="928"/>
      <c r="E420" s="759"/>
      <c r="F420" s="759"/>
      <c r="G420" s="929"/>
      <c r="H420" s="929"/>
      <c r="I420" s="930"/>
      <c r="J420" s="759"/>
      <c r="K420" s="759"/>
      <c r="L420" s="760"/>
      <c r="M420" s="760"/>
      <c r="N420" s="760"/>
      <c r="O420" s="759"/>
      <c r="P420" s="760"/>
      <c r="Q420" s="760"/>
      <c r="R420" s="760"/>
      <c r="S420" s="760"/>
      <c r="T420" s="760"/>
      <c r="U420" s="760"/>
      <c r="V420" s="760"/>
      <c r="W420" s="760"/>
      <c r="X420" s="760"/>
      <c r="Y420" s="760"/>
      <c r="Z420" s="760"/>
      <c r="AA420" s="760"/>
      <c r="AB420" s="760"/>
      <c r="AC420" s="760"/>
    </row>
    <row r="421" ht="15.75" customHeight="1">
      <c r="A421" s="759"/>
      <c r="B421" s="927"/>
      <c r="C421" s="760"/>
      <c r="D421" s="928"/>
      <c r="E421" s="759"/>
      <c r="F421" s="759"/>
      <c r="G421" s="929"/>
      <c r="H421" s="929"/>
      <c r="I421" s="930"/>
      <c r="J421" s="759"/>
      <c r="K421" s="759"/>
      <c r="L421" s="760"/>
      <c r="M421" s="760"/>
      <c r="N421" s="760"/>
      <c r="O421" s="759"/>
      <c r="P421" s="760"/>
      <c r="Q421" s="760"/>
      <c r="R421" s="760"/>
      <c r="S421" s="760"/>
      <c r="T421" s="760"/>
      <c r="U421" s="760"/>
      <c r="V421" s="760"/>
      <c r="W421" s="760"/>
      <c r="X421" s="760"/>
      <c r="Y421" s="760"/>
      <c r="Z421" s="760"/>
      <c r="AA421" s="760"/>
      <c r="AB421" s="760"/>
      <c r="AC421" s="760"/>
    </row>
    <row r="422" ht="15.75" customHeight="1">
      <c r="A422" s="759"/>
      <c r="B422" s="927"/>
      <c r="C422" s="760"/>
      <c r="D422" s="928"/>
      <c r="E422" s="759"/>
      <c r="F422" s="759"/>
      <c r="G422" s="929"/>
      <c r="H422" s="929"/>
      <c r="I422" s="930"/>
      <c r="J422" s="759"/>
      <c r="K422" s="759"/>
      <c r="L422" s="760"/>
      <c r="M422" s="760"/>
      <c r="N422" s="760"/>
      <c r="O422" s="759"/>
      <c r="P422" s="760"/>
      <c r="Q422" s="760"/>
      <c r="R422" s="760"/>
      <c r="S422" s="760"/>
      <c r="T422" s="760"/>
      <c r="U422" s="760"/>
      <c r="V422" s="760"/>
      <c r="W422" s="760"/>
      <c r="X422" s="760"/>
      <c r="Y422" s="760"/>
      <c r="Z422" s="760"/>
      <c r="AA422" s="760"/>
      <c r="AB422" s="760"/>
      <c r="AC422" s="760"/>
    </row>
    <row r="423" ht="15.75" customHeight="1">
      <c r="A423" s="759"/>
      <c r="B423" s="927"/>
      <c r="C423" s="760"/>
      <c r="D423" s="928"/>
      <c r="E423" s="759"/>
      <c r="F423" s="759"/>
      <c r="G423" s="929"/>
      <c r="H423" s="929"/>
      <c r="I423" s="930"/>
      <c r="J423" s="759"/>
      <c r="K423" s="759"/>
      <c r="L423" s="760"/>
      <c r="M423" s="760"/>
      <c r="N423" s="760"/>
      <c r="O423" s="759"/>
      <c r="P423" s="760"/>
      <c r="Q423" s="760"/>
      <c r="R423" s="760"/>
      <c r="S423" s="760"/>
      <c r="T423" s="760"/>
      <c r="U423" s="760"/>
      <c r="V423" s="760"/>
      <c r="W423" s="760"/>
      <c r="X423" s="760"/>
      <c r="Y423" s="760"/>
      <c r="Z423" s="760"/>
      <c r="AA423" s="760"/>
      <c r="AB423" s="760"/>
      <c r="AC423" s="760"/>
    </row>
    <row r="424" ht="15.75" customHeight="1">
      <c r="A424" s="759"/>
      <c r="B424" s="927"/>
      <c r="C424" s="760"/>
      <c r="D424" s="928"/>
      <c r="E424" s="759"/>
      <c r="F424" s="759"/>
      <c r="G424" s="929"/>
      <c r="H424" s="929"/>
      <c r="I424" s="930"/>
      <c r="J424" s="759"/>
      <c r="K424" s="759"/>
      <c r="L424" s="760"/>
      <c r="M424" s="760"/>
      <c r="N424" s="760"/>
      <c r="O424" s="759"/>
      <c r="P424" s="760"/>
      <c r="Q424" s="760"/>
      <c r="R424" s="760"/>
      <c r="S424" s="760"/>
      <c r="T424" s="760"/>
      <c r="U424" s="760"/>
      <c r="V424" s="760"/>
      <c r="W424" s="760"/>
      <c r="X424" s="760"/>
      <c r="Y424" s="760"/>
      <c r="Z424" s="760"/>
      <c r="AA424" s="760"/>
      <c r="AB424" s="760"/>
      <c r="AC424" s="760"/>
    </row>
    <row r="425" ht="15.75" customHeight="1">
      <c r="A425" s="759"/>
      <c r="B425" s="927"/>
      <c r="C425" s="760"/>
      <c r="D425" s="928"/>
      <c r="E425" s="759"/>
      <c r="F425" s="759"/>
      <c r="G425" s="929"/>
      <c r="H425" s="929"/>
      <c r="I425" s="930"/>
      <c r="J425" s="759"/>
      <c r="K425" s="759"/>
      <c r="L425" s="760"/>
      <c r="M425" s="760"/>
      <c r="N425" s="760"/>
      <c r="O425" s="759"/>
      <c r="P425" s="760"/>
      <c r="Q425" s="760"/>
      <c r="R425" s="760"/>
      <c r="S425" s="760"/>
      <c r="T425" s="760"/>
      <c r="U425" s="760"/>
      <c r="V425" s="760"/>
      <c r="W425" s="760"/>
      <c r="X425" s="760"/>
      <c r="Y425" s="760"/>
      <c r="Z425" s="760"/>
      <c r="AA425" s="760"/>
      <c r="AB425" s="760"/>
      <c r="AC425" s="760"/>
    </row>
    <row r="426" ht="15.75" customHeight="1">
      <c r="A426" s="759"/>
      <c r="B426" s="927"/>
      <c r="C426" s="760"/>
      <c r="D426" s="928"/>
      <c r="E426" s="759"/>
      <c r="F426" s="759"/>
      <c r="G426" s="929"/>
      <c r="H426" s="929"/>
      <c r="I426" s="930"/>
      <c r="J426" s="759"/>
      <c r="K426" s="759"/>
      <c r="L426" s="760"/>
      <c r="M426" s="760"/>
      <c r="N426" s="760"/>
      <c r="O426" s="759"/>
      <c r="P426" s="760"/>
      <c r="Q426" s="760"/>
      <c r="R426" s="760"/>
      <c r="S426" s="760"/>
      <c r="T426" s="760"/>
      <c r="U426" s="760"/>
      <c r="V426" s="760"/>
      <c r="W426" s="760"/>
      <c r="X426" s="760"/>
      <c r="Y426" s="760"/>
      <c r="Z426" s="760"/>
      <c r="AA426" s="760"/>
      <c r="AB426" s="760"/>
      <c r="AC426" s="760"/>
    </row>
    <row r="427" ht="15.75" customHeight="1">
      <c r="A427" s="759"/>
      <c r="B427" s="927"/>
      <c r="C427" s="760"/>
      <c r="D427" s="928"/>
      <c r="E427" s="759"/>
      <c r="F427" s="759"/>
      <c r="G427" s="929"/>
      <c r="H427" s="929"/>
      <c r="I427" s="930"/>
      <c r="J427" s="759"/>
      <c r="K427" s="759"/>
      <c r="L427" s="760"/>
      <c r="M427" s="760"/>
      <c r="N427" s="760"/>
      <c r="O427" s="759"/>
      <c r="P427" s="760"/>
      <c r="Q427" s="760"/>
      <c r="R427" s="760"/>
      <c r="S427" s="760"/>
      <c r="T427" s="760"/>
      <c r="U427" s="760"/>
      <c r="V427" s="760"/>
      <c r="W427" s="760"/>
      <c r="X427" s="760"/>
      <c r="Y427" s="760"/>
      <c r="Z427" s="760"/>
      <c r="AA427" s="760"/>
      <c r="AB427" s="760"/>
      <c r="AC427" s="760"/>
    </row>
    <row r="428" ht="15.75" customHeight="1">
      <c r="A428" s="759"/>
      <c r="B428" s="927"/>
      <c r="C428" s="760"/>
      <c r="D428" s="928"/>
      <c r="E428" s="759"/>
      <c r="F428" s="759"/>
      <c r="G428" s="929"/>
      <c r="H428" s="929"/>
      <c r="I428" s="930"/>
      <c r="J428" s="759"/>
      <c r="K428" s="759"/>
      <c r="L428" s="760"/>
      <c r="M428" s="760"/>
      <c r="N428" s="760"/>
      <c r="O428" s="759"/>
      <c r="P428" s="760"/>
      <c r="Q428" s="760"/>
      <c r="R428" s="760"/>
      <c r="S428" s="760"/>
      <c r="T428" s="760"/>
      <c r="U428" s="760"/>
      <c r="V428" s="760"/>
      <c r="W428" s="760"/>
      <c r="X428" s="760"/>
      <c r="Y428" s="760"/>
      <c r="Z428" s="760"/>
      <c r="AA428" s="760"/>
      <c r="AB428" s="760"/>
      <c r="AC428" s="760"/>
    </row>
    <row r="429" ht="15.75" customHeight="1">
      <c r="A429" s="759"/>
      <c r="B429" s="927"/>
      <c r="C429" s="760"/>
      <c r="D429" s="928"/>
      <c r="E429" s="759"/>
      <c r="F429" s="759"/>
      <c r="G429" s="929"/>
      <c r="H429" s="929"/>
      <c r="I429" s="930"/>
      <c r="J429" s="759"/>
      <c r="K429" s="759"/>
      <c r="L429" s="760"/>
      <c r="M429" s="760"/>
      <c r="N429" s="760"/>
      <c r="O429" s="759"/>
      <c r="P429" s="760"/>
      <c r="Q429" s="760"/>
      <c r="R429" s="760"/>
      <c r="S429" s="760"/>
      <c r="T429" s="760"/>
      <c r="U429" s="760"/>
      <c r="V429" s="760"/>
      <c r="W429" s="760"/>
      <c r="X429" s="760"/>
      <c r="Y429" s="760"/>
      <c r="Z429" s="760"/>
      <c r="AA429" s="760"/>
      <c r="AB429" s="760"/>
      <c r="AC429" s="760"/>
    </row>
    <row r="430" ht="15.75" customHeight="1">
      <c r="A430" s="759"/>
      <c r="B430" s="927"/>
      <c r="C430" s="760"/>
      <c r="D430" s="928"/>
      <c r="E430" s="759"/>
      <c r="F430" s="759"/>
      <c r="G430" s="929"/>
      <c r="H430" s="929"/>
      <c r="I430" s="930"/>
      <c r="J430" s="759"/>
      <c r="K430" s="759"/>
      <c r="L430" s="760"/>
      <c r="M430" s="760"/>
      <c r="N430" s="760"/>
      <c r="O430" s="759"/>
      <c r="P430" s="760"/>
      <c r="Q430" s="760"/>
      <c r="R430" s="760"/>
      <c r="S430" s="760"/>
      <c r="T430" s="760"/>
      <c r="U430" s="760"/>
      <c r="V430" s="760"/>
      <c r="W430" s="760"/>
      <c r="X430" s="760"/>
      <c r="Y430" s="760"/>
      <c r="Z430" s="760"/>
      <c r="AA430" s="760"/>
      <c r="AB430" s="760"/>
      <c r="AC430" s="760"/>
    </row>
    <row r="431" ht="15.75" customHeight="1">
      <c r="A431" s="759"/>
      <c r="B431" s="927"/>
      <c r="C431" s="760"/>
      <c r="D431" s="928"/>
      <c r="E431" s="759"/>
      <c r="F431" s="759"/>
      <c r="G431" s="929"/>
      <c r="H431" s="929"/>
      <c r="I431" s="930"/>
      <c r="J431" s="759"/>
      <c r="K431" s="759"/>
      <c r="L431" s="760"/>
      <c r="M431" s="760"/>
      <c r="N431" s="760"/>
      <c r="O431" s="759"/>
      <c r="P431" s="760"/>
      <c r="Q431" s="760"/>
      <c r="R431" s="760"/>
      <c r="S431" s="760"/>
      <c r="T431" s="760"/>
      <c r="U431" s="760"/>
      <c r="V431" s="760"/>
      <c r="W431" s="760"/>
      <c r="X431" s="760"/>
      <c r="Y431" s="760"/>
      <c r="Z431" s="760"/>
      <c r="AA431" s="760"/>
      <c r="AB431" s="760"/>
      <c r="AC431" s="760"/>
    </row>
    <row r="432" ht="15.75" customHeight="1">
      <c r="A432" s="759"/>
      <c r="B432" s="927"/>
      <c r="C432" s="760"/>
      <c r="D432" s="928"/>
      <c r="E432" s="759"/>
      <c r="F432" s="759"/>
      <c r="G432" s="929"/>
      <c r="H432" s="929"/>
      <c r="I432" s="930"/>
      <c r="J432" s="759"/>
      <c r="K432" s="759"/>
      <c r="L432" s="760"/>
      <c r="M432" s="760"/>
      <c r="N432" s="760"/>
      <c r="O432" s="759"/>
      <c r="P432" s="760"/>
      <c r="Q432" s="760"/>
      <c r="R432" s="760"/>
      <c r="S432" s="760"/>
      <c r="T432" s="760"/>
      <c r="U432" s="760"/>
      <c r="V432" s="760"/>
      <c r="W432" s="760"/>
      <c r="X432" s="760"/>
      <c r="Y432" s="760"/>
      <c r="Z432" s="760"/>
      <c r="AA432" s="760"/>
      <c r="AB432" s="760"/>
      <c r="AC432" s="760"/>
    </row>
    <row r="433" ht="15.75" customHeight="1">
      <c r="A433" s="759"/>
      <c r="B433" s="927"/>
      <c r="C433" s="760"/>
      <c r="D433" s="928"/>
      <c r="E433" s="759"/>
      <c r="F433" s="759"/>
      <c r="G433" s="929"/>
      <c r="H433" s="929"/>
      <c r="I433" s="930"/>
      <c r="J433" s="759"/>
      <c r="K433" s="759"/>
      <c r="L433" s="760"/>
      <c r="M433" s="760"/>
      <c r="N433" s="760"/>
      <c r="O433" s="759"/>
      <c r="P433" s="760"/>
      <c r="Q433" s="760"/>
      <c r="R433" s="760"/>
      <c r="S433" s="760"/>
      <c r="T433" s="760"/>
      <c r="U433" s="760"/>
      <c r="V433" s="760"/>
      <c r="W433" s="760"/>
      <c r="X433" s="760"/>
      <c r="Y433" s="760"/>
      <c r="Z433" s="760"/>
      <c r="AA433" s="760"/>
      <c r="AB433" s="760"/>
      <c r="AC433" s="760"/>
    </row>
    <row r="434" ht="15.75" customHeight="1">
      <c r="A434" s="759"/>
      <c r="B434" s="927"/>
      <c r="C434" s="760"/>
      <c r="D434" s="928"/>
      <c r="E434" s="759"/>
      <c r="F434" s="759"/>
      <c r="G434" s="929"/>
      <c r="H434" s="929"/>
      <c r="I434" s="930"/>
      <c r="J434" s="759"/>
      <c r="K434" s="759"/>
      <c r="L434" s="760"/>
      <c r="M434" s="760"/>
      <c r="N434" s="760"/>
      <c r="O434" s="759"/>
      <c r="P434" s="760"/>
      <c r="Q434" s="760"/>
      <c r="R434" s="760"/>
      <c r="S434" s="760"/>
      <c r="T434" s="760"/>
      <c r="U434" s="760"/>
      <c r="V434" s="760"/>
      <c r="W434" s="760"/>
      <c r="X434" s="760"/>
      <c r="Y434" s="760"/>
      <c r="Z434" s="760"/>
      <c r="AA434" s="760"/>
      <c r="AB434" s="760"/>
      <c r="AC434" s="760"/>
    </row>
    <row r="435" ht="15.75" customHeight="1">
      <c r="A435" s="759"/>
      <c r="B435" s="927"/>
      <c r="C435" s="760"/>
      <c r="D435" s="928"/>
      <c r="E435" s="759"/>
      <c r="F435" s="759"/>
      <c r="G435" s="929"/>
      <c r="H435" s="929"/>
      <c r="I435" s="930"/>
      <c r="J435" s="759"/>
      <c r="K435" s="759"/>
      <c r="L435" s="760"/>
      <c r="M435" s="760"/>
      <c r="N435" s="760"/>
      <c r="O435" s="759"/>
      <c r="P435" s="760"/>
      <c r="Q435" s="760"/>
      <c r="R435" s="760"/>
      <c r="S435" s="760"/>
      <c r="T435" s="760"/>
      <c r="U435" s="760"/>
      <c r="V435" s="760"/>
      <c r="W435" s="760"/>
      <c r="X435" s="760"/>
      <c r="Y435" s="760"/>
      <c r="Z435" s="760"/>
      <c r="AA435" s="760"/>
      <c r="AB435" s="760"/>
      <c r="AC435" s="760"/>
    </row>
    <row r="436" ht="15.75" customHeight="1">
      <c r="A436" s="759"/>
      <c r="B436" s="927"/>
      <c r="C436" s="760"/>
      <c r="D436" s="928"/>
      <c r="E436" s="759"/>
      <c r="F436" s="759"/>
      <c r="G436" s="929"/>
      <c r="H436" s="929"/>
      <c r="I436" s="930"/>
      <c r="J436" s="759"/>
      <c r="K436" s="759"/>
      <c r="L436" s="760"/>
      <c r="M436" s="760"/>
      <c r="N436" s="760"/>
      <c r="O436" s="759"/>
      <c r="P436" s="760"/>
      <c r="Q436" s="760"/>
      <c r="R436" s="760"/>
      <c r="S436" s="760"/>
      <c r="T436" s="760"/>
      <c r="U436" s="760"/>
      <c r="V436" s="760"/>
      <c r="W436" s="760"/>
      <c r="X436" s="760"/>
      <c r="Y436" s="760"/>
      <c r="Z436" s="760"/>
      <c r="AA436" s="760"/>
      <c r="AB436" s="760"/>
      <c r="AC436" s="760"/>
    </row>
    <row r="437" ht="15.75" customHeight="1">
      <c r="A437" s="759"/>
      <c r="B437" s="927"/>
      <c r="C437" s="760"/>
      <c r="D437" s="928"/>
      <c r="E437" s="759"/>
      <c r="F437" s="759"/>
      <c r="G437" s="929"/>
      <c r="H437" s="929"/>
      <c r="I437" s="930"/>
      <c r="J437" s="759"/>
      <c r="K437" s="759"/>
      <c r="L437" s="760"/>
      <c r="M437" s="760"/>
      <c r="N437" s="760"/>
      <c r="O437" s="759"/>
      <c r="P437" s="760"/>
      <c r="Q437" s="760"/>
      <c r="R437" s="760"/>
      <c r="S437" s="760"/>
      <c r="T437" s="760"/>
      <c r="U437" s="760"/>
      <c r="V437" s="760"/>
      <c r="W437" s="760"/>
      <c r="X437" s="760"/>
      <c r="Y437" s="760"/>
      <c r="Z437" s="760"/>
      <c r="AA437" s="760"/>
      <c r="AB437" s="760"/>
      <c r="AC437" s="760"/>
    </row>
    <row r="438" ht="15.75" customHeight="1">
      <c r="A438" s="759"/>
      <c r="B438" s="927"/>
      <c r="C438" s="760"/>
      <c r="D438" s="928"/>
      <c r="E438" s="759"/>
      <c r="F438" s="759"/>
      <c r="G438" s="929"/>
      <c r="H438" s="929"/>
      <c r="I438" s="930"/>
      <c r="J438" s="759"/>
      <c r="K438" s="759"/>
      <c r="L438" s="760"/>
      <c r="M438" s="760"/>
      <c r="N438" s="760"/>
      <c r="O438" s="759"/>
      <c r="P438" s="760"/>
      <c r="Q438" s="760"/>
      <c r="R438" s="760"/>
      <c r="S438" s="760"/>
      <c r="T438" s="760"/>
      <c r="U438" s="760"/>
      <c r="V438" s="760"/>
      <c r="W438" s="760"/>
      <c r="X438" s="760"/>
      <c r="Y438" s="760"/>
      <c r="Z438" s="760"/>
      <c r="AA438" s="760"/>
      <c r="AB438" s="760"/>
      <c r="AC438" s="760"/>
    </row>
    <row r="439" ht="15.75" customHeight="1">
      <c r="A439" s="759"/>
      <c r="B439" s="927"/>
      <c r="C439" s="760"/>
      <c r="D439" s="928"/>
      <c r="E439" s="759"/>
      <c r="F439" s="759"/>
      <c r="G439" s="929"/>
      <c r="H439" s="929"/>
      <c r="I439" s="930"/>
      <c r="J439" s="759"/>
      <c r="K439" s="759"/>
      <c r="L439" s="760"/>
      <c r="M439" s="760"/>
      <c r="N439" s="760"/>
      <c r="O439" s="759"/>
      <c r="P439" s="760"/>
      <c r="Q439" s="760"/>
      <c r="R439" s="760"/>
      <c r="S439" s="760"/>
      <c r="T439" s="760"/>
      <c r="U439" s="760"/>
      <c r="V439" s="760"/>
      <c r="W439" s="760"/>
      <c r="X439" s="760"/>
      <c r="Y439" s="760"/>
      <c r="Z439" s="760"/>
      <c r="AA439" s="760"/>
      <c r="AB439" s="760"/>
      <c r="AC439" s="760"/>
    </row>
    <row r="440" ht="15.75" customHeight="1">
      <c r="A440" s="759"/>
      <c r="B440" s="927"/>
      <c r="C440" s="760"/>
      <c r="D440" s="928"/>
      <c r="E440" s="759"/>
      <c r="F440" s="759"/>
      <c r="G440" s="929"/>
      <c r="H440" s="929"/>
      <c r="I440" s="930"/>
      <c r="J440" s="759"/>
      <c r="K440" s="759"/>
      <c r="L440" s="760"/>
      <c r="M440" s="760"/>
      <c r="N440" s="760"/>
      <c r="O440" s="759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760"/>
      <c r="AB440" s="760"/>
      <c r="AC440" s="760"/>
    </row>
    <row r="441" ht="15.75" customHeight="1">
      <c r="A441" s="759"/>
      <c r="B441" s="927"/>
      <c r="C441" s="760"/>
      <c r="D441" s="928"/>
      <c r="E441" s="759"/>
      <c r="F441" s="759"/>
      <c r="G441" s="929"/>
      <c r="H441" s="929"/>
      <c r="I441" s="930"/>
      <c r="J441" s="759"/>
      <c r="K441" s="759"/>
      <c r="L441" s="760"/>
      <c r="M441" s="760"/>
      <c r="N441" s="760"/>
      <c r="O441" s="759"/>
      <c r="P441" s="760"/>
      <c r="Q441" s="760"/>
      <c r="R441" s="760"/>
      <c r="S441" s="760"/>
      <c r="T441" s="760"/>
      <c r="U441" s="760"/>
      <c r="V441" s="760"/>
      <c r="W441" s="760"/>
      <c r="X441" s="760"/>
      <c r="Y441" s="760"/>
      <c r="Z441" s="760"/>
      <c r="AA441" s="760"/>
      <c r="AB441" s="760"/>
      <c r="AC441" s="760"/>
    </row>
    <row r="442" ht="15.75" customHeight="1">
      <c r="A442" s="759"/>
      <c r="B442" s="927"/>
      <c r="C442" s="760"/>
      <c r="D442" s="928"/>
      <c r="E442" s="759"/>
      <c r="F442" s="759"/>
      <c r="G442" s="929"/>
      <c r="H442" s="929"/>
      <c r="I442" s="930"/>
      <c r="J442" s="759"/>
      <c r="K442" s="759"/>
      <c r="L442" s="760"/>
      <c r="M442" s="760"/>
      <c r="N442" s="760"/>
      <c r="O442" s="759"/>
      <c r="P442" s="760"/>
      <c r="Q442" s="760"/>
      <c r="R442" s="760"/>
      <c r="S442" s="760"/>
      <c r="T442" s="760"/>
      <c r="U442" s="760"/>
      <c r="V442" s="760"/>
      <c r="W442" s="760"/>
      <c r="X442" s="760"/>
      <c r="Y442" s="760"/>
      <c r="Z442" s="760"/>
      <c r="AA442" s="760"/>
      <c r="AB442" s="760"/>
      <c r="AC442" s="760"/>
    </row>
    <row r="443" ht="15.75" customHeight="1">
      <c r="A443" s="759"/>
      <c r="B443" s="927"/>
      <c r="C443" s="760"/>
      <c r="D443" s="928"/>
      <c r="E443" s="759"/>
      <c r="F443" s="759"/>
      <c r="G443" s="929"/>
      <c r="H443" s="929"/>
      <c r="I443" s="930"/>
      <c r="J443" s="759"/>
      <c r="K443" s="759"/>
      <c r="L443" s="760"/>
      <c r="M443" s="760"/>
      <c r="N443" s="760"/>
      <c r="O443" s="759"/>
      <c r="P443" s="760"/>
      <c r="Q443" s="760"/>
      <c r="R443" s="760"/>
      <c r="S443" s="760"/>
      <c r="T443" s="760"/>
      <c r="U443" s="760"/>
      <c r="V443" s="760"/>
      <c r="W443" s="760"/>
      <c r="X443" s="760"/>
      <c r="Y443" s="760"/>
      <c r="Z443" s="760"/>
      <c r="AA443" s="760"/>
      <c r="AB443" s="760"/>
      <c r="AC443" s="760"/>
    </row>
    <row r="444" ht="15.75" customHeight="1">
      <c r="A444" s="759"/>
      <c r="B444" s="927"/>
      <c r="C444" s="760"/>
      <c r="D444" s="928"/>
      <c r="E444" s="759"/>
      <c r="F444" s="759"/>
      <c r="G444" s="929"/>
      <c r="H444" s="929"/>
      <c r="I444" s="930"/>
      <c r="J444" s="759"/>
      <c r="K444" s="759"/>
      <c r="L444" s="760"/>
      <c r="M444" s="760"/>
      <c r="N444" s="760"/>
      <c r="O444" s="759"/>
      <c r="P444" s="760"/>
      <c r="Q444" s="760"/>
      <c r="R444" s="760"/>
      <c r="S444" s="760"/>
      <c r="T444" s="760"/>
      <c r="U444" s="760"/>
      <c r="V444" s="760"/>
      <c r="W444" s="760"/>
      <c r="X444" s="760"/>
      <c r="Y444" s="760"/>
      <c r="Z444" s="760"/>
      <c r="AA444" s="760"/>
      <c r="AB444" s="760"/>
      <c r="AC444" s="760"/>
    </row>
    <row r="445" ht="15.75" customHeight="1">
      <c r="A445" s="759"/>
      <c r="B445" s="927"/>
      <c r="C445" s="760"/>
      <c r="D445" s="928"/>
      <c r="E445" s="759"/>
      <c r="F445" s="759"/>
      <c r="G445" s="929"/>
      <c r="H445" s="929"/>
      <c r="I445" s="930"/>
      <c r="J445" s="759"/>
      <c r="K445" s="759"/>
      <c r="L445" s="760"/>
      <c r="M445" s="760"/>
      <c r="N445" s="760"/>
      <c r="O445" s="759"/>
      <c r="P445" s="760"/>
      <c r="Q445" s="760"/>
      <c r="R445" s="760"/>
      <c r="S445" s="760"/>
      <c r="T445" s="760"/>
      <c r="U445" s="760"/>
      <c r="V445" s="760"/>
      <c r="W445" s="760"/>
      <c r="X445" s="760"/>
      <c r="Y445" s="760"/>
      <c r="Z445" s="760"/>
      <c r="AA445" s="760"/>
      <c r="AB445" s="760"/>
      <c r="AC445" s="760"/>
    </row>
    <row r="446" ht="15.75" customHeight="1">
      <c r="A446" s="759"/>
      <c r="B446" s="927"/>
      <c r="C446" s="760"/>
      <c r="D446" s="928"/>
      <c r="E446" s="759"/>
      <c r="F446" s="759"/>
      <c r="G446" s="929"/>
      <c r="H446" s="929"/>
      <c r="I446" s="930"/>
      <c r="J446" s="759"/>
      <c r="K446" s="759"/>
      <c r="L446" s="760"/>
      <c r="M446" s="760"/>
      <c r="N446" s="760"/>
      <c r="O446" s="759"/>
      <c r="P446" s="760"/>
      <c r="Q446" s="760"/>
      <c r="R446" s="760"/>
      <c r="S446" s="760"/>
      <c r="T446" s="760"/>
      <c r="U446" s="760"/>
      <c r="V446" s="760"/>
      <c r="W446" s="760"/>
      <c r="X446" s="760"/>
      <c r="Y446" s="760"/>
      <c r="Z446" s="760"/>
      <c r="AA446" s="760"/>
      <c r="AB446" s="760"/>
      <c r="AC446" s="760"/>
    </row>
    <row r="447" ht="15.75" customHeight="1">
      <c r="A447" s="759"/>
      <c r="B447" s="927"/>
      <c r="C447" s="760"/>
      <c r="D447" s="928"/>
      <c r="E447" s="759"/>
      <c r="F447" s="759"/>
      <c r="G447" s="929"/>
      <c r="H447" s="929"/>
      <c r="I447" s="930"/>
      <c r="J447" s="759"/>
      <c r="K447" s="759"/>
      <c r="L447" s="760"/>
      <c r="M447" s="760"/>
      <c r="N447" s="760"/>
      <c r="O447" s="759"/>
      <c r="P447" s="760"/>
      <c r="Q447" s="760"/>
      <c r="R447" s="760"/>
      <c r="S447" s="760"/>
      <c r="T447" s="760"/>
      <c r="U447" s="760"/>
      <c r="V447" s="760"/>
      <c r="W447" s="760"/>
      <c r="X447" s="760"/>
      <c r="Y447" s="760"/>
      <c r="Z447" s="760"/>
      <c r="AA447" s="760"/>
      <c r="AB447" s="760"/>
      <c r="AC447" s="760"/>
    </row>
    <row r="448" ht="15.75" customHeight="1">
      <c r="A448" s="759"/>
      <c r="B448" s="927"/>
      <c r="C448" s="760"/>
      <c r="D448" s="928"/>
      <c r="E448" s="759"/>
      <c r="F448" s="759"/>
      <c r="G448" s="929"/>
      <c r="H448" s="929"/>
      <c r="I448" s="930"/>
      <c r="J448" s="759"/>
      <c r="K448" s="759"/>
      <c r="L448" s="760"/>
      <c r="M448" s="760"/>
      <c r="N448" s="760"/>
      <c r="O448" s="759"/>
      <c r="P448" s="760"/>
      <c r="Q448" s="760"/>
      <c r="R448" s="760"/>
      <c r="S448" s="760"/>
      <c r="T448" s="760"/>
      <c r="U448" s="760"/>
      <c r="V448" s="760"/>
      <c r="W448" s="760"/>
      <c r="X448" s="760"/>
      <c r="Y448" s="760"/>
      <c r="Z448" s="760"/>
      <c r="AA448" s="760"/>
      <c r="AB448" s="760"/>
      <c r="AC448" s="760"/>
    </row>
    <row r="449" ht="15.75" customHeight="1">
      <c r="A449" s="759"/>
      <c r="B449" s="927"/>
      <c r="C449" s="760"/>
      <c r="D449" s="928"/>
      <c r="E449" s="759"/>
      <c r="F449" s="759"/>
      <c r="G449" s="929"/>
      <c r="H449" s="929"/>
      <c r="I449" s="930"/>
      <c r="J449" s="759"/>
      <c r="K449" s="759"/>
      <c r="L449" s="760"/>
      <c r="M449" s="760"/>
      <c r="N449" s="760"/>
      <c r="O449" s="759"/>
      <c r="P449" s="760"/>
      <c r="Q449" s="760"/>
      <c r="R449" s="760"/>
      <c r="S449" s="760"/>
      <c r="T449" s="760"/>
      <c r="U449" s="760"/>
      <c r="V449" s="760"/>
      <c r="W449" s="760"/>
      <c r="X449" s="760"/>
      <c r="Y449" s="760"/>
      <c r="Z449" s="760"/>
      <c r="AA449" s="760"/>
      <c r="AB449" s="760"/>
      <c r="AC449" s="760"/>
    </row>
    <row r="450" ht="15.75" customHeight="1">
      <c r="A450" s="759"/>
      <c r="B450" s="927"/>
      <c r="C450" s="760"/>
      <c r="D450" s="928"/>
      <c r="E450" s="759"/>
      <c r="F450" s="759"/>
      <c r="G450" s="929"/>
      <c r="H450" s="929"/>
      <c r="I450" s="930"/>
      <c r="J450" s="759"/>
      <c r="K450" s="759"/>
      <c r="L450" s="760"/>
      <c r="M450" s="760"/>
      <c r="N450" s="760"/>
      <c r="O450" s="759"/>
      <c r="P450" s="760"/>
      <c r="Q450" s="760"/>
      <c r="R450" s="760"/>
      <c r="S450" s="760"/>
      <c r="T450" s="760"/>
      <c r="U450" s="760"/>
      <c r="V450" s="760"/>
      <c r="W450" s="760"/>
      <c r="X450" s="760"/>
      <c r="Y450" s="760"/>
      <c r="Z450" s="760"/>
      <c r="AA450" s="760"/>
      <c r="AB450" s="760"/>
      <c r="AC450" s="760"/>
    </row>
    <row r="451" ht="15.75" customHeight="1">
      <c r="A451" s="759"/>
      <c r="B451" s="927"/>
      <c r="C451" s="760"/>
      <c r="D451" s="928"/>
      <c r="E451" s="759"/>
      <c r="F451" s="759"/>
      <c r="G451" s="929"/>
      <c r="H451" s="929"/>
      <c r="I451" s="930"/>
      <c r="J451" s="759"/>
      <c r="K451" s="759"/>
      <c r="L451" s="760"/>
      <c r="M451" s="760"/>
      <c r="N451" s="760"/>
      <c r="O451" s="759"/>
      <c r="P451" s="760"/>
      <c r="Q451" s="760"/>
      <c r="R451" s="760"/>
      <c r="S451" s="760"/>
      <c r="T451" s="760"/>
      <c r="U451" s="760"/>
      <c r="V451" s="760"/>
      <c r="W451" s="760"/>
      <c r="X451" s="760"/>
      <c r="Y451" s="760"/>
      <c r="Z451" s="760"/>
      <c r="AA451" s="760"/>
      <c r="AB451" s="760"/>
      <c r="AC451" s="760"/>
    </row>
    <row r="452" ht="15.75" customHeight="1">
      <c r="A452" s="759"/>
      <c r="B452" s="927"/>
      <c r="C452" s="760"/>
      <c r="D452" s="928"/>
      <c r="E452" s="759"/>
      <c r="F452" s="759"/>
      <c r="G452" s="929"/>
      <c r="H452" s="929"/>
      <c r="I452" s="930"/>
      <c r="J452" s="759"/>
      <c r="K452" s="759"/>
      <c r="L452" s="760"/>
      <c r="M452" s="760"/>
      <c r="N452" s="760"/>
      <c r="O452" s="759"/>
      <c r="P452" s="760"/>
      <c r="Q452" s="760"/>
      <c r="R452" s="760"/>
      <c r="S452" s="760"/>
      <c r="T452" s="760"/>
      <c r="U452" s="760"/>
      <c r="V452" s="760"/>
      <c r="W452" s="760"/>
      <c r="X452" s="760"/>
      <c r="Y452" s="760"/>
      <c r="Z452" s="760"/>
      <c r="AA452" s="760"/>
      <c r="AB452" s="760"/>
      <c r="AC452" s="760"/>
    </row>
    <row r="453" ht="15.75" customHeight="1">
      <c r="A453" s="759"/>
      <c r="B453" s="927"/>
      <c r="C453" s="760"/>
      <c r="D453" s="928"/>
      <c r="E453" s="759"/>
      <c r="F453" s="759"/>
      <c r="G453" s="929"/>
      <c r="H453" s="929"/>
      <c r="I453" s="930"/>
      <c r="J453" s="759"/>
      <c r="K453" s="759"/>
      <c r="L453" s="760"/>
      <c r="M453" s="760"/>
      <c r="N453" s="760"/>
      <c r="O453" s="759"/>
      <c r="P453" s="760"/>
      <c r="Q453" s="760"/>
      <c r="R453" s="760"/>
      <c r="S453" s="760"/>
      <c r="T453" s="760"/>
      <c r="U453" s="760"/>
      <c r="V453" s="760"/>
      <c r="W453" s="760"/>
      <c r="X453" s="760"/>
      <c r="Y453" s="760"/>
      <c r="Z453" s="760"/>
      <c r="AA453" s="760"/>
      <c r="AB453" s="760"/>
      <c r="AC453" s="760"/>
    </row>
    <row r="454" ht="15.75" customHeight="1">
      <c r="A454" s="759"/>
      <c r="B454" s="927"/>
      <c r="C454" s="760"/>
      <c r="D454" s="928"/>
      <c r="E454" s="759"/>
      <c r="F454" s="759"/>
      <c r="G454" s="929"/>
      <c r="H454" s="929"/>
      <c r="I454" s="930"/>
      <c r="J454" s="759"/>
      <c r="K454" s="759"/>
      <c r="L454" s="760"/>
      <c r="M454" s="760"/>
      <c r="N454" s="760"/>
      <c r="O454" s="759"/>
      <c r="P454" s="760"/>
      <c r="Q454" s="760"/>
      <c r="R454" s="760"/>
      <c r="S454" s="760"/>
      <c r="T454" s="760"/>
      <c r="U454" s="760"/>
      <c r="V454" s="760"/>
      <c r="W454" s="760"/>
      <c r="X454" s="760"/>
      <c r="Y454" s="760"/>
      <c r="Z454" s="760"/>
      <c r="AA454" s="760"/>
      <c r="AB454" s="760"/>
      <c r="AC454" s="760"/>
    </row>
    <row r="455" ht="15.75" customHeight="1">
      <c r="A455" s="759"/>
      <c r="B455" s="927"/>
      <c r="C455" s="760"/>
      <c r="D455" s="928"/>
      <c r="E455" s="759"/>
      <c r="F455" s="759"/>
      <c r="G455" s="929"/>
      <c r="H455" s="929"/>
      <c r="I455" s="930"/>
      <c r="J455" s="759"/>
      <c r="K455" s="759"/>
      <c r="L455" s="760"/>
      <c r="M455" s="760"/>
      <c r="N455" s="760"/>
      <c r="O455" s="759"/>
      <c r="P455" s="760"/>
      <c r="Q455" s="760"/>
      <c r="R455" s="760"/>
      <c r="S455" s="760"/>
      <c r="T455" s="760"/>
      <c r="U455" s="760"/>
      <c r="V455" s="760"/>
      <c r="W455" s="760"/>
      <c r="X455" s="760"/>
      <c r="Y455" s="760"/>
      <c r="Z455" s="760"/>
      <c r="AA455" s="760"/>
      <c r="AB455" s="760"/>
      <c r="AC455" s="760"/>
    </row>
    <row r="456" ht="15.75" customHeight="1">
      <c r="A456" s="759"/>
      <c r="B456" s="927"/>
      <c r="C456" s="760"/>
      <c r="D456" s="928"/>
      <c r="E456" s="759"/>
      <c r="F456" s="759"/>
      <c r="G456" s="929"/>
      <c r="H456" s="929"/>
      <c r="I456" s="930"/>
      <c r="J456" s="759"/>
      <c r="K456" s="759"/>
      <c r="L456" s="760"/>
      <c r="M456" s="760"/>
      <c r="N456" s="760"/>
      <c r="O456" s="759"/>
      <c r="P456" s="760"/>
      <c r="Q456" s="760"/>
      <c r="R456" s="760"/>
      <c r="S456" s="760"/>
      <c r="T456" s="760"/>
      <c r="U456" s="760"/>
      <c r="V456" s="760"/>
      <c r="W456" s="760"/>
      <c r="X456" s="760"/>
      <c r="Y456" s="760"/>
      <c r="Z456" s="760"/>
      <c r="AA456" s="760"/>
      <c r="AB456" s="760"/>
      <c r="AC456" s="760"/>
    </row>
    <row r="457" ht="15.75" customHeight="1">
      <c r="A457" s="759"/>
      <c r="B457" s="927"/>
      <c r="C457" s="760"/>
      <c r="D457" s="928"/>
      <c r="E457" s="759"/>
      <c r="F457" s="759"/>
      <c r="G457" s="929"/>
      <c r="H457" s="929"/>
      <c r="I457" s="930"/>
      <c r="J457" s="759"/>
      <c r="K457" s="759"/>
      <c r="L457" s="760"/>
      <c r="M457" s="760"/>
      <c r="N457" s="760"/>
      <c r="O457" s="759"/>
      <c r="P457" s="760"/>
      <c r="Q457" s="760"/>
      <c r="R457" s="760"/>
      <c r="S457" s="760"/>
      <c r="T457" s="760"/>
      <c r="U457" s="760"/>
      <c r="V457" s="760"/>
      <c r="W457" s="760"/>
      <c r="X457" s="760"/>
      <c r="Y457" s="760"/>
      <c r="Z457" s="760"/>
      <c r="AA457" s="760"/>
      <c r="AB457" s="760"/>
      <c r="AC457" s="760"/>
    </row>
    <row r="458" ht="15.75" customHeight="1">
      <c r="A458" s="759"/>
      <c r="B458" s="927"/>
      <c r="C458" s="760"/>
      <c r="D458" s="928"/>
      <c r="E458" s="759"/>
      <c r="F458" s="759"/>
      <c r="G458" s="929"/>
      <c r="H458" s="929"/>
      <c r="I458" s="930"/>
      <c r="J458" s="759"/>
      <c r="K458" s="759"/>
      <c r="L458" s="760"/>
      <c r="M458" s="760"/>
      <c r="N458" s="760"/>
      <c r="O458" s="759"/>
      <c r="P458" s="760"/>
      <c r="Q458" s="760"/>
      <c r="R458" s="760"/>
      <c r="S458" s="760"/>
      <c r="T458" s="760"/>
      <c r="U458" s="760"/>
      <c r="V458" s="760"/>
      <c r="W458" s="760"/>
      <c r="X458" s="760"/>
      <c r="Y458" s="760"/>
      <c r="Z458" s="760"/>
      <c r="AA458" s="760"/>
      <c r="AB458" s="760"/>
      <c r="AC458" s="760"/>
    </row>
    <row r="459" ht="15.75" customHeight="1">
      <c r="A459" s="759"/>
      <c r="B459" s="927"/>
      <c r="C459" s="760"/>
      <c r="D459" s="928"/>
      <c r="E459" s="759"/>
      <c r="F459" s="759"/>
      <c r="G459" s="929"/>
      <c r="H459" s="929"/>
      <c r="I459" s="930"/>
      <c r="J459" s="759"/>
      <c r="K459" s="759"/>
      <c r="L459" s="760"/>
      <c r="M459" s="760"/>
      <c r="N459" s="760"/>
      <c r="O459" s="759"/>
      <c r="P459" s="760"/>
      <c r="Q459" s="760"/>
      <c r="R459" s="760"/>
      <c r="S459" s="760"/>
      <c r="T459" s="760"/>
      <c r="U459" s="760"/>
      <c r="V459" s="760"/>
      <c r="W459" s="760"/>
      <c r="X459" s="760"/>
      <c r="Y459" s="760"/>
      <c r="Z459" s="760"/>
      <c r="AA459" s="760"/>
      <c r="AB459" s="760"/>
      <c r="AC459" s="760"/>
    </row>
    <row r="460" ht="15.75" customHeight="1">
      <c r="A460" s="759"/>
      <c r="B460" s="927"/>
      <c r="C460" s="760"/>
      <c r="D460" s="928"/>
      <c r="E460" s="759"/>
      <c r="F460" s="759"/>
      <c r="G460" s="929"/>
      <c r="H460" s="929"/>
      <c r="I460" s="930"/>
      <c r="J460" s="759"/>
      <c r="K460" s="759"/>
      <c r="L460" s="760"/>
      <c r="M460" s="760"/>
      <c r="N460" s="760"/>
      <c r="O460" s="759"/>
      <c r="P460" s="760"/>
      <c r="Q460" s="760"/>
      <c r="R460" s="760"/>
      <c r="S460" s="760"/>
      <c r="T460" s="760"/>
      <c r="U460" s="760"/>
      <c r="V460" s="760"/>
      <c r="W460" s="760"/>
      <c r="X460" s="760"/>
      <c r="Y460" s="760"/>
      <c r="Z460" s="760"/>
      <c r="AA460" s="760"/>
      <c r="AB460" s="760"/>
      <c r="AC460" s="760"/>
    </row>
    <row r="461" ht="15.75" customHeight="1">
      <c r="A461" s="759"/>
      <c r="B461" s="927"/>
      <c r="C461" s="760"/>
      <c r="D461" s="928"/>
      <c r="E461" s="759"/>
      <c r="F461" s="759"/>
      <c r="G461" s="929"/>
      <c r="H461" s="929"/>
      <c r="I461" s="930"/>
      <c r="J461" s="759"/>
      <c r="K461" s="759"/>
      <c r="L461" s="760"/>
      <c r="M461" s="760"/>
      <c r="N461" s="760"/>
      <c r="O461" s="759"/>
      <c r="P461" s="760"/>
      <c r="Q461" s="760"/>
      <c r="R461" s="760"/>
      <c r="S461" s="760"/>
      <c r="T461" s="760"/>
      <c r="U461" s="760"/>
      <c r="V461" s="760"/>
      <c r="W461" s="760"/>
      <c r="X461" s="760"/>
      <c r="Y461" s="760"/>
      <c r="Z461" s="760"/>
      <c r="AA461" s="760"/>
      <c r="AB461" s="760"/>
      <c r="AC461" s="760"/>
    </row>
    <row r="462" ht="15.75" customHeight="1">
      <c r="A462" s="759"/>
      <c r="B462" s="927"/>
      <c r="C462" s="760"/>
      <c r="D462" s="928"/>
      <c r="E462" s="759"/>
      <c r="F462" s="759"/>
      <c r="G462" s="929"/>
      <c r="H462" s="929"/>
      <c r="I462" s="930"/>
      <c r="J462" s="759"/>
      <c r="K462" s="759"/>
      <c r="L462" s="760"/>
      <c r="M462" s="760"/>
      <c r="N462" s="760"/>
      <c r="O462" s="759"/>
      <c r="P462" s="760"/>
      <c r="Q462" s="760"/>
      <c r="R462" s="760"/>
      <c r="S462" s="760"/>
      <c r="T462" s="760"/>
      <c r="U462" s="760"/>
      <c r="V462" s="760"/>
      <c r="W462" s="760"/>
      <c r="X462" s="760"/>
      <c r="Y462" s="760"/>
      <c r="Z462" s="760"/>
      <c r="AA462" s="760"/>
      <c r="AB462" s="760"/>
      <c r="AC462" s="760"/>
    </row>
    <row r="463" ht="15.75" customHeight="1">
      <c r="A463" s="759"/>
      <c r="B463" s="927"/>
      <c r="C463" s="760"/>
      <c r="D463" s="928"/>
      <c r="E463" s="759"/>
      <c r="F463" s="759"/>
      <c r="G463" s="929"/>
      <c r="H463" s="929"/>
      <c r="I463" s="930"/>
      <c r="J463" s="759"/>
      <c r="K463" s="759"/>
      <c r="L463" s="760"/>
      <c r="M463" s="760"/>
      <c r="N463" s="760"/>
      <c r="O463" s="759"/>
      <c r="P463" s="760"/>
      <c r="Q463" s="760"/>
      <c r="R463" s="760"/>
      <c r="S463" s="760"/>
      <c r="T463" s="760"/>
      <c r="U463" s="760"/>
      <c r="V463" s="760"/>
      <c r="W463" s="760"/>
      <c r="X463" s="760"/>
      <c r="Y463" s="760"/>
      <c r="Z463" s="760"/>
      <c r="AA463" s="760"/>
      <c r="AB463" s="760"/>
      <c r="AC463" s="760"/>
    </row>
    <row r="464" ht="15.75" customHeight="1">
      <c r="A464" s="759"/>
      <c r="B464" s="927"/>
      <c r="C464" s="760"/>
      <c r="D464" s="928"/>
      <c r="E464" s="759"/>
      <c r="F464" s="759"/>
      <c r="G464" s="929"/>
      <c r="H464" s="929"/>
      <c r="I464" s="930"/>
      <c r="J464" s="759"/>
      <c r="K464" s="759"/>
      <c r="L464" s="760"/>
      <c r="M464" s="760"/>
      <c r="N464" s="760"/>
      <c r="O464" s="759"/>
      <c r="P464" s="760"/>
      <c r="Q464" s="760"/>
      <c r="R464" s="760"/>
      <c r="S464" s="760"/>
      <c r="T464" s="760"/>
      <c r="U464" s="760"/>
      <c r="V464" s="760"/>
      <c r="W464" s="760"/>
      <c r="X464" s="760"/>
      <c r="Y464" s="760"/>
      <c r="Z464" s="760"/>
      <c r="AA464" s="760"/>
      <c r="AB464" s="760"/>
      <c r="AC464" s="760"/>
    </row>
    <row r="465" ht="15.75" customHeight="1">
      <c r="A465" s="759"/>
      <c r="B465" s="927"/>
      <c r="C465" s="760"/>
      <c r="D465" s="928"/>
      <c r="E465" s="759"/>
      <c r="F465" s="759"/>
      <c r="G465" s="929"/>
      <c r="H465" s="929"/>
      <c r="I465" s="930"/>
      <c r="J465" s="759"/>
      <c r="K465" s="759"/>
      <c r="L465" s="760"/>
      <c r="M465" s="760"/>
      <c r="N465" s="760"/>
      <c r="O465" s="759"/>
      <c r="P465" s="760"/>
      <c r="Q465" s="760"/>
      <c r="R465" s="760"/>
      <c r="S465" s="760"/>
      <c r="T465" s="760"/>
      <c r="U465" s="760"/>
      <c r="V465" s="760"/>
      <c r="W465" s="760"/>
      <c r="X465" s="760"/>
      <c r="Y465" s="760"/>
      <c r="Z465" s="760"/>
      <c r="AA465" s="760"/>
      <c r="AB465" s="760"/>
      <c r="AC465" s="760"/>
    </row>
    <row r="466" ht="15.75" customHeight="1">
      <c r="A466" s="759"/>
      <c r="B466" s="927"/>
      <c r="C466" s="760"/>
      <c r="D466" s="928"/>
      <c r="E466" s="759"/>
      <c r="F466" s="759"/>
      <c r="G466" s="929"/>
      <c r="H466" s="929"/>
      <c r="I466" s="930"/>
      <c r="J466" s="759"/>
      <c r="K466" s="759"/>
      <c r="L466" s="760"/>
      <c r="M466" s="760"/>
      <c r="N466" s="760"/>
      <c r="O466" s="759"/>
      <c r="P466" s="760"/>
      <c r="Q466" s="760"/>
      <c r="R466" s="760"/>
      <c r="S466" s="760"/>
      <c r="T466" s="760"/>
      <c r="U466" s="760"/>
      <c r="V466" s="760"/>
      <c r="W466" s="760"/>
      <c r="X466" s="760"/>
      <c r="Y466" s="760"/>
      <c r="Z466" s="760"/>
      <c r="AA466" s="760"/>
      <c r="AB466" s="760"/>
      <c r="AC466" s="760"/>
    </row>
    <row r="467" ht="15.75" customHeight="1">
      <c r="A467" s="759"/>
      <c r="B467" s="927"/>
      <c r="C467" s="760"/>
      <c r="D467" s="928"/>
      <c r="E467" s="759"/>
      <c r="F467" s="759"/>
      <c r="G467" s="929"/>
      <c r="H467" s="929"/>
      <c r="I467" s="930"/>
      <c r="J467" s="759"/>
      <c r="K467" s="759"/>
      <c r="L467" s="760"/>
      <c r="M467" s="760"/>
      <c r="N467" s="760"/>
      <c r="O467" s="759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760"/>
      <c r="AB467" s="760"/>
      <c r="AC467" s="760"/>
    </row>
    <row r="468" ht="15.75" customHeight="1">
      <c r="A468" s="759"/>
      <c r="B468" s="927"/>
      <c r="C468" s="760"/>
      <c r="D468" s="928"/>
      <c r="E468" s="759"/>
      <c r="F468" s="759"/>
      <c r="G468" s="929"/>
      <c r="H468" s="929"/>
      <c r="I468" s="930"/>
      <c r="J468" s="759"/>
      <c r="K468" s="759"/>
      <c r="L468" s="760"/>
      <c r="M468" s="760"/>
      <c r="N468" s="760"/>
      <c r="O468" s="759"/>
      <c r="P468" s="760"/>
      <c r="Q468" s="760"/>
      <c r="R468" s="760"/>
      <c r="S468" s="760"/>
      <c r="T468" s="760"/>
      <c r="U468" s="760"/>
      <c r="V468" s="760"/>
      <c r="W468" s="760"/>
      <c r="X468" s="760"/>
      <c r="Y468" s="760"/>
      <c r="Z468" s="760"/>
      <c r="AA468" s="760"/>
      <c r="AB468" s="760"/>
      <c r="AC468" s="760"/>
    </row>
    <row r="469" ht="15.75" customHeight="1">
      <c r="A469" s="759"/>
      <c r="B469" s="927"/>
      <c r="C469" s="760"/>
      <c r="D469" s="928"/>
      <c r="E469" s="759"/>
      <c r="F469" s="759"/>
      <c r="G469" s="929"/>
      <c r="H469" s="929"/>
      <c r="I469" s="930"/>
      <c r="J469" s="759"/>
      <c r="K469" s="759"/>
      <c r="L469" s="760"/>
      <c r="M469" s="760"/>
      <c r="N469" s="760"/>
      <c r="O469" s="759"/>
      <c r="P469" s="760"/>
      <c r="Q469" s="760"/>
      <c r="R469" s="760"/>
      <c r="S469" s="760"/>
      <c r="T469" s="760"/>
      <c r="U469" s="760"/>
      <c r="V469" s="760"/>
      <c r="W469" s="760"/>
      <c r="X469" s="760"/>
      <c r="Y469" s="760"/>
      <c r="Z469" s="760"/>
      <c r="AA469" s="760"/>
      <c r="AB469" s="760"/>
      <c r="AC469" s="760"/>
    </row>
    <row r="470" ht="15.75" customHeight="1">
      <c r="A470" s="759"/>
      <c r="B470" s="927"/>
      <c r="C470" s="760"/>
      <c r="D470" s="928"/>
      <c r="E470" s="759"/>
      <c r="F470" s="759"/>
      <c r="G470" s="929"/>
      <c r="H470" s="929"/>
      <c r="I470" s="930"/>
      <c r="J470" s="759"/>
      <c r="K470" s="759"/>
      <c r="L470" s="760"/>
      <c r="M470" s="760"/>
      <c r="N470" s="760"/>
      <c r="O470" s="759"/>
      <c r="P470" s="760"/>
      <c r="Q470" s="760"/>
      <c r="R470" s="760"/>
      <c r="S470" s="760"/>
      <c r="T470" s="760"/>
      <c r="U470" s="760"/>
      <c r="V470" s="760"/>
      <c r="W470" s="760"/>
      <c r="X470" s="760"/>
      <c r="Y470" s="760"/>
      <c r="Z470" s="760"/>
      <c r="AA470" s="760"/>
      <c r="AB470" s="760"/>
      <c r="AC470" s="760"/>
    </row>
    <row r="471" ht="15.75" customHeight="1">
      <c r="A471" s="759"/>
      <c r="B471" s="927"/>
      <c r="C471" s="760"/>
      <c r="D471" s="928"/>
      <c r="E471" s="759"/>
      <c r="F471" s="759"/>
      <c r="G471" s="929"/>
      <c r="H471" s="929"/>
      <c r="I471" s="930"/>
      <c r="J471" s="759"/>
      <c r="K471" s="759"/>
      <c r="L471" s="760"/>
      <c r="M471" s="760"/>
      <c r="N471" s="760"/>
      <c r="O471" s="759"/>
      <c r="P471" s="760"/>
      <c r="Q471" s="760"/>
      <c r="R471" s="760"/>
      <c r="S471" s="760"/>
      <c r="T471" s="760"/>
      <c r="U471" s="760"/>
      <c r="V471" s="760"/>
      <c r="W471" s="760"/>
      <c r="X471" s="760"/>
      <c r="Y471" s="760"/>
      <c r="Z471" s="760"/>
      <c r="AA471" s="760"/>
      <c r="AB471" s="760"/>
      <c r="AC471" s="760"/>
    </row>
    <row r="472" ht="15.75" customHeight="1">
      <c r="A472" s="759"/>
      <c r="B472" s="927"/>
      <c r="C472" s="760"/>
      <c r="D472" s="928"/>
      <c r="E472" s="759"/>
      <c r="F472" s="759"/>
      <c r="G472" s="929"/>
      <c r="H472" s="929"/>
      <c r="I472" s="930"/>
      <c r="J472" s="759"/>
      <c r="K472" s="759"/>
      <c r="L472" s="760"/>
      <c r="M472" s="760"/>
      <c r="N472" s="760"/>
      <c r="O472" s="759"/>
      <c r="P472" s="760"/>
      <c r="Q472" s="760"/>
      <c r="R472" s="760"/>
      <c r="S472" s="760"/>
      <c r="T472" s="760"/>
      <c r="U472" s="760"/>
      <c r="V472" s="760"/>
      <c r="W472" s="760"/>
      <c r="X472" s="760"/>
      <c r="Y472" s="760"/>
      <c r="Z472" s="760"/>
      <c r="AA472" s="760"/>
      <c r="AB472" s="760"/>
      <c r="AC472" s="760"/>
    </row>
    <row r="473" ht="15.75" customHeight="1">
      <c r="A473" s="759"/>
      <c r="B473" s="927"/>
      <c r="C473" s="760"/>
      <c r="D473" s="928"/>
      <c r="E473" s="759"/>
      <c r="F473" s="759"/>
      <c r="G473" s="929"/>
      <c r="H473" s="929"/>
      <c r="I473" s="930"/>
      <c r="J473" s="759"/>
      <c r="K473" s="759"/>
      <c r="L473" s="760"/>
      <c r="M473" s="760"/>
      <c r="N473" s="760"/>
      <c r="O473" s="759"/>
      <c r="P473" s="760"/>
      <c r="Q473" s="760"/>
      <c r="R473" s="760"/>
      <c r="S473" s="760"/>
      <c r="T473" s="760"/>
      <c r="U473" s="760"/>
      <c r="V473" s="760"/>
      <c r="W473" s="760"/>
      <c r="X473" s="760"/>
      <c r="Y473" s="760"/>
      <c r="Z473" s="760"/>
      <c r="AA473" s="760"/>
      <c r="AB473" s="760"/>
      <c r="AC473" s="760"/>
    </row>
    <row r="474" ht="15.75" customHeight="1">
      <c r="A474" s="759"/>
      <c r="B474" s="927"/>
      <c r="C474" s="760"/>
      <c r="D474" s="928"/>
      <c r="E474" s="759"/>
      <c r="F474" s="759"/>
      <c r="G474" s="929"/>
      <c r="H474" s="929"/>
      <c r="I474" s="930"/>
      <c r="J474" s="759"/>
      <c r="K474" s="759"/>
      <c r="L474" s="760"/>
      <c r="M474" s="760"/>
      <c r="N474" s="760"/>
      <c r="O474" s="759"/>
      <c r="P474" s="760"/>
      <c r="Q474" s="760"/>
      <c r="R474" s="760"/>
      <c r="S474" s="760"/>
      <c r="T474" s="760"/>
      <c r="U474" s="760"/>
      <c r="V474" s="760"/>
      <c r="W474" s="760"/>
      <c r="X474" s="760"/>
      <c r="Y474" s="760"/>
      <c r="Z474" s="760"/>
      <c r="AA474" s="760"/>
      <c r="AB474" s="760"/>
      <c r="AC474" s="760"/>
    </row>
    <row r="475" ht="15.75" customHeight="1">
      <c r="A475" s="759"/>
      <c r="B475" s="927"/>
      <c r="C475" s="760"/>
      <c r="D475" s="928"/>
      <c r="E475" s="759"/>
      <c r="F475" s="759"/>
      <c r="G475" s="929"/>
      <c r="H475" s="929"/>
      <c r="I475" s="930"/>
      <c r="J475" s="759"/>
      <c r="K475" s="759"/>
      <c r="L475" s="760"/>
      <c r="M475" s="760"/>
      <c r="N475" s="760"/>
      <c r="O475" s="759"/>
      <c r="P475" s="760"/>
      <c r="Q475" s="760"/>
      <c r="R475" s="760"/>
      <c r="S475" s="760"/>
      <c r="T475" s="760"/>
      <c r="U475" s="760"/>
      <c r="V475" s="760"/>
      <c r="W475" s="760"/>
      <c r="X475" s="760"/>
      <c r="Y475" s="760"/>
      <c r="Z475" s="760"/>
      <c r="AA475" s="760"/>
      <c r="AB475" s="760"/>
      <c r="AC475" s="760"/>
    </row>
    <row r="476" ht="15.75" customHeight="1">
      <c r="A476" s="759"/>
      <c r="B476" s="927"/>
      <c r="C476" s="760"/>
      <c r="D476" s="928"/>
      <c r="E476" s="759"/>
      <c r="F476" s="759"/>
      <c r="G476" s="929"/>
      <c r="H476" s="929"/>
      <c r="I476" s="930"/>
      <c r="J476" s="759"/>
      <c r="K476" s="759"/>
      <c r="L476" s="760"/>
      <c r="M476" s="760"/>
      <c r="N476" s="760"/>
      <c r="O476" s="759"/>
      <c r="P476" s="760"/>
      <c r="Q476" s="760"/>
      <c r="R476" s="760"/>
      <c r="S476" s="760"/>
      <c r="T476" s="760"/>
      <c r="U476" s="760"/>
      <c r="V476" s="760"/>
      <c r="W476" s="760"/>
      <c r="X476" s="760"/>
      <c r="Y476" s="760"/>
      <c r="Z476" s="760"/>
      <c r="AA476" s="760"/>
      <c r="AB476" s="760"/>
      <c r="AC476" s="760"/>
    </row>
    <row r="477" ht="15.75" customHeight="1">
      <c r="A477" s="759"/>
      <c r="B477" s="927"/>
      <c r="C477" s="760"/>
      <c r="D477" s="928"/>
      <c r="E477" s="759"/>
      <c r="F477" s="759"/>
      <c r="G477" s="929"/>
      <c r="H477" s="929"/>
      <c r="I477" s="930"/>
      <c r="J477" s="759"/>
      <c r="K477" s="759"/>
      <c r="L477" s="760"/>
      <c r="M477" s="760"/>
      <c r="N477" s="760"/>
      <c r="O477" s="759"/>
      <c r="P477" s="760"/>
      <c r="Q477" s="760"/>
      <c r="R477" s="760"/>
      <c r="S477" s="760"/>
      <c r="T477" s="760"/>
      <c r="U477" s="760"/>
      <c r="V477" s="760"/>
      <c r="W477" s="760"/>
      <c r="X477" s="760"/>
      <c r="Y477" s="760"/>
      <c r="Z477" s="760"/>
      <c r="AA477" s="760"/>
      <c r="AB477" s="760"/>
      <c r="AC477" s="760"/>
    </row>
    <row r="478" ht="15.75" customHeight="1">
      <c r="A478" s="759"/>
      <c r="B478" s="927"/>
      <c r="C478" s="760"/>
      <c r="D478" s="928"/>
      <c r="E478" s="759"/>
      <c r="F478" s="759"/>
      <c r="G478" s="929"/>
      <c r="H478" s="929"/>
      <c r="I478" s="930"/>
      <c r="J478" s="759"/>
      <c r="K478" s="759"/>
      <c r="L478" s="760"/>
      <c r="M478" s="760"/>
      <c r="N478" s="760"/>
      <c r="O478" s="759"/>
      <c r="P478" s="760"/>
      <c r="Q478" s="760"/>
      <c r="R478" s="760"/>
      <c r="S478" s="760"/>
      <c r="T478" s="760"/>
      <c r="U478" s="760"/>
      <c r="V478" s="760"/>
      <c r="W478" s="760"/>
      <c r="X478" s="760"/>
      <c r="Y478" s="760"/>
      <c r="Z478" s="760"/>
      <c r="AA478" s="760"/>
      <c r="AB478" s="760"/>
      <c r="AC478" s="760"/>
    </row>
    <row r="479" ht="15.75" customHeight="1">
      <c r="A479" s="759"/>
      <c r="B479" s="927"/>
      <c r="C479" s="760"/>
      <c r="D479" s="928"/>
      <c r="E479" s="759"/>
      <c r="F479" s="759"/>
      <c r="G479" s="929"/>
      <c r="H479" s="929"/>
      <c r="I479" s="930"/>
      <c r="J479" s="759"/>
      <c r="K479" s="759"/>
      <c r="L479" s="760"/>
      <c r="M479" s="760"/>
      <c r="N479" s="760"/>
      <c r="O479" s="759"/>
      <c r="P479" s="760"/>
      <c r="Q479" s="760"/>
      <c r="R479" s="760"/>
      <c r="S479" s="760"/>
      <c r="T479" s="760"/>
      <c r="U479" s="760"/>
      <c r="V479" s="760"/>
      <c r="W479" s="760"/>
      <c r="X479" s="760"/>
      <c r="Y479" s="760"/>
      <c r="Z479" s="760"/>
      <c r="AA479" s="760"/>
      <c r="AB479" s="760"/>
      <c r="AC479" s="760"/>
    </row>
    <row r="480" ht="15.75" customHeight="1">
      <c r="A480" s="759"/>
      <c r="B480" s="927"/>
      <c r="C480" s="760"/>
      <c r="D480" s="928"/>
      <c r="E480" s="759"/>
      <c r="F480" s="759"/>
      <c r="G480" s="929"/>
      <c r="H480" s="929"/>
      <c r="I480" s="930"/>
      <c r="J480" s="759"/>
      <c r="K480" s="759"/>
      <c r="L480" s="760"/>
      <c r="M480" s="760"/>
      <c r="N480" s="760"/>
      <c r="O480" s="759"/>
      <c r="P480" s="760"/>
      <c r="Q480" s="760"/>
      <c r="R480" s="760"/>
      <c r="S480" s="760"/>
      <c r="T480" s="760"/>
      <c r="U480" s="760"/>
      <c r="V480" s="760"/>
      <c r="W480" s="760"/>
      <c r="X480" s="760"/>
      <c r="Y480" s="760"/>
      <c r="Z480" s="760"/>
      <c r="AA480" s="760"/>
      <c r="AB480" s="760"/>
      <c r="AC480" s="760"/>
    </row>
    <row r="481" ht="15.75" customHeight="1">
      <c r="A481" s="759"/>
      <c r="B481" s="927"/>
      <c r="C481" s="760"/>
      <c r="D481" s="928"/>
      <c r="E481" s="759"/>
      <c r="F481" s="759"/>
      <c r="G481" s="929"/>
      <c r="H481" s="929"/>
      <c r="I481" s="930"/>
      <c r="J481" s="759"/>
      <c r="K481" s="759"/>
      <c r="L481" s="760"/>
      <c r="M481" s="760"/>
      <c r="N481" s="760"/>
      <c r="O481" s="759"/>
      <c r="P481" s="760"/>
      <c r="Q481" s="760"/>
      <c r="R481" s="760"/>
      <c r="S481" s="760"/>
      <c r="T481" s="760"/>
      <c r="U481" s="760"/>
      <c r="V481" s="760"/>
      <c r="W481" s="760"/>
      <c r="X481" s="760"/>
      <c r="Y481" s="760"/>
      <c r="Z481" s="760"/>
      <c r="AA481" s="760"/>
      <c r="AB481" s="760"/>
      <c r="AC481" s="760"/>
    </row>
    <row r="482" ht="15.75" customHeight="1">
      <c r="A482" s="759"/>
      <c r="B482" s="927"/>
      <c r="C482" s="760"/>
      <c r="D482" s="928"/>
      <c r="E482" s="759"/>
      <c r="F482" s="759"/>
      <c r="G482" s="929"/>
      <c r="H482" s="929"/>
      <c r="I482" s="930"/>
      <c r="J482" s="759"/>
      <c r="K482" s="759"/>
      <c r="L482" s="760"/>
      <c r="M482" s="760"/>
      <c r="N482" s="760"/>
      <c r="O482" s="759"/>
      <c r="P482" s="760"/>
      <c r="Q482" s="760"/>
      <c r="R482" s="760"/>
      <c r="S482" s="760"/>
      <c r="T482" s="760"/>
      <c r="U482" s="760"/>
      <c r="V482" s="760"/>
      <c r="W482" s="760"/>
      <c r="X482" s="760"/>
      <c r="Y482" s="760"/>
      <c r="Z482" s="760"/>
      <c r="AA482" s="760"/>
      <c r="AB482" s="760"/>
      <c r="AC482" s="760"/>
    </row>
    <row r="483" ht="15.75" customHeight="1">
      <c r="A483" s="759"/>
      <c r="B483" s="927"/>
      <c r="C483" s="760"/>
      <c r="D483" s="928"/>
      <c r="E483" s="759"/>
      <c r="F483" s="759"/>
      <c r="G483" s="929"/>
      <c r="H483" s="929"/>
      <c r="I483" s="930"/>
      <c r="J483" s="759"/>
      <c r="K483" s="759"/>
      <c r="L483" s="760"/>
      <c r="M483" s="760"/>
      <c r="N483" s="760"/>
      <c r="O483" s="759"/>
      <c r="P483" s="760"/>
      <c r="Q483" s="760"/>
      <c r="R483" s="760"/>
      <c r="S483" s="760"/>
      <c r="T483" s="760"/>
      <c r="U483" s="760"/>
      <c r="V483" s="760"/>
      <c r="W483" s="760"/>
      <c r="X483" s="760"/>
      <c r="Y483" s="760"/>
      <c r="Z483" s="760"/>
      <c r="AA483" s="760"/>
      <c r="AB483" s="760"/>
      <c r="AC483" s="760"/>
    </row>
    <row r="484" ht="15.75" customHeight="1">
      <c r="A484" s="759"/>
      <c r="B484" s="927"/>
      <c r="C484" s="760"/>
      <c r="D484" s="928"/>
      <c r="E484" s="759"/>
      <c r="F484" s="759"/>
      <c r="G484" s="929"/>
      <c r="H484" s="929"/>
      <c r="I484" s="930"/>
      <c r="J484" s="759"/>
      <c r="K484" s="759"/>
      <c r="L484" s="760"/>
      <c r="M484" s="760"/>
      <c r="N484" s="760"/>
      <c r="O484" s="759"/>
      <c r="P484" s="760"/>
      <c r="Q484" s="760"/>
      <c r="R484" s="760"/>
      <c r="S484" s="760"/>
      <c r="T484" s="760"/>
      <c r="U484" s="760"/>
      <c r="V484" s="760"/>
      <c r="W484" s="760"/>
      <c r="X484" s="760"/>
      <c r="Y484" s="760"/>
      <c r="Z484" s="760"/>
      <c r="AA484" s="760"/>
      <c r="AB484" s="760"/>
      <c r="AC484" s="760"/>
    </row>
    <row r="485" ht="15.75" customHeight="1">
      <c r="A485" s="759"/>
      <c r="B485" s="927"/>
      <c r="C485" s="760"/>
      <c r="D485" s="928"/>
      <c r="E485" s="759"/>
      <c r="F485" s="759"/>
      <c r="G485" s="929"/>
      <c r="H485" s="929"/>
      <c r="I485" s="930"/>
      <c r="J485" s="759"/>
      <c r="K485" s="759"/>
      <c r="L485" s="760"/>
      <c r="M485" s="760"/>
      <c r="N485" s="760"/>
      <c r="O485" s="759"/>
      <c r="P485" s="760"/>
      <c r="Q485" s="760"/>
      <c r="R485" s="760"/>
      <c r="S485" s="760"/>
      <c r="T485" s="760"/>
      <c r="U485" s="760"/>
      <c r="V485" s="760"/>
      <c r="W485" s="760"/>
      <c r="X485" s="760"/>
      <c r="Y485" s="760"/>
      <c r="Z485" s="760"/>
      <c r="AA485" s="760"/>
      <c r="AB485" s="760"/>
      <c r="AC485" s="760"/>
    </row>
    <row r="486" ht="15.75" customHeight="1">
      <c r="A486" s="759"/>
      <c r="B486" s="927"/>
      <c r="C486" s="760"/>
      <c r="D486" s="928"/>
      <c r="E486" s="759"/>
      <c r="F486" s="759"/>
      <c r="G486" s="929"/>
      <c r="H486" s="929"/>
      <c r="I486" s="930"/>
      <c r="J486" s="759"/>
      <c r="K486" s="759"/>
      <c r="L486" s="760"/>
      <c r="M486" s="760"/>
      <c r="N486" s="760"/>
      <c r="O486" s="759"/>
      <c r="P486" s="760"/>
      <c r="Q486" s="760"/>
      <c r="R486" s="760"/>
      <c r="S486" s="760"/>
      <c r="T486" s="760"/>
      <c r="U486" s="760"/>
      <c r="V486" s="760"/>
      <c r="W486" s="760"/>
      <c r="X486" s="760"/>
      <c r="Y486" s="760"/>
      <c r="Z486" s="760"/>
      <c r="AA486" s="760"/>
      <c r="AB486" s="760"/>
      <c r="AC486" s="760"/>
    </row>
    <row r="487" ht="15.75" customHeight="1">
      <c r="A487" s="759"/>
      <c r="B487" s="927"/>
      <c r="C487" s="760"/>
      <c r="D487" s="928"/>
      <c r="E487" s="759"/>
      <c r="F487" s="759"/>
      <c r="G487" s="929"/>
      <c r="H487" s="929"/>
      <c r="I487" s="930"/>
      <c r="J487" s="759"/>
      <c r="K487" s="759"/>
      <c r="L487" s="760"/>
      <c r="M487" s="760"/>
      <c r="N487" s="760"/>
      <c r="O487" s="759"/>
      <c r="P487" s="760"/>
      <c r="Q487" s="760"/>
      <c r="R487" s="760"/>
      <c r="S487" s="760"/>
      <c r="T487" s="760"/>
      <c r="U487" s="760"/>
      <c r="V487" s="760"/>
      <c r="W487" s="760"/>
      <c r="X487" s="760"/>
      <c r="Y487" s="760"/>
      <c r="Z487" s="760"/>
      <c r="AA487" s="760"/>
      <c r="AB487" s="760"/>
      <c r="AC487" s="760"/>
    </row>
    <row r="488" ht="15.75" customHeight="1">
      <c r="A488" s="759"/>
      <c r="B488" s="927"/>
      <c r="C488" s="760"/>
      <c r="D488" s="928"/>
      <c r="E488" s="759"/>
      <c r="F488" s="759"/>
      <c r="G488" s="929"/>
      <c r="H488" s="929"/>
      <c r="I488" s="930"/>
      <c r="J488" s="759"/>
      <c r="K488" s="759"/>
      <c r="L488" s="760"/>
      <c r="M488" s="760"/>
      <c r="N488" s="760"/>
      <c r="O488" s="759"/>
      <c r="P488" s="760"/>
      <c r="Q488" s="760"/>
      <c r="R488" s="760"/>
      <c r="S488" s="760"/>
      <c r="T488" s="760"/>
      <c r="U488" s="760"/>
      <c r="V488" s="760"/>
      <c r="W488" s="760"/>
      <c r="X488" s="760"/>
      <c r="Y488" s="760"/>
      <c r="Z488" s="760"/>
      <c r="AA488" s="760"/>
      <c r="AB488" s="760"/>
      <c r="AC488" s="760"/>
    </row>
    <row r="489" ht="15.75" customHeight="1">
      <c r="A489" s="759"/>
      <c r="B489" s="927"/>
      <c r="C489" s="760"/>
      <c r="D489" s="928"/>
      <c r="E489" s="759"/>
      <c r="F489" s="759"/>
      <c r="G489" s="929"/>
      <c r="H489" s="929"/>
      <c r="I489" s="930"/>
      <c r="J489" s="759"/>
      <c r="K489" s="759"/>
      <c r="L489" s="760"/>
      <c r="M489" s="760"/>
      <c r="N489" s="760"/>
      <c r="O489" s="759"/>
      <c r="P489" s="760"/>
      <c r="Q489" s="760"/>
      <c r="R489" s="760"/>
      <c r="S489" s="760"/>
      <c r="T489" s="760"/>
      <c r="U489" s="760"/>
      <c r="V489" s="760"/>
      <c r="W489" s="760"/>
      <c r="X489" s="760"/>
      <c r="Y489" s="760"/>
      <c r="Z489" s="760"/>
      <c r="AA489" s="760"/>
      <c r="AB489" s="760"/>
      <c r="AC489" s="760"/>
    </row>
    <row r="490" ht="15.75" customHeight="1">
      <c r="A490" s="759"/>
      <c r="B490" s="927"/>
      <c r="C490" s="760"/>
      <c r="D490" s="928"/>
      <c r="E490" s="759"/>
      <c r="F490" s="759"/>
      <c r="G490" s="929"/>
      <c r="H490" s="929"/>
      <c r="I490" s="930"/>
      <c r="J490" s="759"/>
      <c r="K490" s="759"/>
      <c r="L490" s="760"/>
      <c r="M490" s="760"/>
      <c r="N490" s="760"/>
      <c r="O490" s="759"/>
      <c r="P490" s="760"/>
      <c r="Q490" s="760"/>
      <c r="R490" s="760"/>
      <c r="S490" s="760"/>
      <c r="T490" s="760"/>
      <c r="U490" s="760"/>
      <c r="V490" s="760"/>
      <c r="W490" s="760"/>
      <c r="X490" s="760"/>
      <c r="Y490" s="760"/>
      <c r="Z490" s="760"/>
      <c r="AA490" s="760"/>
      <c r="AB490" s="760"/>
      <c r="AC490" s="760"/>
    </row>
    <row r="491" ht="15.75" customHeight="1">
      <c r="A491" s="759"/>
      <c r="B491" s="927"/>
      <c r="C491" s="760"/>
      <c r="D491" s="928"/>
      <c r="E491" s="759"/>
      <c r="F491" s="759"/>
      <c r="G491" s="929"/>
      <c r="H491" s="929"/>
      <c r="I491" s="930"/>
      <c r="J491" s="759"/>
      <c r="K491" s="759"/>
      <c r="L491" s="760"/>
      <c r="M491" s="760"/>
      <c r="N491" s="760"/>
      <c r="O491" s="759"/>
      <c r="P491" s="760"/>
      <c r="Q491" s="760"/>
      <c r="R491" s="760"/>
      <c r="S491" s="760"/>
      <c r="T491" s="760"/>
      <c r="U491" s="760"/>
      <c r="V491" s="760"/>
      <c r="W491" s="760"/>
      <c r="X491" s="760"/>
      <c r="Y491" s="760"/>
      <c r="Z491" s="760"/>
      <c r="AA491" s="760"/>
      <c r="AB491" s="760"/>
      <c r="AC491" s="760"/>
    </row>
    <row r="492" ht="15.75" customHeight="1">
      <c r="A492" s="759"/>
      <c r="B492" s="927"/>
      <c r="C492" s="760"/>
      <c r="D492" s="928"/>
      <c r="E492" s="759"/>
      <c r="F492" s="759"/>
      <c r="G492" s="929"/>
      <c r="H492" s="929"/>
      <c r="I492" s="930"/>
      <c r="J492" s="759"/>
      <c r="K492" s="759"/>
      <c r="L492" s="760"/>
      <c r="M492" s="760"/>
      <c r="N492" s="760"/>
      <c r="O492" s="759"/>
      <c r="P492" s="760"/>
      <c r="Q492" s="760"/>
      <c r="R492" s="760"/>
      <c r="S492" s="760"/>
      <c r="T492" s="760"/>
      <c r="U492" s="760"/>
      <c r="V492" s="760"/>
      <c r="W492" s="760"/>
      <c r="X492" s="760"/>
      <c r="Y492" s="760"/>
      <c r="Z492" s="760"/>
      <c r="AA492" s="760"/>
      <c r="AB492" s="760"/>
      <c r="AC492" s="760"/>
    </row>
    <row r="493" ht="15.75" customHeight="1">
      <c r="A493" s="759"/>
      <c r="B493" s="927"/>
      <c r="C493" s="760"/>
      <c r="D493" s="928"/>
      <c r="E493" s="759"/>
      <c r="F493" s="759"/>
      <c r="G493" s="929"/>
      <c r="H493" s="929"/>
      <c r="I493" s="930"/>
      <c r="J493" s="759"/>
      <c r="K493" s="759"/>
      <c r="L493" s="760"/>
      <c r="M493" s="760"/>
      <c r="N493" s="760"/>
      <c r="O493" s="759"/>
      <c r="P493" s="760"/>
      <c r="Q493" s="760"/>
      <c r="R493" s="760"/>
      <c r="S493" s="760"/>
      <c r="T493" s="760"/>
      <c r="U493" s="760"/>
      <c r="V493" s="760"/>
      <c r="W493" s="760"/>
      <c r="X493" s="760"/>
      <c r="Y493" s="760"/>
      <c r="Z493" s="760"/>
      <c r="AA493" s="760"/>
      <c r="AB493" s="760"/>
      <c r="AC493" s="760"/>
    </row>
    <row r="494" ht="15.75" customHeight="1">
      <c r="A494" s="759"/>
      <c r="B494" s="927"/>
      <c r="C494" s="760"/>
      <c r="D494" s="928"/>
      <c r="E494" s="759"/>
      <c r="F494" s="759"/>
      <c r="G494" s="929"/>
      <c r="H494" s="929"/>
      <c r="I494" s="930"/>
      <c r="J494" s="759"/>
      <c r="K494" s="759"/>
      <c r="L494" s="760"/>
      <c r="M494" s="760"/>
      <c r="N494" s="760"/>
      <c r="O494" s="759"/>
      <c r="P494" s="760"/>
      <c r="Q494" s="760"/>
      <c r="R494" s="760"/>
      <c r="S494" s="760"/>
      <c r="T494" s="760"/>
      <c r="U494" s="760"/>
      <c r="V494" s="760"/>
      <c r="W494" s="760"/>
      <c r="X494" s="760"/>
      <c r="Y494" s="760"/>
      <c r="Z494" s="760"/>
      <c r="AA494" s="760"/>
      <c r="AB494" s="760"/>
      <c r="AC494" s="760"/>
    </row>
    <row r="495" ht="15.75" customHeight="1">
      <c r="A495" s="759"/>
      <c r="B495" s="927"/>
      <c r="C495" s="760"/>
      <c r="D495" s="928"/>
      <c r="E495" s="759"/>
      <c r="F495" s="759"/>
      <c r="G495" s="929"/>
      <c r="H495" s="929"/>
      <c r="I495" s="930"/>
      <c r="J495" s="759"/>
      <c r="K495" s="759"/>
      <c r="L495" s="760"/>
      <c r="M495" s="760"/>
      <c r="N495" s="760"/>
      <c r="O495" s="759"/>
      <c r="P495" s="760"/>
      <c r="Q495" s="760"/>
      <c r="R495" s="760"/>
      <c r="S495" s="760"/>
      <c r="T495" s="760"/>
      <c r="U495" s="760"/>
      <c r="V495" s="760"/>
      <c r="W495" s="760"/>
      <c r="X495" s="760"/>
      <c r="Y495" s="760"/>
      <c r="Z495" s="760"/>
      <c r="AA495" s="760"/>
      <c r="AB495" s="760"/>
      <c r="AC495" s="760"/>
    </row>
    <row r="496" ht="15.75" customHeight="1">
      <c r="A496" s="759"/>
      <c r="B496" s="927"/>
      <c r="C496" s="760"/>
      <c r="D496" s="928"/>
      <c r="E496" s="759"/>
      <c r="F496" s="759"/>
      <c r="G496" s="929"/>
      <c r="H496" s="929"/>
      <c r="I496" s="930"/>
      <c r="J496" s="759"/>
      <c r="K496" s="759"/>
      <c r="L496" s="760"/>
      <c r="M496" s="760"/>
      <c r="N496" s="760"/>
      <c r="O496" s="759"/>
      <c r="P496" s="760"/>
      <c r="Q496" s="760"/>
      <c r="R496" s="760"/>
      <c r="S496" s="760"/>
      <c r="T496" s="760"/>
      <c r="U496" s="760"/>
      <c r="V496" s="760"/>
      <c r="W496" s="760"/>
      <c r="X496" s="760"/>
      <c r="Y496" s="760"/>
      <c r="Z496" s="760"/>
      <c r="AA496" s="760"/>
      <c r="AB496" s="760"/>
      <c r="AC496" s="760"/>
    </row>
    <row r="497" ht="15.75" customHeight="1">
      <c r="A497" s="759"/>
      <c r="B497" s="927"/>
      <c r="C497" s="760"/>
      <c r="D497" s="928"/>
      <c r="E497" s="759"/>
      <c r="F497" s="759"/>
      <c r="G497" s="929"/>
      <c r="H497" s="929"/>
      <c r="I497" s="930"/>
      <c r="J497" s="759"/>
      <c r="K497" s="759"/>
      <c r="L497" s="760"/>
      <c r="M497" s="760"/>
      <c r="N497" s="760"/>
      <c r="O497" s="759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760"/>
      <c r="AB497" s="760"/>
      <c r="AC497" s="760"/>
    </row>
    <row r="498" ht="15.75" customHeight="1">
      <c r="A498" s="759"/>
      <c r="B498" s="927"/>
      <c r="C498" s="760"/>
      <c r="D498" s="928"/>
      <c r="E498" s="759"/>
      <c r="F498" s="759"/>
      <c r="G498" s="929"/>
      <c r="H498" s="929"/>
      <c r="I498" s="930"/>
      <c r="J498" s="759"/>
      <c r="K498" s="759"/>
      <c r="L498" s="760"/>
      <c r="M498" s="760"/>
      <c r="N498" s="760"/>
      <c r="O498" s="759"/>
      <c r="P498" s="760"/>
      <c r="Q498" s="760"/>
      <c r="R498" s="760"/>
      <c r="S498" s="760"/>
      <c r="T498" s="760"/>
      <c r="U498" s="760"/>
      <c r="V498" s="760"/>
      <c r="W498" s="760"/>
      <c r="X498" s="760"/>
      <c r="Y498" s="760"/>
      <c r="Z498" s="760"/>
      <c r="AA498" s="760"/>
      <c r="AB498" s="760"/>
      <c r="AC498" s="760"/>
    </row>
    <row r="499" ht="15.75" customHeight="1">
      <c r="A499" s="759"/>
      <c r="B499" s="927"/>
      <c r="C499" s="760"/>
      <c r="D499" s="928"/>
      <c r="E499" s="759"/>
      <c r="F499" s="759"/>
      <c r="G499" s="929"/>
      <c r="H499" s="929"/>
      <c r="I499" s="930"/>
      <c r="J499" s="759"/>
      <c r="K499" s="759"/>
      <c r="L499" s="760"/>
      <c r="M499" s="760"/>
      <c r="N499" s="760"/>
      <c r="O499" s="759"/>
      <c r="P499" s="760"/>
      <c r="Q499" s="760"/>
      <c r="R499" s="760"/>
      <c r="S499" s="760"/>
      <c r="T499" s="760"/>
      <c r="U499" s="760"/>
      <c r="V499" s="760"/>
      <c r="W499" s="760"/>
      <c r="X499" s="760"/>
      <c r="Y499" s="760"/>
      <c r="Z499" s="760"/>
      <c r="AA499" s="760"/>
      <c r="AB499" s="760"/>
      <c r="AC499" s="760"/>
    </row>
    <row r="500" ht="15.75" customHeight="1">
      <c r="A500" s="759"/>
      <c r="B500" s="927"/>
      <c r="C500" s="760"/>
      <c r="D500" s="928"/>
      <c r="E500" s="759"/>
      <c r="F500" s="759"/>
      <c r="G500" s="929"/>
      <c r="H500" s="929"/>
      <c r="I500" s="930"/>
      <c r="J500" s="759"/>
      <c r="K500" s="759"/>
      <c r="L500" s="760"/>
      <c r="M500" s="760"/>
      <c r="N500" s="760"/>
      <c r="O500" s="759"/>
      <c r="P500" s="760"/>
      <c r="Q500" s="760"/>
      <c r="R500" s="760"/>
      <c r="S500" s="760"/>
      <c r="T500" s="760"/>
      <c r="U500" s="760"/>
      <c r="V500" s="760"/>
      <c r="W500" s="760"/>
      <c r="X500" s="760"/>
      <c r="Y500" s="760"/>
      <c r="Z500" s="760"/>
      <c r="AA500" s="760"/>
      <c r="AB500" s="760"/>
      <c r="AC500" s="760"/>
    </row>
    <row r="501" ht="15.75" customHeight="1">
      <c r="A501" s="759"/>
      <c r="B501" s="927"/>
      <c r="C501" s="760"/>
      <c r="D501" s="928"/>
      <c r="E501" s="759"/>
      <c r="F501" s="759"/>
      <c r="G501" s="929"/>
      <c r="H501" s="929"/>
      <c r="I501" s="930"/>
      <c r="J501" s="759"/>
      <c r="K501" s="759"/>
      <c r="L501" s="760"/>
      <c r="M501" s="760"/>
      <c r="N501" s="760"/>
      <c r="O501" s="759"/>
      <c r="P501" s="760"/>
      <c r="Q501" s="760"/>
      <c r="R501" s="760"/>
      <c r="S501" s="760"/>
      <c r="T501" s="760"/>
      <c r="U501" s="760"/>
      <c r="V501" s="760"/>
      <c r="W501" s="760"/>
      <c r="X501" s="760"/>
      <c r="Y501" s="760"/>
      <c r="Z501" s="760"/>
      <c r="AA501" s="760"/>
      <c r="AB501" s="760"/>
      <c r="AC501" s="760"/>
    </row>
    <row r="502" ht="15.75" customHeight="1">
      <c r="A502" s="759"/>
      <c r="B502" s="927"/>
      <c r="C502" s="760"/>
      <c r="D502" s="928"/>
      <c r="E502" s="759"/>
      <c r="F502" s="759"/>
      <c r="G502" s="929"/>
      <c r="H502" s="929"/>
      <c r="I502" s="930"/>
      <c r="J502" s="759"/>
      <c r="K502" s="759"/>
      <c r="L502" s="760"/>
      <c r="M502" s="760"/>
      <c r="N502" s="760"/>
      <c r="O502" s="759"/>
      <c r="P502" s="760"/>
      <c r="Q502" s="760"/>
      <c r="R502" s="760"/>
      <c r="S502" s="760"/>
      <c r="T502" s="760"/>
      <c r="U502" s="760"/>
      <c r="V502" s="760"/>
      <c r="W502" s="760"/>
      <c r="X502" s="760"/>
      <c r="Y502" s="760"/>
      <c r="Z502" s="760"/>
      <c r="AA502" s="760"/>
      <c r="AB502" s="760"/>
      <c r="AC502" s="760"/>
    </row>
    <row r="503" ht="15.75" customHeight="1">
      <c r="A503" s="759"/>
      <c r="B503" s="927"/>
      <c r="C503" s="760"/>
      <c r="D503" s="928"/>
      <c r="E503" s="759"/>
      <c r="F503" s="759"/>
      <c r="G503" s="929"/>
      <c r="H503" s="929"/>
      <c r="I503" s="930"/>
      <c r="J503" s="759"/>
      <c r="K503" s="759"/>
      <c r="L503" s="760"/>
      <c r="M503" s="760"/>
      <c r="N503" s="760"/>
      <c r="O503" s="759"/>
      <c r="P503" s="760"/>
      <c r="Q503" s="760"/>
      <c r="R503" s="760"/>
      <c r="S503" s="760"/>
      <c r="T503" s="760"/>
      <c r="U503" s="760"/>
      <c r="V503" s="760"/>
      <c r="W503" s="760"/>
      <c r="X503" s="760"/>
      <c r="Y503" s="760"/>
      <c r="Z503" s="760"/>
      <c r="AA503" s="760"/>
      <c r="AB503" s="760"/>
      <c r="AC503" s="760"/>
    </row>
    <row r="504" ht="15.75" customHeight="1">
      <c r="A504" s="759"/>
      <c r="B504" s="927"/>
      <c r="C504" s="760"/>
      <c r="D504" s="928"/>
      <c r="E504" s="759"/>
      <c r="F504" s="759"/>
      <c r="G504" s="929"/>
      <c r="H504" s="929"/>
      <c r="I504" s="930"/>
      <c r="J504" s="759"/>
      <c r="K504" s="759"/>
      <c r="L504" s="760"/>
      <c r="M504" s="760"/>
      <c r="N504" s="760"/>
      <c r="O504" s="759"/>
      <c r="P504" s="760"/>
      <c r="Q504" s="760"/>
      <c r="R504" s="760"/>
      <c r="S504" s="760"/>
      <c r="T504" s="760"/>
      <c r="U504" s="760"/>
      <c r="V504" s="760"/>
      <c r="W504" s="760"/>
      <c r="X504" s="760"/>
      <c r="Y504" s="760"/>
      <c r="Z504" s="760"/>
      <c r="AA504" s="760"/>
      <c r="AB504" s="760"/>
      <c r="AC504" s="760"/>
    </row>
    <row r="505" ht="15.75" customHeight="1">
      <c r="A505" s="759"/>
      <c r="B505" s="927"/>
      <c r="C505" s="760"/>
      <c r="D505" s="928"/>
      <c r="E505" s="759"/>
      <c r="F505" s="759"/>
      <c r="G505" s="929"/>
      <c r="H505" s="929"/>
      <c r="I505" s="930"/>
      <c r="J505" s="759"/>
      <c r="K505" s="759"/>
      <c r="L505" s="760"/>
      <c r="M505" s="760"/>
      <c r="N505" s="760"/>
      <c r="O505" s="759"/>
      <c r="P505" s="760"/>
      <c r="Q505" s="760"/>
      <c r="R505" s="760"/>
      <c r="S505" s="760"/>
      <c r="T505" s="760"/>
      <c r="U505" s="760"/>
      <c r="V505" s="760"/>
      <c r="W505" s="760"/>
      <c r="X505" s="760"/>
      <c r="Y505" s="760"/>
      <c r="Z505" s="760"/>
      <c r="AA505" s="760"/>
      <c r="AB505" s="760"/>
      <c r="AC505" s="760"/>
    </row>
    <row r="506" ht="15.75" customHeight="1">
      <c r="A506" s="759"/>
      <c r="B506" s="927"/>
      <c r="C506" s="760"/>
      <c r="D506" s="928"/>
      <c r="E506" s="759"/>
      <c r="F506" s="759"/>
      <c r="G506" s="929"/>
      <c r="H506" s="929"/>
      <c r="I506" s="930"/>
      <c r="J506" s="759"/>
      <c r="K506" s="759"/>
      <c r="L506" s="760"/>
      <c r="M506" s="760"/>
      <c r="N506" s="760"/>
      <c r="O506" s="759"/>
      <c r="P506" s="760"/>
      <c r="Q506" s="760"/>
      <c r="R506" s="760"/>
      <c r="S506" s="760"/>
      <c r="T506" s="760"/>
      <c r="U506" s="760"/>
      <c r="V506" s="760"/>
      <c r="W506" s="760"/>
      <c r="X506" s="760"/>
      <c r="Y506" s="760"/>
      <c r="Z506" s="760"/>
      <c r="AA506" s="760"/>
      <c r="AB506" s="760"/>
      <c r="AC506" s="760"/>
    </row>
    <row r="507" ht="15.75" customHeight="1">
      <c r="A507" s="759"/>
      <c r="B507" s="927"/>
      <c r="C507" s="760"/>
      <c r="D507" s="928"/>
      <c r="E507" s="759"/>
      <c r="F507" s="759"/>
      <c r="G507" s="929"/>
      <c r="H507" s="929"/>
      <c r="I507" s="930"/>
      <c r="J507" s="759"/>
      <c r="K507" s="759"/>
      <c r="L507" s="760"/>
      <c r="M507" s="760"/>
      <c r="N507" s="760"/>
      <c r="O507" s="759"/>
      <c r="P507" s="760"/>
      <c r="Q507" s="760"/>
      <c r="R507" s="760"/>
      <c r="S507" s="760"/>
      <c r="T507" s="760"/>
      <c r="U507" s="760"/>
      <c r="V507" s="760"/>
      <c r="W507" s="760"/>
      <c r="X507" s="760"/>
      <c r="Y507" s="760"/>
      <c r="Z507" s="760"/>
      <c r="AA507" s="760"/>
      <c r="AB507" s="760"/>
      <c r="AC507" s="760"/>
    </row>
    <row r="508" ht="15.75" customHeight="1">
      <c r="A508" s="759"/>
      <c r="B508" s="927"/>
      <c r="C508" s="760"/>
      <c r="D508" s="928"/>
      <c r="E508" s="759"/>
      <c r="F508" s="759"/>
      <c r="G508" s="929"/>
      <c r="H508" s="929"/>
      <c r="I508" s="930"/>
      <c r="J508" s="759"/>
      <c r="K508" s="759"/>
      <c r="L508" s="760"/>
      <c r="M508" s="760"/>
      <c r="N508" s="760"/>
      <c r="O508" s="759"/>
      <c r="P508" s="760"/>
      <c r="Q508" s="760"/>
      <c r="R508" s="760"/>
      <c r="S508" s="760"/>
      <c r="T508" s="760"/>
      <c r="U508" s="760"/>
      <c r="V508" s="760"/>
      <c r="W508" s="760"/>
      <c r="X508" s="760"/>
      <c r="Y508" s="760"/>
      <c r="Z508" s="760"/>
      <c r="AA508" s="760"/>
      <c r="AB508" s="760"/>
      <c r="AC508" s="760"/>
    </row>
    <row r="509" ht="15.75" customHeight="1">
      <c r="A509" s="759"/>
      <c r="B509" s="927"/>
      <c r="C509" s="760"/>
      <c r="D509" s="928"/>
      <c r="E509" s="759"/>
      <c r="F509" s="759"/>
      <c r="G509" s="929"/>
      <c r="H509" s="929"/>
      <c r="I509" s="930"/>
      <c r="J509" s="759"/>
      <c r="K509" s="759"/>
      <c r="L509" s="760"/>
      <c r="M509" s="760"/>
      <c r="N509" s="760"/>
      <c r="O509" s="759"/>
      <c r="P509" s="760"/>
      <c r="Q509" s="760"/>
      <c r="R509" s="760"/>
      <c r="S509" s="760"/>
      <c r="T509" s="760"/>
      <c r="U509" s="760"/>
      <c r="V509" s="760"/>
      <c r="W509" s="760"/>
      <c r="X509" s="760"/>
      <c r="Y509" s="760"/>
      <c r="Z509" s="760"/>
      <c r="AA509" s="760"/>
      <c r="AB509" s="760"/>
      <c r="AC509" s="760"/>
    </row>
    <row r="510" ht="15.75" customHeight="1">
      <c r="A510" s="759"/>
      <c r="B510" s="927"/>
      <c r="C510" s="760"/>
      <c r="D510" s="928"/>
      <c r="E510" s="759"/>
      <c r="F510" s="759"/>
      <c r="G510" s="929"/>
      <c r="H510" s="929"/>
      <c r="I510" s="930"/>
      <c r="J510" s="759"/>
      <c r="K510" s="759"/>
      <c r="L510" s="760"/>
      <c r="M510" s="760"/>
      <c r="N510" s="760"/>
      <c r="O510" s="759"/>
      <c r="P510" s="760"/>
      <c r="Q510" s="760"/>
      <c r="R510" s="760"/>
      <c r="S510" s="760"/>
      <c r="T510" s="760"/>
      <c r="U510" s="760"/>
      <c r="V510" s="760"/>
      <c r="W510" s="760"/>
      <c r="X510" s="760"/>
      <c r="Y510" s="760"/>
      <c r="Z510" s="760"/>
      <c r="AA510" s="760"/>
      <c r="AB510" s="760"/>
      <c r="AC510" s="760"/>
    </row>
    <row r="511" ht="15.75" customHeight="1">
      <c r="A511" s="759"/>
      <c r="B511" s="927"/>
      <c r="C511" s="760"/>
      <c r="D511" s="928"/>
      <c r="E511" s="759"/>
      <c r="F511" s="759"/>
      <c r="G511" s="929"/>
      <c r="H511" s="929"/>
      <c r="I511" s="930"/>
      <c r="J511" s="759"/>
      <c r="K511" s="759"/>
      <c r="L511" s="760"/>
      <c r="M511" s="760"/>
      <c r="N511" s="760"/>
      <c r="O511" s="759"/>
      <c r="P511" s="760"/>
      <c r="Q511" s="760"/>
      <c r="R511" s="760"/>
      <c r="S511" s="760"/>
      <c r="T511" s="760"/>
      <c r="U511" s="760"/>
      <c r="V511" s="760"/>
      <c r="W511" s="760"/>
      <c r="X511" s="760"/>
      <c r="Y511" s="760"/>
      <c r="Z511" s="760"/>
      <c r="AA511" s="760"/>
      <c r="AB511" s="760"/>
      <c r="AC511" s="760"/>
    </row>
    <row r="512" ht="15.75" customHeight="1">
      <c r="A512" s="759"/>
      <c r="B512" s="927"/>
      <c r="C512" s="760"/>
      <c r="D512" s="928"/>
      <c r="E512" s="759"/>
      <c r="F512" s="759"/>
      <c r="G512" s="929"/>
      <c r="H512" s="929"/>
      <c r="I512" s="930"/>
      <c r="J512" s="759"/>
      <c r="K512" s="759"/>
      <c r="L512" s="760"/>
      <c r="M512" s="760"/>
      <c r="N512" s="760"/>
      <c r="O512" s="759"/>
      <c r="P512" s="760"/>
      <c r="Q512" s="760"/>
      <c r="R512" s="760"/>
      <c r="S512" s="760"/>
      <c r="T512" s="760"/>
      <c r="U512" s="760"/>
      <c r="V512" s="760"/>
      <c r="W512" s="760"/>
      <c r="X512" s="760"/>
      <c r="Y512" s="760"/>
      <c r="Z512" s="760"/>
      <c r="AA512" s="760"/>
      <c r="AB512" s="760"/>
      <c r="AC512" s="760"/>
    </row>
    <row r="513" ht="15.75" customHeight="1">
      <c r="A513" s="759"/>
      <c r="B513" s="927"/>
      <c r="C513" s="760"/>
      <c r="D513" s="928"/>
      <c r="E513" s="759"/>
      <c r="F513" s="759"/>
      <c r="G513" s="929"/>
      <c r="H513" s="929"/>
      <c r="I513" s="930"/>
      <c r="J513" s="759"/>
      <c r="K513" s="759"/>
      <c r="L513" s="760"/>
      <c r="M513" s="760"/>
      <c r="N513" s="760"/>
      <c r="O513" s="759"/>
      <c r="P513" s="760"/>
      <c r="Q513" s="760"/>
      <c r="R513" s="760"/>
      <c r="S513" s="760"/>
      <c r="T513" s="760"/>
      <c r="U513" s="760"/>
      <c r="V513" s="760"/>
      <c r="W513" s="760"/>
      <c r="X513" s="760"/>
      <c r="Y513" s="760"/>
      <c r="Z513" s="760"/>
      <c r="AA513" s="760"/>
      <c r="AB513" s="760"/>
      <c r="AC513" s="760"/>
    </row>
    <row r="514" ht="15.75" customHeight="1">
      <c r="A514" s="759"/>
      <c r="B514" s="927"/>
      <c r="C514" s="760"/>
      <c r="D514" s="928"/>
      <c r="E514" s="759"/>
      <c r="F514" s="759"/>
      <c r="G514" s="929"/>
      <c r="H514" s="929"/>
      <c r="I514" s="930"/>
      <c r="J514" s="759"/>
      <c r="K514" s="759"/>
      <c r="L514" s="760"/>
      <c r="M514" s="760"/>
      <c r="N514" s="760"/>
      <c r="O514" s="759"/>
      <c r="P514" s="760"/>
      <c r="Q514" s="760"/>
      <c r="R514" s="760"/>
      <c r="S514" s="760"/>
      <c r="T514" s="760"/>
      <c r="U514" s="760"/>
      <c r="V514" s="760"/>
      <c r="W514" s="760"/>
      <c r="X514" s="760"/>
      <c r="Y514" s="760"/>
      <c r="Z514" s="760"/>
      <c r="AA514" s="760"/>
      <c r="AB514" s="760"/>
      <c r="AC514" s="760"/>
    </row>
    <row r="515" ht="15.75" customHeight="1">
      <c r="A515" s="759"/>
      <c r="B515" s="927"/>
      <c r="C515" s="760"/>
      <c r="D515" s="928"/>
      <c r="E515" s="759"/>
      <c r="F515" s="759"/>
      <c r="G515" s="929"/>
      <c r="H515" s="929"/>
      <c r="I515" s="930"/>
      <c r="J515" s="759"/>
      <c r="K515" s="759"/>
      <c r="L515" s="760"/>
      <c r="M515" s="760"/>
      <c r="N515" s="760"/>
      <c r="O515" s="759"/>
      <c r="P515" s="760"/>
      <c r="Q515" s="760"/>
      <c r="R515" s="760"/>
      <c r="S515" s="760"/>
      <c r="T515" s="760"/>
      <c r="U515" s="760"/>
      <c r="V515" s="760"/>
      <c r="W515" s="760"/>
      <c r="X515" s="760"/>
      <c r="Y515" s="760"/>
      <c r="Z515" s="760"/>
      <c r="AA515" s="760"/>
      <c r="AB515" s="760"/>
      <c r="AC515" s="760"/>
    </row>
    <row r="516" ht="15.75" customHeight="1">
      <c r="A516" s="759"/>
      <c r="B516" s="927"/>
      <c r="C516" s="760"/>
      <c r="D516" s="928"/>
      <c r="E516" s="759"/>
      <c r="F516" s="759"/>
      <c r="G516" s="929"/>
      <c r="H516" s="929"/>
      <c r="I516" s="930"/>
      <c r="J516" s="759"/>
      <c r="K516" s="759"/>
      <c r="L516" s="760"/>
      <c r="M516" s="760"/>
      <c r="N516" s="760"/>
      <c r="O516" s="759"/>
      <c r="P516" s="760"/>
      <c r="Q516" s="760"/>
      <c r="R516" s="760"/>
      <c r="S516" s="760"/>
      <c r="T516" s="760"/>
      <c r="U516" s="760"/>
      <c r="V516" s="760"/>
      <c r="W516" s="760"/>
      <c r="X516" s="760"/>
      <c r="Y516" s="760"/>
      <c r="Z516" s="760"/>
      <c r="AA516" s="760"/>
      <c r="AB516" s="760"/>
      <c r="AC516" s="760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conditionalFormatting sqref="N4:N233 N296 O283:O300 P302:P316">
    <cfRule type="containsText" dxfId="1" priority="1" operator="containsText" text="да">
      <formula>NOT(ISERROR(SEARCH(("да"),(N4))))</formula>
    </cfRule>
  </conditionalFormatting>
  <conditionalFormatting sqref="J1:J3 J5:J282 J296 K283:K300 K302:K316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N1:N282 N296 O283:O300 O302:P316">
    <cfRule type="containsText" dxfId="0" priority="3" operator="containsText" text="нет">
      <formula>NOT(ISERROR(SEARCH(("нет"),(N1))))</formula>
    </cfRule>
  </conditionalFormatting>
  <dataValidations>
    <dataValidation type="list" allowBlank="1" showErrorMessage="1" sqref="N4:N282 O283 N284:O289 O290 N291:O295 N296 N297:O300 O302:P316">
      <formula1>"да,нет"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4.71"/>
    <col customWidth="1" min="2" max="2" width="22.43"/>
    <col customWidth="1" min="3" max="3" width="30.0"/>
    <col customWidth="1" min="4" max="4" width="21.71"/>
    <col customWidth="1" min="5" max="5" width="8.43"/>
    <col customWidth="1" min="6" max="7" width="8.14"/>
    <col customWidth="1" min="8" max="8" width="8.43"/>
    <col customWidth="1" min="9" max="10" width="7.29"/>
    <col customWidth="1" min="11" max="11" width="7.14"/>
    <col customWidth="1" min="12" max="12" width="8.29"/>
    <col customWidth="1" min="13" max="15" width="9.71"/>
  </cols>
  <sheetData>
    <row r="1" ht="25.5" customHeight="1">
      <c r="A1" s="87"/>
      <c r="C1" s="89" t="s">
        <v>1027</v>
      </c>
      <c r="D1" s="98" t="s">
        <v>1011</v>
      </c>
      <c r="E1" s="258"/>
      <c r="F1" s="93"/>
      <c r="G1" s="93"/>
      <c r="H1" s="162"/>
      <c r="I1" s="158"/>
      <c r="J1" s="87"/>
      <c r="K1" s="87"/>
      <c r="L1" s="87"/>
      <c r="M1" s="87"/>
      <c r="N1" s="239"/>
      <c r="O1" s="239"/>
    </row>
    <row r="2" ht="66.0" customHeight="1">
      <c r="A2" s="68" t="s">
        <v>1012</v>
      </c>
      <c r="B2" s="69" t="s">
        <v>1013</v>
      </c>
      <c r="C2" s="90" t="s">
        <v>1014</v>
      </c>
      <c r="D2" s="68" t="s">
        <v>1015</v>
      </c>
      <c r="E2" s="70" t="s">
        <v>96</v>
      </c>
      <c r="F2" s="432" t="s">
        <v>1173</v>
      </c>
      <c r="G2" s="432" t="s">
        <v>502</v>
      </c>
      <c r="H2" s="693" t="s">
        <v>99</v>
      </c>
      <c r="I2" s="694" t="s">
        <v>100</v>
      </c>
      <c r="J2" s="68" t="s">
        <v>466</v>
      </c>
      <c r="K2" s="68" t="s">
        <v>102</v>
      </c>
      <c r="L2" s="68" t="s">
        <v>1030</v>
      </c>
      <c r="M2" s="68" t="s">
        <v>506</v>
      </c>
      <c r="N2" s="75"/>
      <c r="O2" s="75"/>
    </row>
    <row r="3" ht="27.0" customHeight="1">
      <c r="A3" s="614"/>
      <c r="B3" s="615" t="str">
        <f>"Блюда на компанию "&amp;COUNTA(C4:C14)&amp;" шт"</f>
        <v>Блюда на компанию 8 шт</v>
      </c>
      <c r="C3" s="614"/>
      <c r="D3" s="614"/>
      <c r="E3" s="616"/>
      <c r="F3" s="695"/>
      <c r="G3" s="695"/>
      <c r="H3" s="618"/>
      <c r="I3" s="648">
        <f>AVERAGE(I4:I14)</f>
        <v>0.2360585194</v>
      </c>
      <c r="J3" s="614"/>
      <c r="K3" s="614"/>
      <c r="L3" s="614"/>
      <c r="M3" s="86"/>
      <c r="N3" s="86"/>
      <c r="O3" s="86"/>
    </row>
    <row r="4" ht="25.5" customHeight="1" outlineLevel="1">
      <c r="A4" s="87"/>
      <c r="B4" s="89" t="s">
        <v>1180</v>
      </c>
      <c r="C4" s="89" t="s">
        <v>1032</v>
      </c>
      <c r="D4" s="89" t="s">
        <v>1033</v>
      </c>
      <c r="E4" s="258" t="s">
        <v>1034</v>
      </c>
      <c r="F4" s="93">
        <v>899.0</v>
      </c>
      <c r="G4" s="93">
        <v>899.0</v>
      </c>
      <c r="H4" s="162">
        <v>177.0</v>
      </c>
      <c r="I4" s="158">
        <f t="shared" ref="I4:I14" si="1">H4/G4</f>
        <v>0.1968854283</v>
      </c>
      <c r="J4" s="93">
        <f t="shared" ref="J4:J14" si="2">G4-H4</f>
        <v>722</v>
      </c>
      <c r="K4" s="158">
        <f t="shared" ref="K4:K14" si="3">G4/H4-1</f>
        <v>4.079096045</v>
      </c>
      <c r="L4" s="134"/>
      <c r="M4" s="87" t="s">
        <v>112</v>
      </c>
      <c r="N4" s="87"/>
      <c r="O4" s="87"/>
    </row>
    <row r="5" ht="84.75" customHeight="1" outlineLevel="1">
      <c r="A5" s="87"/>
      <c r="B5" s="181" t="s">
        <v>1176</v>
      </c>
      <c r="C5" s="104"/>
      <c r="D5" s="181" t="s">
        <v>1036</v>
      </c>
      <c r="E5" s="258">
        <v>150.0</v>
      </c>
      <c r="F5" s="93">
        <v>0.0</v>
      </c>
      <c r="G5" s="93">
        <v>899.0</v>
      </c>
      <c r="H5" s="162">
        <v>180.0</v>
      </c>
      <c r="I5" s="158">
        <f t="shared" si="1"/>
        <v>0.2002224694</v>
      </c>
      <c r="J5" s="93">
        <f t="shared" si="2"/>
        <v>719</v>
      </c>
      <c r="K5" s="158">
        <f t="shared" si="3"/>
        <v>3.994444444</v>
      </c>
      <c r="L5" s="134"/>
      <c r="M5" s="87"/>
      <c r="N5" s="87"/>
      <c r="O5" s="87"/>
    </row>
    <row r="6" ht="84.75" customHeight="1" outlineLevel="1">
      <c r="A6" s="87"/>
      <c r="B6" s="181" t="s">
        <v>1182</v>
      </c>
      <c r="C6" s="89" t="s">
        <v>2301</v>
      </c>
      <c r="D6" s="181" t="s">
        <v>1038</v>
      </c>
      <c r="E6" s="258">
        <v>400.0</v>
      </c>
      <c r="F6" s="93">
        <v>899.0</v>
      </c>
      <c r="G6" s="93">
        <v>999.0</v>
      </c>
      <c r="H6" s="162">
        <v>270.0</v>
      </c>
      <c r="I6" s="158">
        <f t="shared" si="1"/>
        <v>0.2702702703</v>
      </c>
      <c r="J6" s="93">
        <f t="shared" si="2"/>
        <v>729</v>
      </c>
      <c r="K6" s="158">
        <f t="shared" si="3"/>
        <v>2.7</v>
      </c>
      <c r="L6" s="134">
        <v>999.0</v>
      </c>
      <c r="M6" s="87" t="s">
        <v>111</v>
      </c>
      <c r="N6" s="87"/>
      <c r="O6" s="87"/>
    </row>
    <row r="7" ht="25.5" customHeight="1" outlineLevel="1">
      <c r="A7" s="87"/>
      <c r="B7" s="89" t="s">
        <v>1186</v>
      </c>
      <c r="C7" s="89"/>
      <c r="D7" s="181" t="s">
        <v>1040</v>
      </c>
      <c r="E7" s="258">
        <v>1000.0</v>
      </c>
      <c r="F7" s="93">
        <v>0.0</v>
      </c>
      <c r="G7" s="93">
        <v>1899.0</v>
      </c>
      <c r="H7" s="162">
        <v>499.0</v>
      </c>
      <c r="I7" s="158">
        <f t="shared" si="1"/>
        <v>0.2627698789</v>
      </c>
      <c r="J7" s="93">
        <f t="shared" si="2"/>
        <v>1400</v>
      </c>
      <c r="K7" s="158">
        <f t="shared" si="3"/>
        <v>2.805611222</v>
      </c>
      <c r="L7" s="134"/>
      <c r="M7" s="87" t="s">
        <v>112</v>
      </c>
      <c r="N7" s="87"/>
      <c r="O7" s="87"/>
    </row>
    <row r="8" ht="25.5" customHeight="1" outlineLevel="1">
      <c r="A8" s="87"/>
      <c r="B8" s="181"/>
      <c r="C8" s="89" t="s">
        <v>1041</v>
      </c>
      <c r="D8" s="181" t="s">
        <v>1042</v>
      </c>
      <c r="E8" s="258">
        <v>550.0</v>
      </c>
      <c r="F8" s="93">
        <v>899.0</v>
      </c>
      <c r="G8" s="93">
        <v>969.0</v>
      </c>
      <c r="H8" s="162">
        <v>210.17</v>
      </c>
      <c r="I8" s="158">
        <f t="shared" si="1"/>
        <v>0.2168937049</v>
      </c>
      <c r="J8" s="93">
        <f t="shared" si="2"/>
        <v>758.83</v>
      </c>
      <c r="K8" s="158">
        <f t="shared" si="3"/>
        <v>3.610553362</v>
      </c>
      <c r="L8" s="134">
        <v>899.0</v>
      </c>
      <c r="M8" s="87" t="s">
        <v>111</v>
      </c>
      <c r="N8" s="87"/>
      <c r="O8" s="87"/>
    </row>
    <row r="9" ht="25.5" customHeight="1" outlineLevel="1">
      <c r="A9" s="87"/>
      <c r="B9" s="181" t="s">
        <v>1196</v>
      </c>
      <c r="C9" s="89" t="s">
        <v>149</v>
      </c>
      <c r="D9" s="181" t="s">
        <v>1043</v>
      </c>
      <c r="E9" s="258">
        <v>1400.0</v>
      </c>
      <c r="F9" s="93">
        <v>2399.0</v>
      </c>
      <c r="G9" s="93">
        <v>2499.0</v>
      </c>
      <c r="H9" s="162">
        <v>630.0</v>
      </c>
      <c r="I9" s="158">
        <f t="shared" si="1"/>
        <v>0.2521008403</v>
      </c>
      <c r="J9" s="93">
        <f t="shared" si="2"/>
        <v>1869</v>
      </c>
      <c r="K9" s="158">
        <f t="shared" si="3"/>
        <v>2.966666667</v>
      </c>
      <c r="L9" s="134">
        <v>2499.0</v>
      </c>
      <c r="M9" s="87" t="s">
        <v>111</v>
      </c>
      <c r="N9" s="87"/>
      <c r="O9" s="87"/>
    </row>
    <row r="10" ht="26.25" customHeight="1" outlineLevel="1">
      <c r="A10" s="87"/>
      <c r="B10" s="116" t="s">
        <v>1193</v>
      </c>
      <c r="C10" s="116" t="s">
        <v>152</v>
      </c>
      <c r="D10" s="116" t="s">
        <v>1044</v>
      </c>
      <c r="E10" s="258">
        <v>500.0</v>
      </c>
      <c r="F10" s="93">
        <v>999.0</v>
      </c>
      <c r="G10" s="93">
        <v>1499.0</v>
      </c>
      <c r="H10" s="162">
        <v>374.6</v>
      </c>
      <c r="I10" s="158">
        <f t="shared" si="1"/>
        <v>0.2498999333</v>
      </c>
      <c r="J10" s="93">
        <f t="shared" si="2"/>
        <v>1124.4</v>
      </c>
      <c r="K10" s="158">
        <f t="shared" si="3"/>
        <v>3.001601708</v>
      </c>
      <c r="L10" s="134">
        <v>1199.0</v>
      </c>
      <c r="M10" s="87" t="s">
        <v>111</v>
      </c>
      <c r="N10" s="87"/>
      <c r="O10" s="87"/>
    </row>
    <row r="11" ht="83.25" customHeight="1" outlineLevel="1">
      <c r="A11" s="87"/>
      <c r="B11" s="181"/>
      <c r="C11" s="89" t="s">
        <v>155</v>
      </c>
      <c r="D11" s="87" t="s">
        <v>1045</v>
      </c>
      <c r="E11" s="258">
        <v>1200.0</v>
      </c>
      <c r="F11" s="93">
        <v>1399.0</v>
      </c>
      <c r="G11" s="93">
        <v>1499.0</v>
      </c>
      <c r="H11" s="162">
        <v>314.14</v>
      </c>
      <c r="I11" s="158">
        <f t="shared" si="1"/>
        <v>0.2095663776</v>
      </c>
      <c r="J11" s="93">
        <f t="shared" si="2"/>
        <v>1184.86</v>
      </c>
      <c r="K11" s="158">
        <f t="shared" si="3"/>
        <v>3.771757815</v>
      </c>
      <c r="L11" s="134"/>
      <c r="M11" s="87" t="s">
        <v>112</v>
      </c>
      <c r="N11" s="87"/>
      <c r="O11" s="87"/>
    </row>
    <row r="12" ht="25.5" customHeight="1" outlineLevel="1">
      <c r="A12" s="87"/>
      <c r="B12" s="98" t="s">
        <v>1198</v>
      </c>
      <c r="C12" s="116"/>
      <c r="D12" s="87" t="s">
        <v>1047</v>
      </c>
      <c r="E12" s="258">
        <v>1200.0</v>
      </c>
      <c r="F12" s="93">
        <v>1799.0</v>
      </c>
      <c r="G12" s="93">
        <v>1599.0</v>
      </c>
      <c r="H12" s="162">
        <v>360.0</v>
      </c>
      <c r="I12" s="158">
        <f t="shared" si="1"/>
        <v>0.2251407129</v>
      </c>
      <c r="J12" s="93">
        <f t="shared" si="2"/>
        <v>1239</v>
      </c>
      <c r="K12" s="158">
        <f t="shared" si="3"/>
        <v>3.441666667</v>
      </c>
      <c r="L12" s="134"/>
      <c r="M12" s="87"/>
      <c r="N12" s="87"/>
      <c r="O12" s="87"/>
    </row>
    <row r="13" ht="75.75" customHeight="1" outlineLevel="1">
      <c r="A13" s="87"/>
      <c r="B13" s="98" t="s">
        <v>1188</v>
      </c>
      <c r="C13" s="89" t="s">
        <v>161</v>
      </c>
      <c r="D13" s="87" t="s">
        <v>1049</v>
      </c>
      <c r="E13" s="662">
        <v>700.0</v>
      </c>
      <c r="F13" s="134">
        <v>0.0</v>
      </c>
      <c r="G13" s="134">
        <v>1399.0</v>
      </c>
      <c r="H13" s="162">
        <v>370.0</v>
      </c>
      <c r="I13" s="158">
        <f t="shared" si="1"/>
        <v>0.2644746247</v>
      </c>
      <c r="J13" s="93">
        <f t="shared" si="2"/>
        <v>1029</v>
      </c>
      <c r="K13" s="158">
        <f t="shared" si="3"/>
        <v>2.781081081</v>
      </c>
      <c r="L13" s="134">
        <v>0.0</v>
      </c>
      <c r="M13" s="87" t="s">
        <v>111</v>
      </c>
      <c r="N13" s="87"/>
      <c r="O13" s="87"/>
    </row>
    <row r="14" ht="48.0" customHeight="1" outlineLevel="1">
      <c r="A14" s="87"/>
      <c r="B14" s="98"/>
      <c r="C14" s="89" t="s">
        <v>157</v>
      </c>
      <c r="D14" s="87" t="s">
        <v>1048</v>
      </c>
      <c r="E14" s="662">
        <v>1250.0</v>
      </c>
      <c r="F14" s="93">
        <v>2799.0</v>
      </c>
      <c r="G14" s="93">
        <v>2999.0</v>
      </c>
      <c r="H14" s="162">
        <v>745.01</v>
      </c>
      <c r="I14" s="158">
        <f t="shared" si="1"/>
        <v>0.2484194732</v>
      </c>
      <c r="J14" s="93">
        <f t="shared" si="2"/>
        <v>2253.99</v>
      </c>
      <c r="K14" s="158">
        <f t="shared" si="3"/>
        <v>3.025449323</v>
      </c>
      <c r="L14" s="134">
        <v>2999.0</v>
      </c>
      <c r="M14" s="87" t="s">
        <v>111</v>
      </c>
      <c r="N14" s="87"/>
      <c r="O14" s="87"/>
    </row>
    <row r="15" ht="27.0" customHeight="1">
      <c r="A15" s="614"/>
      <c r="B15" s="615" t="str">
        <f>"Япония "&amp;COUNTA(C16:C23)&amp;" шт"</f>
        <v>Япония 6 шт</v>
      </c>
      <c r="C15" s="614"/>
      <c r="D15" s="614"/>
      <c r="E15" s="616"/>
      <c r="F15" s="695"/>
      <c r="G15" s="695"/>
      <c r="H15" s="618"/>
      <c r="I15" s="648">
        <f>AVERAGE(I16:I23)</f>
        <v>0.2202038599</v>
      </c>
      <c r="J15" s="614"/>
      <c r="K15" s="614"/>
      <c r="L15" s="614"/>
      <c r="M15" s="86"/>
      <c r="N15" s="86"/>
      <c r="O15" s="86"/>
    </row>
    <row r="16" ht="25.5" customHeight="1" outlineLevel="1">
      <c r="A16" s="87"/>
      <c r="B16" s="87"/>
      <c r="C16" s="89" t="s">
        <v>1050</v>
      </c>
      <c r="D16" s="87" t="s">
        <v>1051</v>
      </c>
      <c r="E16" s="258">
        <v>200.0</v>
      </c>
      <c r="F16" s="93">
        <v>399.0</v>
      </c>
      <c r="G16" s="93">
        <v>459.0</v>
      </c>
      <c r="H16" s="162">
        <v>65.9</v>
      </c>
      <c r="I16" s="158">
        <f t="shared" ref="I16:I23" si="4">H16/G16</f>
        <v>0.1435729847</v>
      </c>
      <c r="J16" s="93">
        <f t="shared" ref="J16:J23" si="5">G16-H16</f>
        <v>393.1</v>
      </c>
      <c r="K16" s="158">
        <f t="shared" ref="K16:K23" si="6">G16/H16-1</f>
        <v>5.965098634</v>
      </c>
      <c r="L16" s="134">
        <v>499.0</v>
      </c>
      <c r="M16" s="87" t="s">
        <v>111</v>
      </c>
      <c r="N16" s="87"/>
      <c r="O16" s="87"/>
    </row>
    <row r="17" ht="25.5" customHeight="1" outlineLevel="1">
      <c r="A17" s="87"/>
      <c r="B17" s="87"/>
      <c r="C17" s="89" t="s">
        <v>169</v>
      </c>
      <c r="D17" s="87" t="s">
        <v>1052</v>
      </c>
      <c r="E17" s="258">
        <v>200.0</v>
      </c>
      <c r="F17" s="93">
        <v>589.0</v>
      </c>
      <c r="G17" s="93">
        <v>599.0</v>
      </c>
      <c r="H17" s="162">
        <v>145.9</v>
      </c>
      <c r="I17" s="158">
        <f t="shared" si="4"/>
        <v>0.243572621</v>
      </c>
      <c r="J17" s="93">
        <f t="shared" si="5"/>
        <v>453.1</v>
      </c>
      <c r="K17" s="158">
        <f t="shared" si="6"/>
        <v>3.105551748</v>
      </c>
      <c r="L17" s="134">
        <v>599.0</v>
      </c>
      <c r="M17" s="87" t="s">
        <v>111</v>
      </c>
      <c r="N17" s="87"/>
      <c r="O17" s="87"/>
    </row>
    <row r="18" ht="25.5" customHeight="1" outlineLevel="1">
      <c r="A18" s="87"/>
      <c r="B18" s="87"/>
      <c r="C18" s="89" t="s">
        <v>1205</v>
      </c>
      <c r="D18" s="87" t="s">
        <v>171</v>
      </c>
      <c r="E18" s="258">
        <v>160.0</v>
      </c>
      <c r="F18" s="93">
        <v>359.0</v>
      </c>
      <c r="G18" s="93">
        <v>399.0</v>
      </c>
      <c r="H18" s="162">
        <v>58.9</v>
      </c>
      <c r="I18" s="158">
        <f t="shared" si="4"/>
        <v>0.1476190476</v>
      </c>
      <c r="J18" s="93">
        <f t="shared" si="5"/>
        <v>340.1</v>
      </c>
      <c r="K18" s="158">
        <f t="shared" si="6"/>
        <v>5.774193548</v>
      </c>
      <c r="L18" s="134">
        <v>399.0</v>
      </c>
      <c r="M18" s="87" t="s">
        <v>111</v>
      </c>
      <c r="N18" s="87"/>
      <c r="O18" s="87"/>
    </row>
    <row r="19" ht="25.5" customHeight="1" outlineLevel="1">
      <c r="A19" s="87"/>
      <c r="B19" s="87"/>
      <c r="C19" s="89" t="s">
        <v>173</v>
      </c>
      <c r="D19" s="87" t="s">
        <v>1053</v>
      </c>
      <c r="E19" s="258">
        <v>230.0</v>
      </c>
      <c r="F19" s="93">
        <v>479.0</v>
      </c>
      <c r="G19" s="93">
        <v>499.0</v>
      </c>
      <c r="H19" s="162">
        <v>111.0</v>
      </c>
      <c r="I19" s="158">
        <f t="shared" si="4"/>
        <v>0.2224448898</v>
      </c>
      <c r="J19" s="93">
        <f t="shared" si="5"/>
        <v>388</v>
      </c>
      <c r="K19" s="158">
        <f t="shared" si="6"/>
        <v>3.495495495</v>
      </c>
      <c r="L19" s="134">
        <v>499.0</v>
      </c>
      <c r="M19" s="87" t="s">
        <v>111</v>
      </c>
      <c r="N19" s="87"/>
      <c r="O19" s="87"/>
    </row>
    <row r="20" ht="67.5" customHeight="1" outlineLevel="1">
      <c r="A20" s="87"/>
      <c r="B20" s="87" t="s">
        <v>1206</v>
      </c>
      <c r="C20" s="89" t="s">
        <v>175</v>
      </c>
      <c r="D20" s="87" t="s">
        <v>1054</v>
      </c>
      <c r="E20" s="258">
        <v>240.0</v>
      </c>
      <c r="F20" s="93">
        <v>599.0</v>
      </c>
      <c r="G20" s="93">
        <v>599.0</v>
      </c>
      <c r="H20" s="162">
        <v>145.9</v>
      </c>
      <c r="I20" s="158">
        <f t="shared" si="4"/>
        <v>0.243572621</v>
      </c>
      <c r="J20" s="93">
        <f t="shared" si="5"/>
        <v>453.1</v>
      </c>
      <c r="K20" s="158">
        <f t="shared" si="6"/>
        <v>3.105551748</v>
      </c>
      <c r="L20" s="134">
        <v>589.0</v>
      </c>
      <c r="M20" s="87" t="s">
        <v>111</v>
      </c>
      <c r="N20" s="87"/>
      <c r="O20" s="87"/>
    </row>
    <row r="21" ht="67.5" customHeight="1" outlineLevel="1">
      <c r="A21" s="87"/>
      <c r="B21" s="87"/>
      <c r="C21" s="89" t="s">
        <v>1055</v>
      </c>
      <c r="D21" s="87" t="s">
        <v>1056</v>
      </c>
      <c r="E21" s="258">
        <v>200.0</v>
      </c>
      <c r="F21" s="93">
        <v>399.0</v>
      </c>
      <c r="G21" s="93">
        <v>529.0</v>
      </c>
      <c r="H21" s="664">
        <v>123.9</v>
      </c>
      <c r="I21" s="158">
        <f t="shared" si="4"/>
        <v>0.2342155009</v>
      </c>
      <c r="J21" s="93">
        <f t="shared" si="5"/>
        <v>405.1</v>
      </c>
      <c r="K21" s="158">
        <f t="shared" si="6"/>
        <v>3.269572236</v>
      </c>
      <c r="L21" s="134">
        <v>459.0</v>
      </c>
      <c r="M21" s="87" t="s">
        <v>111</v>
      </c>
      <c r="N21" s="87"/>
      <c r="O21" s="87"/>
    </row>
    <row r="22" ht="67.5" customHeight="1" outlineLevel="1">
      <c r="A22" s="87"/>
      <c r="B22" s="87" t="s">
        <v>1277</v>
      </c>
      <c r="C22" s="89"/>
      <c r="D22" s="87" t="s">
        <v>1058</v>
      </c>
      <c r="E22" s="258">
        <v>120.0</v>
      </c>
      <c r="F22" s="93">
        <v>0.0</v>
      </c>
      <c r="G22" s="93">
        <v>599.0</v>
      </c>
      <c r="H22" s="664">
        <v>186.9</v>
      </c>
      <c r="I22" s="158">
        <f t="shared" si="4"/>
        <v>0.3120200334</v>
      </c>
      <c r="J22" s="93">
        <f t="shared" si="5"/>
        <v>412.1</v>
      </c>
      <c r="K22" s="158">
        <f t="shared" si="6"/>
        <v>2.204922418</v>
      </c>
      <c r="L22" s="134">
        <v>0.0</v>
      </c>
      <c r="M22" s="87" t="s">
        <v>111</v>
      </c>
      <c r="N22" s="87"/>
      <c r="O22" s="87"/>
    </row>
    <row r="23" ht="67.5" customHeight="1" outlineLevel="1">
      <c r="A23" s="87"/>
      <c r="B23" s="87" t="s">
        <v>1210</v>
      </c>
      <c r="C23" s="89"/>
      <c r="D23" s="87" t="s">
        <v>1060</v>
      </c>
      <c r="E23" s="258">
        <v>200.0</v>
      </c>
      <c r="F23" s="93">
        <v>299.0</v>
      </c>
      <c r="G23" s="93">
        <v>349.0</v>
      </c>
      <c r="H23" s="664">
        <v>74.9</v>
      </c>
      <c r="I23" s="158">
        <f t="shared" si="4"/>
        <v>0.2146131805</v>
      </c>
      <c r="J23" s="93">
        <f t="shared" si="5"/>
        <v>274.1</v>
      </c>
      <c r="K23" s="158">
        <f t="shared" si="6"/>
        <v>3.659546061</v>
      </c>
      <c r="L23" s="134">
        <v>0.0</v>
      </c>
      <c r="M23" s="87" t="s">
        <v>111</v>
      </c>
      <c r="N23" s="87"/>
      <c r="O23" s="87"/>
    </row>
    <row r="24" ht="25.5" customHeight="1">
      <c r="A24" s="615"/>
      <c r="B24" s="615" t="str">
        <f>"Салаты "&amp;COUNTA(C25:C30)&amp;" шт"</f>
        <v>Салаты 6 шт</v>
      </c>
      <c r="C24" s="615"/>
      <c r="D24" s="615"/>
      <c r="E24" s="669"/>
      <c r="F24" s="698"/>
      <c r="G24" s="698"/>
      <c r="H24" s="618"/>
      <c r="I24" s="648">
        <f>AVERAGE(I25:I30)</f>
        <v>0.2315388338</v>
      </c>
      <c r="J24" s="615"/>
      <c r="K24" s="615"/>
      <c r="L24" s="670"/>
      <c r="M24" s="672"/>
      <c r="N24" s="672"/>
      <c r="O24" s="672"/>
    </row>
    <row r="25" ht="47.25" customHeight="1" outlineLevel="1">
      <c r="A25" s="87"/>
      <c r="B25" s="89" t="s">
        <v>1278</v>
      </c>
      <c r="C25" s="89" t="s">
        <v>177</v>
      </c>
      <c r="D25" s="181" t="s">
        <v>178</v>
      </c>
      <c r="E25" s="258">
        <v>180.0</v>
      </c>
      <c r="F25" s="93">
        <v>679.0</v>
      </c>
      <c r="G25" s="93">
        <v>599.0</v>
      </c>
      <c r="H25" s="162">
        <v>129.0</v>
      </c>
      <c r="I25" s="158">
        <f t="shared" ref="I25:I30" si="7">H25/G25</f>
        <v>0.2153589316</v>
      </c>
      <c r="J25" s="93">
        <f t="shared" ref="J25:J30" si="8">G25-H25</f>
        <v>470</v>
      </c>
      <c r="K25" s="158">
        <f t="shared" ref="K25:K30" si="9">G25/H25-1</f>
        <v>3.643410853</v>
      </c>
      <c r="L25" s="134">
        <v>659.0</v>
      </c>
      <c r="M25" s="87" t="s">
        <v>111</v>
      </c>
      <c r="N25" s="87"/>
      <c r="O25" s="87"/>
    </row>
    <row r="26" ht="45.0" customHeight="1" outlineLevel="1">
      <c r="A26" s="87"/>
      <c r="B26" s="116" t="s">
        <v>1213</v>
      </c>
      <c r="C26" s="116" t="s">
        <v>1284</v>
      </c>
      <c r="D26" s="745" t="s">
        <v>1063</v>
      </c>
      <c r="E26" s="258">
        <v>180.0</v>
      </c>
      <c r="F26" s="93">
        <v>299.0</v>
      </c>
      <c r="G26" s="93">
        <v>459.0</v>
      </c>
      <c r="H26" s="162">
        <v>112.0</v>
      </c>
      <c r="I26" s="158">
        <f t="shared" si="7"/>
        <v>0.2440087146</v>
      </c>
      <c r="J26" s="93">
        <f t="shared" si="8"/>
        <v>347</v>
      </c>
      <c r="K26" s="158">
        <f t="shared" si="9"/>
        <v>3.098214286</v>
      </c>
      <c r="L26" s="134"/>
      <c r="M26" s="87" t="s">
        <v>112</v>
      </c>
      <c r="N26" s="87"/>
      <c r="O26" s="87"/>
    </row>
    <row r="27" ht="30.0" customHeight="1" outlineLevel="1">
      <c r="A27" s="87"/>
      <c r="B27" s="89"/>
      <c r="C27" s="89" t="s">
        <v>184</v>
      </c>
      <c r="D27" s="745" t="s">
        <v>182</v>
      </c>
      <c r="E27" s="258">
        <v>190.0</v>
      </c>
      <c r="F27" s="93">
        <v>459.0</v>
      </c>
      <c r="G27" s="93">
        <v>479.0</v>
      </c>
      <c r="H27" s="664">
        <v>113.98</v>
      </c>
      <c r="I27" s="158">
        <f t="shared" si="7"/>
        <v>0.237954071</v>
      </c>
      <c r="J27" s="93">
        <f t="shared" si="8"/>
        <v>365.02</v>
      </c>
      <c r="K27" s="158">
        <f t="shared" si="9"/>
        <v>3.202491665</v>
      </c>
      <c r="L27" s="134">
        <v>459.0</v>
      </c>
      <c r="M27" s="87" t="s">
        <v>111</v>
      </c>
      <c r="N27" s="87"/>
      <c r="O27" s="87"/>
    </row>
    <row r="28" ht="25.5" customHeight="1" outlineLevel="1">
      <c r="A28" s="87"/>
      <c r="B28" s="89"/>
      <c r="C28" s="89" t="s">
        <v>188</v>
      </c>
      <c r="D28" s="745" t="s">
        <v>1064</v>
      </c>
      <c r="E28" s="258">
        <v>210.0</v>
      </c>
      <c r="F28" s="93">
        <v>499.0</v>
      </c>
      <c r="G28" s="93">
        <v>499.0</v>
      </c>
      <c r="H28" s="664">
        <v>88.44</v>
      </c>
      <c r="I28" s="158">
        <f t="shared" si="7"/>
        <v>0.1772344689</v>
      </c>
      <c r="J28" s="93">
        <f t="shared" si="8"/>
        <v>410.56</v>
      </c>
      <c r="K28" s="158">
        <f t="shared" si="9"/>
        <v>4.642243329</v>
      </c>
      <c r="L28" s="134">
        <v>479.0</v>
      </c>
      <c r="M28" s="87" t="s">
        <v>111</v>
      </c>
      <c r="N28" s="87"/>
      <c r="O28" s="87"/>
    </row>
    <row r="29" ht="30.0" customHeight="1" outlineLevel="1">
      <c r="A29" s="87"/>
      <c r="B29" s="89"/>
      <c r="C29" s="89" t="s">
        <v>190</v>
      </c>
      <c r="D29" s="181" t="s">
        <v>1066</v>
      </c>
      <c r="E29" s="258">
        <v>210.0</v>
      </c>
      <c r="F29" s="93">
        <v>599.0</v>
      </c>
      <c r="G29" s="93">
        <v>599.0</v>
      </c>
      <c r="H29" s="664">
        <v>146.69</v>
      </c>
      <c r="I29" s="158">
        <f t="shared" si="7"/>
        <v>0.2448914858</v>
      </c>
      <c r="J29" s="93">
        <f t="shared" si="8"/>
        <v>452.31</v>
      </c>
      <c r="K29" s="158">
        <f t="shared" si="9"/>
        <v>3.083441271</v>
      </c>
      <c r="L29" s="134">
        <v>639.0</v>
      </c>
      <c r="M29" s="87" t="s">
        <v>111</v>
      </c>
      <c r="N29" s="87"/>
      <c r="O29" s="87"/>
    </row>
    <row r="30" ht="33.75" customHeight="1" outlineLevel="1">
      <c r="A30" s="87"/>
      <c r="B30" s="89" t="s">
        <v>1279</v>
      </c>
      <c r="C30" s="89" t="s">
        <v>1067</v>
      </c>
      <c r="D30" s="181" t="s">
        <v>1068</v>
      </c>
      <c r="E30" s="258">
        <v>150.0</v>
      </c>
      <c r="F30" s="93">
        <v>539.0</v>
      </c>
      <c r="G30" s="93">
        <v>559.0</v>
      </c>
      <c r="H30" s="664">
        <v>150.81</v>
      </c>
      <c r="I30" s="158">
        <f t="shared" si="7"/>
        <v>0.2697853309</v>
      </c>
      <c r="J30" s="93">
        <f t="shared" si="8"/>
        <v>408.19</v>
      </c>
      <c r="K30" s="158">
        <f t="shared" si="9"/>
        <v>2.706650753</v>
      </c>
      <c r="L30" s="134">
        <v>559.0</v>
      </c>
      <c r="M30" s="87" t="s">
        <v>111</v>
      </c>
      <c r="N30" s="87"/>
      <c r="O30" s="87"/>
    </row>
    <row r="31" ht="25.5" customHeight="1">
      <c r="A31" s="615"/>
      <c r="B31" s="615" t="str">
        <f>"Закуски "&amp;COUNTA(C32:C39)&amp;" шт"</f>
        <v>Закуски 8 шт</v>
      </c>
      <c r="C31" s="615"/>
      <c r="D31" s="615"/>
      <c r="E31" s="669"/>
      <c r="F31" s="698"/>
      <c r="G31" s="698"/>
      <c r="H31" s="618"/>
      <c r="I31" s="648">
        <f>AVERAGE(I32:I39)</f>
        <v>0.2318037671</v>
      </c>
      <c r="J31" s="615"/>
      <c r="K31" s="615"/>
      <c r="L31" s="670"/>
      <c r="M31" s="672"/>
      <c r="N31" s="672"/>
      <c r="O31" s="672"/>
    </row>
    <row r="32" ht="25.5" customHeight="1" outlineLevel="1">
      <c r="A32" s="87"/>
      <c r="B32" s="89"/>
      <c r="C32" s="89" t="s">
        <v>2302</v>
      </c>
      <c r="D32" s="181" t="s">
        <v>2303</v>
      </c>
      <c r="E32" s="258">
        <v>300.0</v>
      </c>
      <c r="F32" s="93">
        <v>0.0</v>
      </c>
      <c r="G32" s="93">
        <v>499.0</v>
      </c>
      <c r="H32" s="162">
        <v>152.3</v>
      </c>
      <c r="I32" s="158">
        <f t="shared" ref="I32:I39" si="10">H32/G32</f>
        <v>0.3052104208</v>
      </c>
      <c r="J32" s="93">
        <f t="shared" ref="J32:J39" si="11">G32-H32</f>
        <v>346.7</v>
      </c>
      <c r="K32" s="158">
        <f t="shared" ref="K32:K34" si="12">G32/H32-1</f>
        <v>2.276428102</v>
      </c>
      <c r="L32" s="134">
        <v>0.0</v>
      </c>
      <c r="M32" s="87" t="s">
        <v>111</v>
      </c>
      <c r="N32" s="102"/>
      <c r="O32" s="640">
        <v>399.0</v>
      </c>
    </row>
    <row r="33" ht="47.25" customHeight="1" outlineLevel="1">
      <c r="A33" s="87"/>
      <c r="B33" s="89"/>
      <c r="C33" s="89" t="s">
        <v>1074</v>
      </c>
      <c r="D33" s="181" t="s">
        <v>1075</v>
      </c>
      <c r="E33" s="258">
        <v>200.0</v>
      </c>
      <c r="F33" s="93">
        <v>0.0</v>
      </c>
      <c r="G33" s="93">
        <v>459.0</v>
      </c>
      <c r="H33" s="162">
        <v>137.9</v>
      </c>
      <c r="I33" s="158">
        <f t="shared" si="10"/>
        <v>0.3004357298</v>
      </c>
      <c r="J33" s="93">
        <f t="shared" si="11"/>
        <v>321.1</v>
      </c>
      <c r="K33" s="158">
        <f t="shared" si="12"/>
        <v>2.328498912</v>
      </c>
      <c r="L33" s="134">
        <v>0.0</v>
      </c>
      <c r="M33" s="87" t="s">
        <v>111</v>
      </c>
      <c r="N33" s="102"/>
      <c r="O33" s="640">
        <v>399.0</v>
      </c>
    </row>
    <row r="34" ht="25.5" customHeight="1" outlineLevel="1">
      <c r="A34" s="87"/>
      <c r="B34" s="89" t="s">
        <v>1216</v>
      </c>
      <c r="C34" s="89" t="s">
        <v>203</v>
      </c>
      <c r="D34" s="181"/>
      <c r="E34" s="258" t="s">
        <v>202</v>
      </c>
      <c r="F34" s="93">
        <v>399.0</v>
      </c>
      <c r="G34" s="93">
        <v>399.0</v>
      </c>
      <c r="H34" s="162">
        <v>104.23</v>
      </c>
      <c r="I34" s="158">
        <f t="shared" si="10"/>
        <v>0.2612280702</v>
      </c>
      <c r="J34" s="93">
        <f t="shared" si="11"/>
        <v>294.77</v>
      </c>
      <c r="K34" s="158">
        <f t="shared" si="12"/>
        <v>2.828072532</v>
      </c>
      <c r="L34" s="134">
        <v>429.0</v>
      </c>
      <c r="M34" s="87" t="s">
        <v>111</v>
      </c>
      <c r="N34" s="87"/>
      <c r="O34" s="87"/>
    </row>
    <row r="35" ht="25.5" customHeight="1" outlineLevel="1">
      <c r="A35" s="106"/>
      <c r="B35" s="233"/>
      <c r="C35" s="233" t="s">
        <v>1077</v>
      </c>
      <c r="D35" s="656"/>
      <c r="E35" s="269" t="s">
        <v>202</v>
      </c>
      <c r="F35" s="184">
        <v>0.0</v>
      </c>
      <c r="G35" s="184">
        <v>259.0</v>
      </c>
      <c r="H35" s="649">
        <v>45.9</v>
      </c>
      <c r="I35" s="238">
        <f t="shared" si="10"/>
        <v>0.1772200772</v>
      </c>
      <c r="J35" s="184">
        <f t="shared" si="11"/>
        <v>213.1</v>
      </c>
      <c r="K35" s="238">
        <f>F35/H35-1</f>
        <v>-1</v>
      </c>
      <c r="L35" s="232"/>
      <c r="M35" s="106"/>
      <c r="N35" s="106"/>
      <c r="O35" s="106"/>
    </row>
    <row r="36" ht="25.5" customHeight="1" outlineLevel="1">
      <c r="A36" s="87"/>
      <c r="B36" s="89"/>
      <c r="C36" s="89" t="s">
        <v>472</v>
      </c>
      <c r="D36" s="181"/>
      <c r="E36" s="258" t="s">
        <v>1078</v>
      </c>
      <c r="F36" s="93">
        <v>199.0</v>
      </c>
      <c r="G36" s="93">
        <v>229.0</v>
      </c>
      <c r="H36" s="162">
        <v>47.35</v>
      </c>
      <c r="I36" s="158">
        <f t="shared" si="10"/>
        <v>0.206768559</v>
      </c>
      <c r="J36" s="93">
        <f t="shared" si="11"/>
        <v>181.65</v>
      </c>
      <c r="K36" s="158">
        <f t="shared" ref="K36:K39" si="13">G36/H36-1</f>
        <v>3.836325238</v>
      </c>
      <c r="L36" s="134">
        <v>249.0</v>
      </c>
      <c r="M36" s="87" t="s">
        <v>111</v>
      </c>
      <c r="N36" s="87"/>
      <c r="O36" s="87"/>
    </row>
    <row r="37" ht="25.5" customHeight="1" outlineLevel="1">
      <c r="A37" s="87"/>
      <c r="B37" s="89" t="s">
        <v>1222</v>
      </c>
      <c r="C37" s="89" t="s">
        <v>205</v>
      </c>
      <c r="D37" s="181"/>
      <c r="E37" s="258">
        <v>200.0</v>
      </c>
      <c r="F37" s="93">
        <v>299.0</v>
      </c>
      <c r="G37" s="93">
        <v>299.0</v>
      </c>
      <c r="H37" s="162">
        <v>63.69</v>
      </c>
      <c r="I37" s="158">
        <f t="shared" si="10"/>
        <v>0.2130100334</v>
      </c>
      <c r="J37" s="93">
        <f t="shared" si="11"/>
        <v>235.31</v>
      </c>
      <c r="K37" s="158">
        <f t="shared" si="13"/>
        <v>3.694614539</v>
      </c>
      <c r="L37" s="134">
        <v>359.0</v>
      </c>
      <c r="M37" s="87" t="s">
        <v>111</v>
      </c>
      <c r="N37" s="87"/>
      <c r="O37" s="87"/>
    </row>
    <row r="38" ht="25.5" customHeight="1" outlineLevel="1">
      <c r="A38" s="87"/>
      <c r="B38" s="89" t="s">
        <v>1222</v>
      </c>
      <c r="C38" s="89" t="s">
        <v>206</v>
      </c>
      <c r="D38" s="181"/>
      <c r="E38" s="258">
        <v>200.0</v>
      </c>
      <c r="F38" s="93">
        <v>299.0</v>
      </c>
      <c r="G38" s="93">
        <v>299.0</v>
      </c>
      <c r="H38" s="162">
        <v>64.89</v>
      </c>
      <c r="I38" s="158">
        <f t="shared" si="10"/>
        <v>0.2170234114</v>
      </c>
      <c r="J38" s="93">
        <f t="shared" si="11"/>
        <v>234.11</v>
      </c>
      <c r="K38" s="158">
        <f t="shared" si="13"/>
        <v>3.607797812</v>
      </c>
      <c r="L38" s="134">
        <v>359.0</v>
      </c>
      <c r="M38" s="87" t="s">
        <v>111</v>
      </c>
      <c r="N38" s="87"/>
      <c r="O38" s="87"/>
    </row>
    <row r="39" ht="24.75" customHeight="1" outlineLevel="1">
      <c r="A39" s="87"/>
      <c r="B39" s="89" t="s">
        <v>1222</v>
      </c>
      <c r="C39" s="89" t="s">
        <v>207</v>
      </c>
      <c r="D39" s="181"/>
      <c r="E39" s="258" t="s">
        <v>202</v>
      </c>
      <c r="F39" s="93">
        <v>389.0</v>
      </c>
      <c r="G39" s="93">
        <v>399.0</v>
      </c>
      <c r="H39" s="162">
        <v>69.24</v>
      </c>
      <c r="I39" s="158">
        <f t="shared" si="10"/>
        <v>0.1735338346</v>
      </c>
      <c r="J39" s="93">
        <f t="shared" si="11"/>
        <v>329.76</v>
      </c>
      <c r="K39" s="158">
        <f t="shared" si="13"/>
        <v>4.762564991</v>
      </c>
      <c r="L39" s="134">
        <v>0.0</v>
      </c>
      <c r="M39" s="87" t="s">
        <v>111</v>
      </c>
      <c r="N39" s="87"/>
      <c r="O39" s="87"/>
    </row>
    <row r="40" ht="25.5" customHeight="1">
      <c r="A40" s="614"/>
      <c r="B40" s="615" t="str">
        <f>"Супы "&amp;COUNTA(C41:C44)&amp;" шт"</f>
        <v>Супы 4 шт</v>
      </c>
      <c r="C40" s="614"/>
      <c r="D40" s="614"/>
      <c r="E40" s="616"/>
      <c r="F40" s="695"/>
      <c r="G40" s="695"/>
      <c r="H40" s="618"/>
      <c r="I40" s="671">
        <f>AVERAGE(I41:I44)</f>
        <v>0.239088154</v>
      </c>
      <c r="J40" s="614"/>
      <c r="K40" s="614"/>
      <c r="L40" s="614"/>
      <c r="M40" s="86"/>
      <c r="N40" s="86"/>
      <c r="O40" s="86"/>
    </row>
    <row r="41" ht="25.5" customHeight="1" outlineLevel="1">
      <c r="A41" s="87"/>
      <c r="B41" s="116"/>
      <c r="C41" s="89" t="s">
        <v>214</v>
      </c>
      <c r="D41" s="116" t="s">
        <v>1079</v>
      </c>
      <c r="E41" s="258">
        <v>300.0</v>
      </c>
      <c r="F41" s="93">
        <v>349.0</v>
      </c>
      <c r="G41" s="93">
        <v>359.0</v>
      </c>
      <c r="H41" s="162">
        <v>74.57</v>
      </c>
      <c r="I41" s="158">
        <f t="shared" ref="I41:I44" si="14">H41/G41</f>
        <v>0.2077158774</v>
      </c>
      <c r="J41" s="93">
        <f t="shared" ref="J41:J44" si="15">G41-H41</f>
        <v>284.43</v>
      </c>
      <c r="K41" s="158">
        <f t="shared" ref="K41:K44" si="16">G41/H41-1</f>
        <v>3.814268473</v>
      </c>
      <c r="L41" s="134">
        <v>389.0</v>
      </c>
      <c r="M41" s="87" t="s">
        <v>111</v>
      </c>
      <c r="N41" s="87"/>
      <c r="O41" s="87"/>
    </row>
    <row r="42" ht="25.5" customHeight="1" outlineLevel="1">
      <c r="A42" s="87"/>
      <c r="B42" s="89"/>
      <c r="C42" s="89" t="s">
        <v>1080</v>
      </c>
      <c r="D42" s="181" t="s">
        <v>1081</v>
      </c>
      <c r="E42" s="258">
        <v>300.0</v>
      </c>
      <c r="F42" s="93">
        <v>429.0</v>
      </c>
      <c r="G42" s="93">
        <v>439.0</v>
      </c>
      <c r="H42" s="162">
        <v>127.69</v>
      </c>
      <c r="I42" s="158">
        <f t="shared" si="14"/>
        <v>0.2908656036</v>
      </c>
      <c r="J42" s="93">
        <f t="shared" si="15"/>
        <v>311.31</v>
      </c>
      <c r="K42" s="158">
        <f t="shared" si="16"/>
        <v>2.43801394</v>
      </c>
      <c r="L42" s="134">
        <v>459.0</v>
      </c>
      <c r="M42" s="87" t="s">
        <v>111</v>
      </c>
      <c r="N42" s="87"/>
      <c r="O42" s="87"/>
    </row>
    <row r="43" ht="25.5" customHeight="1" outlineLevel="1">
      <c r="A43" s="87"/>
      <c r="B43" s="89"/>
      <c r="C43" s="89" t="s">
        <v>219</v>
      </c>
      <c r="D43" s="181" t="s">
        <v>1082</v>
      </c>
      <c r="E43" s="258">
        <v>350.0</v>
      </c>
      <c r="F43" s="93">
        <v>659.0</v>
      </c>
      <c r="G43" s="93">
        <v>659.0</v>
      </c>
      <c r="H43" s="162">
        <v>168.17</v>
      </c>
      <c r="I43" s="158">
        <f t="shared" si="14"/>
        <v>0.2551896813</v>
      </c>
      <c r="J43" s="93">
        <f t="shared" si="15"/>
        <v>490.83</v>
      </c>
      <c r="K43" s="158">
        <f t="shared" si="16"/>
        <v>2.918653743</v>
      </c>
      <c r="L43" s="134">
        <v>659.0</v>
      </c>
      <c r="M43" s="87" t="s">
        <v>111</v>
      </c>
      <c r="N43" s="87"/>
      <c r="O43" s="87"/>
    </row>
    <row r="44" ht="25.5" customHeight="1" outlineLevel="1">
      <c r="A44" s="87"/>
      <c r="B44" s="89"/>
      <c r="C44" s="89" t="s">
        <v>1083</v>
      </c>
      <c r="D44" s="181" t="s">
        <v>1084</v>
      </c>
      <c r="E44" s="258">
        <v>300.0</v>
      </c>
      <c r="F44" s="93">
        <v>399.0</v>
      </c>
      <c r="G44" s="93">
        <v>399.0</v>
      </c>
      <c r="H44" s="162">
        <v>80.83</v>
      </c>
      <c r="I44" s="158">
        <f t="shared" si="14"/>
        <v>0.2025814536</v>
      </c>
      <c r="J44" s="93">
        <f t="shared" si="15"/>
        <v>318.17</v>
      </c>
      <c r="K44" s="158">
        <f t="shared" si="16"/>
        <v>3.936286032</v>
      </c>
      <c r="L44" s="134">
        <v>399.0</v>
      </c>
      <c r="M44" s="87" t="s">
        <v>111</v>
      </c>
      <c r="N44" s="87"/>
      <c r="O44" s="87"/>
    </row>
    <row r="45" ht="25.5" customHeight="1">
      <c r="A45" s="614"/>
      <c r="B45" s="615" t="str">
        <f>"Горячее, паста "&amp;COUNTA(C46:C62)&amp;" шт"</f>
        <v>Горячее, паста 17 шт</v>
      </c>
      <c r="C45" s="614"/>
      <c r="D45" s="614"/>
      <c r="E45" s="616" t="s">
        <v>220</v>
      </c>
      <c r="F45" s="695"/>
      <c r="G45" s="695"/>
      <c r="H45" s="618"/>
      <c r="I45" s="648">
        <f>AVERAGE(I46:I62)</f>
        <v>0.2509602058</v>
      </c>
      <c r="J45" s="614"/>
      <c r="K45" s="614"/>
      <c r="L45" s="614"/>
      <c r="M45" s="86"/>
      <c r="N45" s="86"/>
      <c r="O45" s="86"/>
    </row>
    <row r="46" ht="25.5" customHeight="1" outlineLevel="1">
      <c r="A46" s="87"/>
      <c r="B46" s="181"/>
      <c r="C46" s="89" t="s">
        <v>1094</v>
      </c>
      <c r="D46" s="181" t="s">
        <v>1095</v>
      </c>
      <c r="E46" s="258">
        <v>300.0</v>
      </c>
      <c r="F46" s="93">
        <v>359.0</v>
      </c>
      <c r="G46" s="93">
        <v>359.0</v>
      </c>
      <c r="H46" s="162">
        <v>93.08</v>
      </c>
      <c r="I46" s="158">
        <f t="shared" ref="I46:I62" si="17">H46/G46</f>
        <v>0.259275766</v>
      </c>
      <c r="J46" s="93">
        <f t="shared" ref="J46:J62" si="18">G46-H46</f>
        <v>265.92</v>
      </c>
      <c r="K46" s="158">
        <f t="shared" ref="K46:K62" si="19">G46/H46-1</f>
        <v>2.856897293</v>
      </c>
      <c r="L46" s="134">
        <v>389.0</v>
      </c>
      <c r="M46" s="87" t="s">
        <v>111</v>
      </c>
      <c r="N46" s="87"/>
      <c r="O46" s="87"/>
    </row>
    <row r="47" ht="39.75" customHeight="1" outlineLevel="1">
      <c r="A47" s="87"/>
      <c r="B47" s="181" t="s">
        <v>1234</v>
      </c>
      <c r="C47" s="89" t="s">
        <v>1085</v>
      </c>
      <c r="D47" s="181" t="s">
        <v>1086</v>
      </c>
      <c r="E47" s="258">
        <v>280.0</v>
      </c>
      <c r="F47" s="93">
        <v>569.0</v>
      </c>
      <c r="G47" s="93">
        <v>569.0</v>
      </c>
      <c r="H47" s="162">
        <v>156.9</v>
      </c>
      <c r="I47" s="158">
        <f t="shared" si="17"/>
        <v>0.2757469244</v>
      </c>
      <c r="J47" s="93">
        <f t="shared" si="18"/>
        <v>412.1</v>
      </c>
      <c r="K47" s="158">
        <f t="shared" si="19"/>
        <v>2.626513703</v>
      </c>
      <c r="L47" s="134">
        <v>0.0</v>
      </c>
      <c r="M47" s="87" t="s">
        <v>111</v>
      </c>
      <c r="N47" s="87"/>
      <c r="O47" s="87"/>
    </row>
    <row r="48" ht="39.75" customHeight="1" outlineLevel="1">
      <c r="A48" s="87"/>
      <c r="B48" s="181" t="s">
        <v>1216</v>
      </c>
      <c r="C48" s="89" t="s">
        <v>277</v>
      </c>
      <c r="D48" s="181" t="s">
        <v>1087</v>
      </c>
      <c r="E48" s="258">
        <v>230.0</v>
      </c>
      <c r="F48" s="93">
        <v>469.0</v>
      </c>
      <c r="G48" s="93">
        <v>469.0</v>
      </c>
      <c r="H48" s="162">
        <v>105.24</v>
      </c>
      <c r="I48" s="158">
        <f t="shared" si="17"/>
        <v>0.2243923241</v>
      </c>
      <c r="J48" s="93">
        <f t="shared" si="18"/>
        <v>363.76</v>
      </c>
      <c r="K48" s="158">
        <f t="shared" si="19"/>
        <v>3.456480426</v>
      </c>
      <c r="L48" s="134">
        <v>499.0</v>
      </c>
      <c r="M48" s="87" t="s">
        <v>111</v>
      </c>
      <c r="N48" s="87"/>
      <c r="O48" s="87"/>
    </row>
    <row r="49" ht="25.5" customHeight="1" outlineLevel="1">
      <c r="A49" s="87"/>
      <c r="B49" s="181" t="s">
        <v>1237</v>
      </c>
      <c r="C49" s="89" t="s">
        <v>280</v>
      </c>
      <c r="D49" s="181" t="s">
        <v>1088</v>
      </c>
      <c r="E49" s="258">
        <v>250.0</v>
      </c>
      <c r="F49" s="93">
        <v>439.0</v>
      </c>
      <c r="G49" s="93">
        <v>449.0</v>
      </c>
      <c r="H49" s="162">
        <v>108.0</v>
      </c>
      <c r="I49" s="158">
        <f t="shared" si="17"/>
        <v>0.2405345212</v>
      </c>
      <c r="J49" s="93">
        <f t="shared" si="18"/>
        <v>341</v>
      </c>
      <c r="K49" s="158">
        <f t="shared" si="19"/>
        <v>3.157407407</v>
      </c>
      <c r="L49" s="134">
        <v>479.0</v>
      </c>
      <c r="M49" s="87" t="s">
        <v>111</v>
      </c>
      <c r="N49" s="87"/>
      <c r="O49" s="87"/>
    </row>
    <row r="50" ht="25.5" customHeight="1" outlineLevel="1">
      <c r="A50" s="87"/>
      <c r="B50" s="181" t="s">
        <v>1092</v>
      </c>
      <c r="C50" s="181" t="s">
        <v>1092</v>
      </c>
      <c r="D50" s="181" t="s">
        <v>1093</v>
      </c>
      <c r="E50" s="258">
        <v>230.0</v>
      </c>
      <c r="F50" s="93"/>
      <c r="G50" s="93">
        <v>599.0</v>
      </c>
      <c r="H50" s="162">
        <v>175.0</v>
      </c>
      <c r="I50" s="158">
        <f t="shared" si="17"/>
        <v>0.2921535893</v>
      </c>
      <c r="J50" s="93">
        <f t="shared" si="18"/>
        <v>424</v>
      </c>
      <c r="K50" s="158">
        <f t="shared" si="19"/>
        <v>2.422857143</v>
      </c>
      <c r="L50" s="134"/>
      <c r="M50" s="87"/>
      <c r="N50" s="87"/>
      <c r="O50" s="87"/>
    </row>
    <row r="51" ht="25.5" customHeight="1" outlineLevel="1">
      <c r="A51" s="87"/>
      <c r="B51" s="181" t="s">
        <v>1216</v>
      </c>
      <c r="C51" s="89" t="s">
        <v>283</v>
      </c>
      <c r="D51" s="181" t="s">
        <v>1089</v>
      </c>
      <c r="E51" s="258">
        <v>250.0</v>
      </c>
      <c r="F51" s="93">
        <v>589.0</v>
      </c>
      <c r="G51" s="93">
        <v>599.0</v>
      </c>
      <c r="H51" s="162">
        <v>167.42</v>
      </c>
      <c r="I51" s="158">
        <f t="shared" si="17"/>
        <v>0.2794991653</v>
      </c>
      <c r="J51" s="93">
        <f t="shared" si="18"/>
        <v>431.58</v>
      </c>
      <c r="K51" s="158">
        <f t="shared" si="19"/>
        <v>2.577828216</v>
      </c>
      <c r="L51" s="134">
        <v>659.0</v>
      </c>
      <c r="M51" s="87" t="s">
        <v>111</v>
      </c>
      <c r="N51" s="87"/>
      <c r="O51" s="87"/>
    </row>
    <row r="52" ht="40.5" customHeight="1" outlineLevel="1">
      <c r="A52" s="87"/>
      <c r="B52" s="181"/>
      <c r="C52" s="89" t="s">
        <v>300</v>
      </c>
      <c r="D52" s="181" t="s">
        <v>1109</v>
      </c>
      <c r="E52" s="258">
        <v>300.0</v>
      </c>
      <c r="F52" s="93">
        <v>899.0</v>
      </c>
      <c r="G52" s="93">
        <v>899.0</v>
      </c>
      <c r="H52" s="162">
        <v>186.8</v>
      </c>
      <c r="I52" s="158">
        <f t="shared" si="17"/>
        <v>0.2077864294</v>
      </c>
      <c r="J52" s="93">
        <f t="shared" si="18"/>
        <v>712.2</v>
      </c>
      <c r="K52" s="158">
        <f t="shared" si="19"/>
        <v>3.812633833</v>
      </c>
      <c r="L52" s="134">
        <v>999.0</v>
      </c>
      <c r="M52" s="87" t="s">
        <v>111</v>
      </c>
      <c r="N52" s="87"/>
      <c r="O52" s="87"/>
    </row>
    <row r="53" ht="25.5" customHeight="1" outlineLevel="1">
      <c r="A53" s="87"/>
      <c r="B53" s="89" t="s">
        <v>1282</v>
      </c>
      <c r="C53" s="89" t="s">
        <v>2302</v>
      </c>
      <c r="D53" s="181"/>
      <c r="E53" s="258">
        <v>300.0</v>
      </c>
      <c r="F53" s="93">
        <v>0.0</v>
      </c>
      <c r="G53" s="93">
        <v>499.0</v>
      </c>
      <c r="H53" s="162">
        <v>152.3</v>
      </c>
      <c r="I53" s="158">
        <f t="shared" si="17"/>
        <v>0.3052104208</v>
      </c>
      <c r="J53" s="93">
        <f t="shared" si="18"/>
        <v>346.7</v>
      </c>
      <c r="K53" s="158">
        <f t="shared" si="19"/>
        <v>2.276428102</v>
      </c>
      <c r="L53" s="134">
        <v>0.0</v>
      </c>
      <c r="M53" s="87" t="s">
        <v>111</v>
      </c>
      <c r="N53" s="87"/>
      <c r="O53" s="87"/>
    </row>
    <row r="54" ht="25.5" customHeight="1" outlineLevel="1">
      <c r="A54" s="87"/>
      <c r="B54" s="181" t="s">
        <v>1096</v>
      </c>
      <c r="C54" s="181" t="s">
        <v>1096</v>
      </c>
      <c r="D54" s="181" t="s">
        <v>1097</v>
      </c>
      <c r="E54" s="258">
        <v>250.0</v>
      </c>
      <c r="F54" s="93">
        <v>0.0</v>
      </c>
      <c r="G54" s="93">
        <v>499.0</v>
      </c>
      <c r="H54" s="162">
        <v>130.9</v>
      </c>
      <c r="I54" s="158">
        <f t="shared" si="17"/>
        <v>0.2623246493</v>
      </c>
      <c r="J54" s="93">
        <f t="shared" si="18"/>
        <v>368.1</v>
      </c>
      <c r="K54" s="158">
        <f t="shared" si="19"/>
        <v>2.812070283</v>
      </c>
      <c r="L54" s="134">
        <v>0.0</v>
      </c>
      <c r="M54" s="87" t="s">
        <v>111</v>
      </c>
      <c r="N54" s="87"/>
      <c r="O54" s="87"/>
    </row>
    <row r="55" ht="25.5" customHeight="1" outlineLevel="1">
      <c r="A55" s="87"/>
      <c r="B55" s="181" t="s">
        <v>1246</v>
      </c>
      <c r="C55" s="181" t="s">
        <v>2304</v>
      </c>
      <c r="D55" s="181" t="s">
        <v>1098</v>
      </c>
      <c r="E55" s="258">
        <v>250.0</v>
      </c>
      <c r="F55" s="93">
        <v>0.0</v>
      </c>
      <c r="G55" s="93">
        <v>499.0</v>
      </c>
      <c r="H55" s="162">
        <v>123.5</v>
      </c>
      <c r="I55" s="158">
        <f t="shared" si="17"/>
        <v>0.24749499</v>
      </c>
      <c r="J55" s="93">
        <f t="shared" si="18"/>
        <v>375.5</v>
      </c>
      <c r="K55" s="158">
        <f t="shared" si="19"/>
        <v>3.04048583</v>
      </c>
      <c r="L55" s="134">
        <v>0.0</v>
      </c>
      <c r="M55" s="87" t="s">
        <v>112</v>
      </c>
      <c r="N55" s="87"/>
      <c r="O55" s="87"/>
    </row>
    <row r="56" ht="25.5" customHeight="1" outlineLevel="1">
      <c r="A56" s="87"/>
      <c r="B56" s="181"/>
      <c r="C56" s="89" t="s">
        <v>293</v>
      </c>
      <c r="D56" s="181" t="s">
        <v>1104</v>
      </c>
      <c r="E56" s="258">
        <v>230.0</v>
      </c>
      <c r="F56" s="93">
        <v>489.0</v>
      </c>
      <c r="G56" s="93">
        <v>539.0</v>
      </c>
      <c r="H56" s="162">
        <v>151.0</v>
      </c>
      <c r="I56" s="158">
        <f t="shared" si="17"/>
        <v>0.280148423</v>
      </c>
      <c r="J56" s="93">
        <f t="shared" si="18"/>
        <v>388</v>
      </c>
      <c r="K56" s="158">
        <f t="shared" si="19"/>
        <v>2.569536424</v>
      </c>
      <c r="L56" s="134">
        <v>499.0</v>
      </c>
      <c r="M56" s="87" t="s">
        <v>111</v>
      </c>
      <c r="N56" s="87"/>
      <c r="O56" s="87"/>
    </row>
    <row r="57" ht="25.5" customHeight="1" outlineLevel="1">
      <c r="A57" s="87"/>
      <c r="B57" s="181"/>
      <c r="C57" s="89" t="s">
        <v>297</v>
      </c>
      <c r="D57" s="181" t="s">
        <v>1105</v>
      </c>
      <c r="E57" s="258">
        <v>230.0</v>
      </c>
      <c r="F57" s="93">
        <v>499.0</v>
      </c>
      <c r="G57" s="93">
        <v>549.0</v>
      </c>
      <c r="H57" s="162">
        <v>137.9</v>
      </c>
      <c r="I57" s="158">
        <f t="shared" si="17"/>
        <v>0.2511839709</v>
      </c>
      <c r="J57" s="93">
        <f t="shared" si="18"/>
        <v>411.1</v>
      </c>
      <c r="K57" s="158">
        <f t="shared" si="19"/>
        <v>2.981145758</v>
      </c>
      <c r="L57" s="134">
        <v>499.0</v>
      </c>
      <c r="M57" s="87" t="s">
        <v>111</v>
      </c>
      <c r="N57" s="87"/>
      <c r="O57" s="87"/>
    </row>
    <row r="58" ht="25.5" customHeight="1" outlineLevel="1">
      <c r="A58" s="87"/>
      <c r="B58" s="181"/>
      <c r="C58" s="89" t="s">
        <v>1106</v>
      </c>
      <c r="D58" s="181" t="s">
        <v>1107</v>
      </c>
      <c r="E58" s="258" t="s">
        <v>1108</v>
      </c>
      <c r="F58" s="93">
        <v>589.0</v>
      </c>
      <c r="G58" s="93">
        <v>599.0</v>
      </c>
      <c r="H58" s="162">
        <v>143.6</v>
      </c>
      <c r="I58" s="158">
        <f t="shared" si="17"/>
        <v>0.2397328881</v>
      </c>
      <c r="J58" s="93">
        <f t="shared" si="18"/>
        <v>455.4</v>
      </c>
      <c r="K58" s="158">
        <f t="shared" si="19"/>
        <v>3.171309192</v>
      </c>
      <c r="L58" s="134">
        <v>649.0</v>
      </c>
      <c r="M58" s="87" t="s">
        <v>111</v>
      </c>
      <c r="N58" s="87"/>
      <c r="O58" s="87"/>
    </row>
    <row r="59" ht="25.5" customHeight="1" outlineLevel="1">
      <c r="A59" s="87"/>
      <c r="B59" s="181" t="s">
        <v>1243</v>
      </c>
      <c r="C59" s="89" t="s">
        <v>1099</v>
      </c>
      <c r="D59" s="181" t="s">
        <v>1100</v>
      </c>
      <c r="E59" s="258">
        <v>250.0</v>
      </c>
      <c r="F59" s="93">
        <v>749.0</v>
      </c>
      <c r="G59" s="93">
        <v>749.0</v>
      </c>
      <c r="H59" s="162">
        <v>132.5</v>
      </c>
      <c r="I59" s="158">
        <f t="shared" si="17"/>
        <v>0.1769025367</v>
      </c>
      <c r="J59" s="93">
        <f t="shared" si="18"/>
        <v>616.5</v>
      </c>
      <c r="K59" s="158">
        <f t="shared" si="19"/>
        <v>4.652830189</v>
      </c>
      <c r="L59" s="134">
        <v>0.0</v>
      </c>
      <c r="M59" s="87" t="s">
        <v>111</v>
      </c>
      <c r="N59" s="87"/>
      <c r="O59" s="87"/>
    </row>
    <row r="60" ht="25.5" customHeight="1" outlineLevel="1">
      <c r="A60" s="87"/>
      <c r="B60" s="181"/>
      <c r="C60" s="89" t="s">
        <v>1101</v>
      </c>
      <c r="D60" s="181" t="s">
        <v>1102</v>
      </c>
      <c r="E60" s="258" t="s">
        <v>1103</v>
      </c>
      <c r="F60" s="93">
        <v>1599.0</v>
      </c>
      <c r="G60" s="93">
        <v>1599.0</v>
      </c>
      <c r="H60" s="162">
        <v>477.0</v>
      </c>
      <c r="I60" s="158">
        <f t="shared" si="17"/>
        <v>0.2983114447</v>
      </c>
      <c r="J60" s="93">
        <f t="shared" si="18"/>
        <v>1122</v>
      </c>
      <c r="K60" s="158">
        <f t="shared" si="19"/>
        <v>2.352201258</v>
      </c>
      <c r="L60" s="134"/>
      <c r="M60" s="87" t="s">
        <v>112</v>
      </c>
      <c r="N60" s="87"/>
      <c r="O60" s="87"/>
    </row>
    <row r="61" ht="25.5" customHeight="1" outlineLevel="1">
      <c r="A61" s="87"/>
      <c r="B61" s="181"/>
      <c r="C61" s="89" t="s">
        <v>290</v>
      </c>
      <c r="D61" s="181" t="s">
        <v>288</v>
      </c>
      <c r="E61" s="258">
        <v>120.0</v>
      </c>
      <c r="F61" s="93">
        <v>179.0</v>
      </c>
      <c r="G61" s="93">
        <v>179.0</v>
      </c>
      <c r="H61" s="162">
        <v>25.6</v>
      </c>
      <c r="I61" s="158">
        <f t="shared" si="17"/>
        <v>0.1430167598</v>
      </c>
      <c r="J61" s="93">
        <f t="shared" si="18"/>
        <v>153.4</v>
      </c>
      <c r="K61" s="158">
        <f t="shared" si="19"/>
        <v>5.9921875</v>
      </c>
      <c r="L61" s="134">
        <v>199.0</v>
      </c>
      <c r="M61" s="87" t="s">
        <v>111</v>
      </c>
      <c r="N61" s="87"/>
      <c r="O61" s="87"/>
    </row>
    <row r="62" ht="25.5" customHeight="1" outlineLevel="1">
      <c r="A62" s="87"/>
      <c r="B62" s="105"/>
      <c r="C62" s="89" t="s">
        <v>303</v>
      </c>
      <c r="D62" s="181" t="s">
        <v>1110</v>
      </c>
      <c r="E62" s="258">
        <v>170.0</v>
      </c>
      <c r="F62" s="93">
        <v>269.0</v>
      </c>
      <c r="G62" s="93">
        <v>299.0</v>
      </c>
      <c r="H62" s="162">
        <v>84.5</v>
      </c>
      <c r="I62" s="158">
        <f t="shared" si="17"/>
        <v>0.2826086957</v>
      </c>
      <c r="J62" s="93">
        <f t="shared" si="18"/>
        <v>214.5</v>
      </c>
      <c r="K62" s="158">
        <f t="shared" si="19"/>
        <v>2.538461538</v>
      </c>
      <c r="L62" s="134">
        <v>289.0</v>
      </c>
      <c r="M62" s="87" t="s">
        <v>111</v>
      </c>
      <c r="N62" s="87"/>
      <c r="O62" s="87"/>
    </row>
    <row r="63" ht="25.5" customHeight="1">
      <c r="A63" s="614"/>
      <c r="B63" s="615" t="str">
        <f>"Бургеры "&amp;COUNTA(C64:C66)&amp;" шт"</f>
        <v>Бургеры 3 шт</v>
      </c>
      <c r="C63" s="614"/>
      <c r="D63" s="614"/>
      <c r="E63" s="616"/>
      <c r="F63" s="695"/>
      <c r="G63" s="695"/>
      <c r="H63" s="618"/>
      <c r="I63" s="648">
        <f>AVERAGE(I64:I67)</f>
        <v>0.2846975258</v>
      </c>
      <c r="J63" s="614"/>
      <c r="K63" s="614"/>
      <c r="L63" s="670"/>
      <c r="M63" s="86"/>
      <c r="N63" s="86"/>
      <c r="O63" s="86"/>
    </row>
    <row r="64" ht="25.5" customHeight="1" outlineLevel="1">
      <c r="A64" s="87"/>
      <c r="B64" s="89" t="s">
        <v>1116</v>
      </c>
      <c r="C64" s="89" t="s">
        <v>1286</v>
      </c>
      <c r="D64" s="89" t="s">
        <v>313</v>
      </c>
      <c r="E64" s="258">
        <v>300.0</v>
      </c>
      <c r="F64" s="93">
        <v>489.0</v>
      </c>
      <c r="G64" s="93">
        <v>469.0</v>
      </c>
      <c r="H64" s="162">
        <v>130.26</v>
      </c>
      <c r="I64" s="158">
        <f t="shared" ref="I64:I66" si="20">H64/G64</f>
        <v>0.2777398721</v>
      </c>
      <c r="J64" s="93">
        <f t="shared" ref="J64:J66" si="21">G64-H64</f>
        <v>338.74</v>
      </c>
      <c r="K64" s="158">
        <f t="shared" ref="K64:K83" si="22">G64/H64-1</f>
        <v>2.600491325</v>
      </c>
      <c r="L64" s="134">
        <v>499.0</v>
      </c>
      <c r="M64" s="87" t="s">
        <v>111</v>
      </c>
      <c r="N64" s="87"/>
      <c r="O64" s="87"/>
    </row>
    <row r="65" ht="25.5" customHeight="1" outlineLevel="1">
      <c r="A65" s="87"/>
      <c r="B65" s="89" t="s">
        <v>1117</v>
      </c>
      <c r="C65" s="89" t="s">
        <v>1287</v>
      </c>
      <c r="D65" s="89" t="s">
        <v>1118</v>
      </c>
      <c r="E65" s="258">
        <v>300.0</v>
      </c>
      <c r="F65" s="93">
        <v>579.0</v>
      </c>
      <c r="G65" s="93">
        <v>499.0</v>
      </c>
      <c r="H65" s="162">
        <v>144.8</v>
      </c>
      <c r="I65" s="158">
        <f t="shared" si="20"/>
        <v>0.2901803607</v>
      </c>
      <c r="J65" s="93">
        <f t="shared" si="21"/>
        <v>354.2</v>
      </c>
      <c r="K65" s="158">
        <f t="shared" si="22"/>
        <v>2.446132597</v>
      </c>
      <c r="L65" s="134">
        <v>589.0</v>
      </c>
      <c r="M65" s="87" t="s">
        <v>111</v>
      </c>
      <c r="N65" s="87"/>
      <c r="O65" s="87"/>
    </row>
    <row r="66" ht="25.5" customHeight="1" outlineLevel="1">
      <c r="A66" s="87"/>
      <c r="B66" s="89" t="s">
        <v>1116</v>
      </c>
      <c r="C66" s="89" t="s">
        <v>322</v>
      </c>
      <c r="D66" s="89" t="s">
        <v>321</v>
      </c>
      <c r="E66" s="258">
        <v>300.0</v>
      </c>
      <c r="F66" s="93">
        <v>0.0</v>
      </c>
      <c r="G66" s="93">
        <v>499.0</v>
      </c>
      <c r="H66" s="162">
        <v>142.8</v>
      </c>
      <c r="I66" s="158">
        <f t="shared" si="20"/>
        <v>0.2861723447</v>
      </c>
      <c r="J66" s="93">
        <f t="shared" si="21"/>
        <v>356.2</v>
      </c>
      <c r="K66" s="158">
        <f t="shared" si="22"/>
        <v>2.494397759</v>
      </c>
      <c r="L66" s="134">
        <v>659.0</v>
      </c>
      <c r="M66" s="87" t="s">
        <v>111</v>
      </c>
      <c r="N66" s="87"/>
      <c r="O66" s="87"/>
    </row>
    <row r="67" ht="25.5" customHeight="1" outlineLevel="1">
      <c r="A67" s="87"/>
      <c r="B67" s="89"/>
      <c r="C67" s="89" t="s">
        <v>1253</v>
      </c>
      <c r="D67" s="181" t="s">
        <v>324</v>
      </c>
      <c r="E67" s="258">
        <v>280.0</v>
      </c>
      <c r="F67" s="93"/>
      <c r="G67" s="93">
        <v>469.0</v>
      </c>
      <c r="H67" s="162"/>
      <c r="I67" s="158"/>
      <c r="J67" s="87"/>
      <c r="K67" s="158" t="str">
        <f t="shared" si="22"/>
        <v>#DIV/0!</v>
      </c>
      <c r="L67" s="134"/>
      <c r="M67" s="87"/>
      <c r="N67" s="87"/>
      <c r="O67" s="87"/>
    </row>
    <row r="68" ht="25.5" customHeight="1">
      <c r="A68" s="614"/>
      <c r="B68" s="615" t="str">
        <f>"Пицца "&amp;COUNTA(C69:C76)&amp;" шт"</f>
        <v>Пицца 8 шт</v>
      </c>
      <c r="C68" s="614"/>
      <c r="D68" s="614"/>
      <c r="E68" s="616"/>
      <c r="F68" s="695"/>
      <c r="G68" s="695"/>
      <c r="H68" s="618"/>
      <c r="I68" s="648">
        <f>AVERAGE(I69:I76)</f>
        <v>0.2401910582</v>
      </c>
      <c r="J68" s="614"/>
      <c r="K68" s="614" t="str">
        <f t="shared" si="22"/>
        <v>#DIV/0!</v>
      </c>
      <c r="L68" s="670"/>
      <c r="M68" s="86"/>
      <c r="N68" s="86"/>
      <c r="O68" s="86"/>
    </row>
    <row r="69" ht="25.5" customHeight="1" outlineLevel="1">
      <c r="A69" s="87"/>
      <c r="B69" s="181" t="s">
        <v>1255</v>
      </c>
      <c r="C69" s="181" t="s">
        <v>1121</v>
      </c>
      <c r="D69" s="181" t="s">
        <v>327</v>
      </c>
      <c r="E69" s="258">
        <v>0.0</v>
      </c>
      <c r="F69" s="93">
        <v>0.0</v>
      </c>
      <c r="G69" s="93">
        <v>599.0</v>
      </c>
      <c r="H69" s="162">
        <v>132.5</v>
      </c>
      <c r="I69" s="158">
        <f t="shared" ref="I69:I76" si="23">H69/G69</f>
        <v>0.2212020033</v>
      </c>
      <c r="J69" s="93">
        <f t="shared" ref="J69:J76" si="24">G69-H69</f>
        <v>466.5</v>
      </c>
      <c r="K69" s="158">
        <f t="shared" si="22"/>
        <v>3.520754717</v>
      </c>
      <c r="L69" s="134">
        <v>0.0</v>
      </c>
      <c r="M69" s="87" t="s">
        <v>111</v>
      </c>
      <c r="N69" s="87"/>
      <c r="O69" s="87"/>
    </row>
    <row r="70" ht="25.5" customHeight="1" outlineLevel="1">
      <c r="A70" s="87"/>
      <c r="B70" s="90"/>
      <c r="C70" s="89" t="s">
        <v>332</v>
      </c>
      <c r="D70" s="181" t="s">
        <v>331</v>
      </c>
      <c r="E70" s="258">
        <v>430.0</v>
      </c>
      <c r="F70" s="93">
        <v>479.0</v>
      </c>
      <c r="G70" s="93">
        <v>499.0</v>
      </c>
      <c r="H70" s="162">
        <v>98.68</v>
      </c>
      <c r="I70" s="158">
        <f t="shared" si="23"/>
        <v>0.197755511</v>
      </c>
      <c r="J70" s="93">
        <f t="shared" si="24"/>
        <v>400.32</v>
      </c>
      <c r="K70" s="158">
        <f t="shared" si="22"/>
        <v>4.056749088</v>
      </c>
      <c r="L70" s="134">
        <v>529.0</v>
      </c>
      <c r="M70" s="87" t="s">
        <v>111</v>
      </c>
      <c r="N70" s="87"/>
      <c r="O70" s="87"/>
    </row>
    <row r="71" ht="25.5" customHeight="1" outlineLevel="1">
      <c r="A71" s="87"/>
      <c r="B71" s="89"/>
      <c r="C71" s="89" t="s">
        <v>335</v>
      </c>
      <c r="D71" s="181" t="s">
        <v>334</v>
      </c>
      <c r="E71" s="258">
        <v>520.0</v>
      </c>
      <c r="F71" s="93">
        <v>589.0</v>
      </c>
      <c r="G71" s="93">
        <v>599.0</v>
      </c>
      <c r="H71" s="162">
        <v>135.75</v>
      </c>
      <c r="I71" s="158">
        <f t="shared" si="23"/>
        <v>0.2266277129</v>
      </c>
      <c r="J71" s="93">
        <f t="shared" si="24"/>
        <v>463.25</v>
      </c>
      <c r="K71" s="158">
        <f t="shared" si="22"/>
        <v>3.41252302</v>
      </c>
      <c r="L71" s="134">
        <v>629.0</v>
      </c>
      <c r="M71" s="87" t="s">
        <v>111</v>
      </c>
      <c r="N71" s="87"/>
      <c r="O71" s="87"/>
    </row>
    <row r="72" ht="25.5" customHeight="1" outlineLevel="1">
      <c r="A72" s="87"/>
      <c r="B72" s="89"/>
      <c r="C72" s="89" t="s">
        <v>339</v>
      </c>
      <c r="D72" s="181" t="s">
        <v>338</v>
      </c>
      <c r="E72" s="258">
        <v>490.0</v>
      </c>
      <c r="F72" s="93">
        <v>589.0</v>
      </c>
      <c r="G72" s="93">
        <v>599.0</v>
      </c>
      <c r="H72" s="162">
        <v>126.8</v>
      </c>
      <c r="I72" s="158">
        <f t="shared" si="23"/>
        <v>0.2116861436</v>
      </c>
      <c r="J72" s="93">
        <f t="shared" si="24"/>
        <v>472.2</v>
      </c>
      <c r="K72" s="158">
        <f t="shared" si="22"/>
        <v>3.723974763</v>
      </c>
      <c r="L72" s="134">
        <v>629.0</v>
      </c>
      <c r="M72" s="87" t="s">
        <v>111</v>
      </c>
      <c r="N72" s="87"/>
      <c r="O72" s="87"/>
    </row>
    <row r="73" ht="25.5" customHeight="1" outlineLevel="1">
      <c r="A73" s="87"/>
      <c r="B73" s="181"/>
      <c r="C73" s="89" t="s">
        <v>342</v>
      </c>
      <c r="D73" s="181" t="s">
        <v>341</v>
      </c>
      <c r="E73" s="258">
        <v>560.0</v>
      </c>
      <c r="F73" s="93">
        <v>599.0</v>
      </c>
      <c r="G73" s="93">
        <v>599.0</v>
      </c>
      <c r="H73" s="162">
        <v>178.9</v>
      </c>
      <c r="I73" s="158">
        <f t="shared" si="23"/>
        <v>0.2986644407</v>
      </c>
      <c r="J73" s="93">
        <f t="shared" si="24"/>
        <v>420.1</v>
      </c>
      <c r="K73" s="158">
        <f t="shared" si="22"/>
        <v>2.34823924</v>
      </c>
      <c r="L73" s="134">
        <v>629.0</v>
      </c>
      <c r="M73" s="87" t="s">
        <v>111</v>
      </c>
      <c r="N73" s="87"/>
      <c r="O73" s="87"/>
    </row>
    <row r="74" ht="37.5" customHeight="1" outlineLevel="1">
      <c r="A74" s="87"/>
      <c r="B74" s="679"/>
      <c r="C74" s="89" t="s">
        <v>1122</v>
      </c>
      <c r="D74" s="181" t="s">
        <v>1123</v>
      </c>
      <c r="E74" s="258">
        <v>510.0</v>
      </c>
      <c r="F74" s="93">
        <v>589.0</v>
      </c>
      <c r="G74" s="93">
        <v>599.0</v>
      </c>
      <c r="H74" s="162">
        <v>135.9</v>
      </c>
      <c r="I74" s="158">
        <f t="shared" si="23"/>
        <v>0.2268781302</v>
      </c>
      <c r="J74" s="93">
        <f t="shared" si="24"/>
        <v>463.1</v>
      </c>
      <c r="K74" s="158">
        <f t="shared" si="22"/>
        <v>3.407652686</v>
      </c>
      <c r="L74" s="134">
        <v>629.0</v>
      </c>
      <c r="M74" s="87" t="s">
        <v>111</v>
      </c>
      <c r="N74" s="87"/>
      <c r="O74" s="87"/>
    </row>
    <row r="75" ht="25.5" customHeight="1" outlineLevel="1">
      <c r="A75" s="87"/>
      <c r="B75" s="89"/>
      <c r="C75" s="89" t="s">
        <v>344</v>
      </c>
      <c r="D75" s="181" t="s">
        <v>1124</v>
      </c>
      <c r="E75" s="258">
        <v>520.0</v>
      </c>
      <c r="F75" s="93">
        <v>589.0</v>
      </c>
      <c r="G75" s="93">
        <v>599.0</v>
      </c>
      <c r="H75" s="162">
        <v>167.79</v>
      </c>
      <c r="I75" s="158">
        <f t="shared" si="23"/>
        <v>0.2801168614</v>
      </c>
      <c r="J75" s="93">
        <f t="shared" si="24"/>
        <v>431.21</v>
      </c>
      <c r="K75" s="158">
        <f t="shared" si="22"/>
        <v>2.569938614</v>
      </c>
      <c r="L75" s="134">
        <v>629.0</v>
      </c>
      <c r="M75" s="87" t="s">
        <v>112</v>
      </c>
      <c r="N75" s="87"/>
      <c r="O75" s="87"/>
    </row>
    <row r="76" ht="25.5" customHeight="1" outlineLevel="1">
      <c r="A76" s="87"/>
      <c r="B76" s="181" t="s">
        <v>1261</v>
      </c>
      <c r="C76" s="89" t="s">
        <v>1125</v>
      </c>
      <c r="D76" s="181" t="s">
        <v>1126</v>
      </c>
      <c r="E76" s="258">
        <v>0.0</v>
      </c>
      <c r="F76" s="93">
        <v>0.0</v>
      </c>
      <c r="G76" s="93">
        <v>599.0</v>
      </c>
      <c r="H76" s="162">
        <v>154.9</v>
      </c>
      <c r="I76" s="158">
        <f t="shared" si="23"/>
        <v>0.2585976628</v>
      </c>
      <c r="J76" s="93">
        <f t="shared" si="24"/>
        <v>444.1</v>
      </c>
      <c r="K76" s="158">
        <f t="shared" si="22"/>
        <v>2.867010975</v>
      </c>
      <c r="L76" s="134">
        <v>0.0</v>
      </c>
      <c r="M76" s="87" t="s">
        <v>111</v>
      </c>
      <c r="N76" s="87"/>
      <c r="O76" s="87"/>
    </row>
    <row r="77" ht="25.5" customHeight="1">
      <c r="A77" s="86"/>
      <c r="B77" s="615" t="str">
        <f>"Десерты "&amp;COUNTA(C78:C83)&amp;" шт"</f>
        <v>Десерты 5 шт</v>
      </c>
      <c r="C77" s="614"/>
      <c r="D77" s="681"/>
      <c r="E77" s="682"/>
      <c r="F77" s="645"/>
      <c r="G77" s="645"/>
      <c r="H77" s="683"/>
      <c r="I77" s="648">
        <f>AVERAGE(I78:I83)</f>
        <v>0.295564804</v>
      </c>
      <c r="J77" s="86"/>
      <c r="K77" s="648" t="str">
        <f t="shared" si="22"/>
        <v>#DIV/0!</v>
      </c>
      <c r="L77" s="670"/>
      <c r="M77" s="86"/>
      <c r="N77" s="86"/>
      <c r="O77" s="86"/>
    </row>
    <row r="78" ht="48.0" customHeight="1" outlineLevel="1">
      <c r="A78" s="87"/>
      <c r="B78" s="87"/>
      <c r="C78" s="89" t="s">
        <v>373</v>
      </c>
      <c r="D78" s="87" t="s">
        <v>374</v>
      </c>
      <c r="E78" s="258">
        <v>300.0</v>
      </c>
      <c r="F78" s="93">
        <v>389.0</v>
      </c>
      <c r="G78" s="93">
        <v>399.0</v>
      </c>
      <c r="H78" s="162">
        <v>111.85</v>
      </c>
      <c r="I78" s="158">
        <f t="shared" ref="I78:I83" si="25">H78/G78</f>
        <v>0.2803258145</v>
      </c>
      <c r="J78" s="93">
        <f t="shared" ref="J78:J83" si="26">G78-H78</f>
        <v>287.15</v>
      </c>
      <c r="K78" s="158">
        <f t="shared" si="22"/>
        <v>2.567277604</v>
      </c>
      <c r="L78" s="134"/>
      <c r="M78" s="87" t="s">
        <v>112</v>
      </c>
      <c r="N78" s="87"/>
      <c r="O78" s="87"/>
    </row>
    <row r="79" ht="25.5" customHeight="1" outlineLevel="1">
      <c r="A79" s="87"/>
      <c r="B79" s="87" t="s">
        <v>1264</v>
      </c>
      <c r="C79" s="89" t="s">
        <v>375</v>
      </c>
      <c r="D79" s="87" t="s">
        <v>1130</v>
      </c>
      <c r="E79" s="258">
        <v>180.0</v>
      </c>
      <c r="F79" s="93">
        <v>0.0</v>
      </c>
      <c r="G79" s="93">
        <v>399.0</v>
      </c>
      <c r="H79" s="162">
        <v>130.0</v>
      </c>
      <c r="I79" s="158">
        <f t="shared" si="25"/>
        <v>0.3258145363</v>
      </c>
      <c r="J79" s="93">
        <f t="shared" si="26"/>
        <v>269</v>
      </c>
      <c r="K79" s="158">
        <f t="shared" si="22"/>
        <v>2.069230769</v>
      </c>
      <c r="L79" s="134">
        <v>0.0</v>
      </c>
      <c r="M79" s="87" t="s">
        <v>111</v>
      </c>
      <c r="N79" s="87"/>
      <c r="O79" s="87"/>
    </row>
    <row r="80" ht="25.5" customHeight="1" outlineLevel="1">
      <c r="A80" s="87"/>
      <c r="B80" s="87" t="s">
        <v>1265</v>
      </c>
      <c r="C80" s="89"/>
      <c r="D80" s="87"/>
      <c r="E80" s="258">
        <v>150.0</v>
      </c>
      <c r="F80" s="93">
        <v>0.0</v>
      </c>
      <c r="G80" s="93">
        <v>329.0</v>
      </c>
      <c r="H80" s="162">
        <v>95.8</v>
      </c>
      <c r="I80" s="158">
        <f t="shared" si="25"/>
        <v>0.2911854103</v>
      </c>
      <c r="J80" s="93">
        <f t="shared" si="26"/>
        <v>233.2</v>
      </c>
      <c r="K80" s="158">
        <f t="shared" si="22"/>
        <v>2.434237996</v>
      </c>
      <c r="L80" s="134"/>
      <c r="M80" s="87" t="s">
        <v>112</v>
      </c>
      <c r="N80" s="87"/>
      <c r="O80" s="87"/>
    </row>
    <row r="81" ht="25.5" customHeight="1" outlineLevel="1">
      <c r="A81" s="87"/>
      <c r="B81" s="87" t="s">
        <v>1264</v>
      </c>
      <c r="C81" s="199" t="s">
        <v>378</v>
      </c>
      <c r="D81" s="89" t="s">
        <v>1132</v>
      </c>
      <c r="E81" s="258">
        <v>180.0</v>
      </c>
      <c r="F81" s="93">
        <v>0.0</v>
      </c>
      <c r="G81" s="93">
        <v>399.0</v>
      </c>
      <c r="H81" s="162">
        <v>145.0</v>
      </c>
      <c r="I81" s="158">
        <f t="shared" si="25"/>
        <v>0.3634085213</v>
      </c>
      <c r="J81" s="93">
        <f t="shared" si="26"/>
        <v>254</v>
      </c>
      <c r="K81" s="158">
        <f t="shared" si="22"/>
        <v>1.751724138</v>
      </c>
      <c r="L81" s="134">
        <v>0.0</v>
      </c>
      <c r="M81" s="87" t="s">
        <v>111</v>
      </c>
      <c r="N81" s="87"/>
      <c r="O81" s="87"/>
    </row>
    <row r="82" ht="25.5" customHeight="1" outlineLevel="1">
      <c r="A82" s="87"/>
      <c r="B82" s="87"/>
      <c r="C82" s="89" t="s">
        <v>1129</v>
      </c>
      <c r="D82" s="87"/>
      <c r="E82" s="258">
        <v>180.0</v>
      </c>
      <c r="F82" s="93">
        <v>299.0</v>
      </c>
      <c r="G82" s="93">
        <v>299.0</v>
      </c>
      <c r="H82" s="162">
        <v>76.35</v>
      </c>
      <c r="I82" s="158">
        <f t="shared" si="25"/>
        <v>0.2553511706</v>
      </c>
      <c r="J82" s="93">
        <f t="shared" si="26"/>
        <v>222.65</v>
      </c>
      <c r="K82" s="158">
        <f t="shared" si="22"/>
        <v>2.916175508</v>
      </c>
      <c r="L82" s="134"/>
      <c r="M82" s="87"/>
      <c r="N82" s="106"/>
      <c r="O82" s="184"/>
    </row>
    <row r="83" ht="25.5" customHeight="1" outlineLevel="1">
      <c r="A83" s="87"/>
      <c r="B83" s="181"/>
      <c r="C83" s="89" t="s">
        <v>380</v>
      </c>
      <c r="D83" s="181"/>
      <c r="E83" s="258">
        <v>60.0</v>
      </c>
      <c r="F83" s="93">
        <v>89.0</v>
      </c>
      <c r="G83" s="93">
        <v>89.0</v>
      </c>
      <c r="H83" s="162">
        <v>22.9</v>
      </c>
      <c r="I83" s="158">
        <f t="shared" si="25"/>
        <v>0.2573033708</v>
      </c>
      <c r="J83" s="93">
        <f t="shared" si="26"/>
        <v>66.1</v>
      </c>
      <c r="K83" s="158">
        <f t="shared" si="22"/>
        <v>2.886462882</v>
      </c>
      <c r="L83" s="134"/>
      <c r="M83" s="87" t="s">
        <v>112</v>
      </c>
      <c r="N83" s="87"/>
      <c r="O83" s="87"/>
    </row>
    <row r="84" ht="25.5" customHeight="1" collapsed="1">
      <c r="A84" s="86"/>
      <c r="B84" s="615" t="str">
        <f>"Соусы, допы и хлеб "&amp;COUNTA(C85:C106)&amp;" шт"</f>
        <v>Соусы, допы и хлеб 22 шт</v>
      </c>
      <c r="C84" s="614"/>
      <c r="D84" s="681"/>
      <c r="E84" s="682"/>
      <c r="F84" s="645"/>
      <c r="G84" s="645"/>
      <c r="H84" s="683"/>
      <c r="I84" s="648">
        <f>AVERAGE(I85:I106)</f>
        <v>0.1820203238</v>
      </c>
      <c r="J84" s="86"/>
      <c r="K84" s="648"/>
      <c r="L84" s="670"/>
      <c r="M84" s="86"/>
      <c r="N84" s="86"/>
      <c r="O84" s="86"/>
    </row>
    <row r="85" ht="25.5" hidden="1" customHeight="1" outlineLevel="1">
      <c r="A85" s="87"/>
      <c r="B85" s="89"/>
      <c r="C85" s="89" t="s">
        <v>381</v>
      </c>
      <c r="D85" s="181"/>
      <c r="E85" s="258">
        <v>50.0</v>
      </c>
      <c r="F85" s="93">
        <v>59.0</v>
      </c>
      <c r="G85" s="93">
        <v>59.0</v>
      </c>
      <c r="H85" s="162">
        <v>10.1</v>
      </c>
      <c r="I85" s="158">
        <f t="shared" ref="I85:I106" si="27">H85/G85</f>
        <v>0.1711864407</v>
      </c>
      <c r="J85" s="93">
        <f t="shared" ref="J85:J106" si="28">G85-H85</f>
        <v>48.9</v>
      </c>
      <c r="K85" s="158">
        <f t="shared" ref="K85:K106" si="29">G85/H85-1</f>
        <v>4.841584158</v>
      </c>
      <c r="L85" s="93">
        <v>59.0</v>
      </c>
      <c r="M85" s="87" t="s">
        <v>111</v>
      </c>
      <c r="N85" s="87"/>
      <c r="O85" s="87"/>
    </row>
    <row r="86" ht="25.5" hidden="1" customHeight="1" outlineLevel="1">
      <c r="A86" s="87"/>
      <c r="B86" s="89"/>
      <c r="C86" s="89" t="s">
        <v>1136</v>
      </c>
      <c r="D86" s="181"/>
      <c r="E86" s="258">
        <v>30.0</v>
      </c>
      <c r="F86" s="93">
        <v>69.0</v>
      </c>
      <c r="G86" s="93">
        <v>69.0</v>
      </c>
      <c r="H86" s="162">
        <v>17.9</v>
      </c>
      <c r="I86" s="158">
        <f t="shared" si="27"/>
        <v>0.2594202899</v>
      </c>
      <c r="J86" s="93">
        <f t="shared" si="28"/>
        <v>51.1</v>
      </c>
      <c r="K86" s="158">
        <f t="shared" si="29"/>
        <v>2.854748603</v>
      </c>
      <c r="L86" s="93">
        <v>69.0</v>
      </c>
      <c r="M86" s="87" t="s">
        <v>111</v>
      </c>
      <c r="N86" s="87"/>
      <c r="O86" s="87"/>
    </row>
    <row r="87" ht="25.5" hidden="1" customHeight="1" outlineLevel="1">
      <c r="A87" s="87"/>
      <c r="B87" s="89"/>
      <c r="C87" s="89" t="s">
        <v>383</v>
      </c>
      <c r="D87" s="181"/>
      <c r="E87" s="258">
        <v>30.0</v>
      </c>
      <c r="F87" s="93">
        <v>69.0</v>
      </c>
      <c r="G87" s="93">
        <v>69.0</v>
      </c>
      <c r="H87" s="162">
        <v>20.21</v>
      </c>
      <c r="I87" s="158">
        <f t="shared" si="27"/>
        <v>0.2928985507</v>
      </c>
      <c r="J87" s="93">
        <f t="shared" si="28"/>
        <v>48.79</v>
      </c>
      <c r="K87" s="158">
        <f t="shared" si="29"/>
        <v>2.41415141</v>
      </c>
      <c r="L87" s="93">
        <v>69.0</v>
      </c>
      <c r="M87" s="87" t="s">
        <v>111</v>
      </c>
      <c r="N87" s="87"/>
      <c r="O87" s="87"/>
    </row>
    <row r="88" ht="25.5" hidden="1" customHeight="1" outlineLevel="1">
      <c r="A88" s="87"/>
      <c r="B88" s="89"/>
      <c r="C88" s="89" t="s">
        <v>384</v>
      </c>
      <c r="D88" s="181"/>
      <c r="E88" s="258">
        <v>30.0</v>
      </c>
      <c r="F88" s="93">
        <v>59.0</v>
      </c>
      <c r="G88" s="93">
        <v>59.0</v>
      </c>
      <c r="H88" s="162">
        <v>12.66</v>
      </c>
      <c r="I88" s="158">
        <f t="shared" si="27"/>
        <v>0.2145762712</v>
      </c>
      <c r="J88" s="93">
        <f t="shared" si="28"/>
        <v>46.34</v>
      </c>
      <c r="K88" s="158">
        <f t="shared" si="29"/>
        <v>3.660347551</v>
      </c>
      <c r="L88" s="93">
        <v>59.0</v>
      </c>
      <c r="M88" s="87" t="s">
        <v>111</v>
      </c>
      <c r="N88" s="87"/>
      <c r="O88" s="87"/>
    </row>
    <row r="89" ht="25.5" hidden="1" customHeight="1" outlineLevel="1">
      <c r="A89" s="87"/>
      <c r="B89" s="89"/>
      <c r="C89" s="89" t="s">
        <v>385</v>
      </c>
      <c r="D89" s="181"/>
      <c r="E89" s="258">
        <v>30.0</v>
      </c>
      <c r="F89" s="93">
        <v>69.0</v>
      </c>
      <c r="G89" s="93">
        <v>69.0</v>
      </c>
      <c r="H89" s="162">
        <v>12.95</v>
      </c>
      <c r="I89" s="158">
        <f t="shared" si="27"/>
        <v>0.1876811594</v>
      </c>
      <c r="J89" s="93">
        <f t="shared" si="28"/>
        <v>56.05</v>
      </c>
      <c r="K89" s="158">
        <f t="shared" si="29"/>
        <v>4.328185328</v>
      </c>
      <c r="L89" s="93">
        <v>69.0</v>
      </c>
      <c r="M89" s="87" t="s">
        <v>111</v>
      </c>
      <c r="N89" s="87"/>
      <c r="O89" s="87"/>
    </row>
    <row r="90" ht="25.5" hidden="1" customHeight="1" outlineLevel="1">
      <c r="A90" s="87"/>
      <c r="B90" s="89"/>
      <c r="C90" s="89" t="s">
        <v>386</v>
      </c>
      <c r="D90" s="181"/>
      <c r="E90" s="258">
        <v>15.0</v>
      </c>
      <c r="F90" s="93">
        <v>59.0</v>
      </c>
      <c r="G90" s="93">
        <v>59.0</v>
      </c>
      <c r="H90" s="162">
        <v>8.11</v>
      </c>
      <c r="I90" s="158">
        <f t="shared" si="27"/>
        <v>0.1374576271</v>
      </c>
      <c r="J90" s="93">
        <f t="shared" si="28"/>
        <v>50.89</v>
      </c>
      <c r="K90" s="158">
        <f t="shared" si="29"/>
        <v>6.274969174</v>
      </c>
      <c r="L90" s="93">
        <v>59.0</v>
      </c>
      <c r="M90" s="87" t="s">
        <v>111</v>
      </c>
      <c r="N90" s="87"/>
      <c r="O90" s="87"/>
    </row>
    <row r="91" ht="25.5" hidden="1" customHeight="1" outlineLevel="1">
      <c r="A91" s="87"/>
      <c r="B91" s="89"/>
      <c r="C91" s="89" t="s">
        <v>387</v>
      </c>
      <c r="D91" s="181"/>
      <c r="E91" s="258">
        <v>30.0</v>
      </c>
      <c r="F91" s="93">
        <v>59.0</v>
      </c>
      <c r="G91" s="93">
        <v>59.0</v>
      </c>
      <c r="H91" s="162">
        <v>12.36</v>
      </c>
      <c r="I91" s="158">
        <f t="shared" si="27"/>
        <v>0.2094915254</v>
      </c>
      <c r="J91" s="93">
        <f t="shared" si="28"/>
        <v>46.64</v>
      </c>
      <c r="K91" s="158">
        <f t="shared" si="29"/>
        <v>3.773462783</v>
      </c>
      <c r="L91" s="93">
        <v>59.0</v>
      </c>
      <c r="M91" s="87" t="s">
        <v>111</v>
      </c>
      <c r="N91" s="87"/>
      <c r="O91" s="87"/>
    </row>
    <row r="92" ht="25.5" hidden="1" customHeight="1" outlineLevel="1">
      <c r="A92" s="87"/>
      <c r="B92" s="181"/>
      <c r="C92" s="89" t="s">
        <v>482</v>
      </c>
      <c r="D92" s="181"/>
      <c r="E92" s="258">
        <v>30.0</v>
      </c>
      <c r="F92" s="93">
        <v>59.0</v>
      </c>
      <c r="G92" s="93">
        <v>69.0</v>
      </c>
      <c r="H92" s="162">
        <v>7.34</v>
      </c>
      <c r="I92" s="158">
        <f t="shared" si="27"/>
        <v>0.1063768116</v>
      </c>
      <c r="J92" s="93">
        <f t="shared" si="28"/>
        <v>61.66</v>
      </c>
      <c r="K92" s="158">
        <f t="shared" si="29"/>
        <v>8.400544959</v>
      </c>
      <c r="L92" s="93">
        <v>59.0</v>
      </c>
      <c r="M92" s="87" t="s">
        <v>111</v>
      </c>
      <c r="N92" s="87"/>
      <c r="O92" s="87"/>
    </row>
    <row r="93" ht="25.5" hidden="1" customHeight="1" outlineLevel="1">
      <c r="A93" s="87"/>
      <c r="B93" s="181"/>
      <c r="C93" s="89" t="s">
        <v>1137</v>
      </c>
      <c r="D93" s="181"/>
      <c r="E93" s="258">
        <v>30.0</v>
      </c>
      <c r="F93" s="93">
        <v>59.0</v>
      </c>
      <c r="G93" s="93">
        <v>69.0</v>
      </c>
      <c r="H93" s="162">
        <v>6.51</v>
      </c>
      <c r="I93" s="158">
        <f t="shared" si="27"/>
        <v>0.09434782609</v>
      </c>
      <c r="J93" s="93">
        <f t="shared" si="28"/>
        <v>62.49</v>
      </c>
      <c r="K93" s="158">
        <f t="shared" si="29"/>
        <v>9.599078341</v>
      </c>
      <c r="L93" s="93">
        <v>59.0</v>
      </c>
      <c r="M93" s="87" t="s">
        <v>111</v>
      </c>
      <c r="N93" s="87"/>
      <c r="O93" s="87"/>
    </row>
    <row r="94" ht="25.5" hidden="1" customHeight="1" outlineLevel="1">
      <c r="A94" s="87"/>
      <c r="B94" s="181"/>
      <c r="C94" s="89" t="s">
        <v>484</v>
      </c>
      <c r="D94" s="181"/>
      <c r="E94" s="258">
        <v>30.0</v>
      </c>
      <c r="F94" s="93">
        <v>59.0</v>
      </c>
      <c r="G94" s="93">
        <v>69.0</v>
      </c>
      <c r="H94" s="162">
        <v>15.8</v>
      </c>
      <c r="I94" s="158">
        <f t="shared" si="27"/>
        <v>0.2289855072</v>
      </c>
      <c r="J94" s="93">
        <f t="shared" si="28"/>
        <v>53.2</v>
      </c>
      <c r="K94" s="158">
        <f t="shared" si="29"/>
        <v>3.367088608</v>
      </c>
      <c r="L94" s="93">
        <v>59.0</v>
      </c>
      <c r="M94" s="87" t="s">
        <v>111</v>
      </c>
      <c r="N94" s="87"/>
      <c r="O94" s="87"/>
    </row>
    <row r="95" ht="25.5" hidden="1" customHeight="1" outlineLevel="1">
      <c r="A95" s="87"/>
      <c r="B95" s="181"/>
      <c r="C95" s="89" t="s">
        <v>1138</v>
      </c>
      <c r="D95" s="181"/>
      <c r="E95" s="258">
        <v>30.0</v>
      </c>
      <c r="F95" s="93">
        <v>59.0</v>
      </c>
      <c r="G95" s="93">
        <v>69.0</v>
      </c>
      <c r="H95" s="162">
        <v>9.07</v>
      </c>
      <c r="I95" s="158">
        <f t="shared" si="27"/>
        <v>0.1314492754</v>
      </c>
      <c r="J95" s="93">
        <f t="shared" si="28"/>
        <v>59.93</v>
      </c>
      <c r="K95" s="158">
        <f t="shared" si="29"/>
        <v>6.607497244</v>
      </c>
      <c r="L95" s="93">
        <v>59.0</v>
      </c>
      <c r="M95" s="87" t="s">
        <v>111</v>
      </c>
      <c r="N95" s="87"/>
      <c r="O95" s="87"/>
    </row>
    <row r="96" ht="25.5" hidden="1" customHeight="1" outlineLevel="1">
      <c r="A96" s="87"/>
      <c r="B96" s="181"/>
      <c r="C96" s="89" t="s">
        <v>486</v>
      </c>
      <c r="D96" s="181"/>
      <c r="E96" s="258">
        <v>30.0</v>
      </c>
      <c r="F96" s="93">
        <v>59.0</v>
      </c>
      <c r="G96" s="93">
        <v>69.0</v>
      </c>
      <c r="H96" s="162">
        <v>13.22</v>
      </c>
      <c r="I96" s="158">
        <f t="shared" si="27"/>
        <v>0.1915942029</v>
      </c>
      <c r="J96" s="93">
        <f t="shared" si="28"/>
        <v>55.78</v>
      </c>
      <c r="K96" s="158">
        <f t="shared" si="29"/>
        <v>4.219364599</v>
      </c>
      <c r="L96" s="93">
        <v>59.0</v>
      </c>
      <c r="M96" s="87" t="s">
        <v>111</v>
      </c>
      <c r="N96" s="87"/>
      <c r="O96" s="87"/>
    </row>
    <row r="97" ht="25.5" hidden="1" customHeight="1" outlineLevel="1">
      <c r="A97" s="87"/>
      <c r="B97" s="181"/>
      <c r="C97" s="89" t="s">
        <v>487</v>
      </c>
      <c r="D97" s="181"/>
      <c r="E97" s="258">
        <v>30.0</v>
      </c>
      <c r="F97" s="93">
        <v>59.0</v>
      </c>
      <c r="G97" s="93">
        <v>69.0</v>
      </c>
      <c r="H97" s="162">
        <v>5.38</v>
      </c>
      <c r="I97" s="158">
        <f t="shared" si="27"/>
        <v>0.07797101449</v>
      </c>
      <c r="J97" s="93">
        <f t="shared" si="28"/>
        <v>63.62</v>
      </c>
      <c r="K97" s="158">
        <f t="shared" si="29"/>
        <v>11.82527881</v>
      </c>
      <c r="L97" s="93">
        <v>59.0</v>
      </c>
      <c r="M97" s="87" t="s">
        <v>111</v>
      </c>
      <c r="N97" s="87"/>
      <c r="O97" s="87"/>
    </row>
    <row r="98" ht="25.5" hidden="1" customHeight="1" outlineLevel="1">
      <c r="A98" s="87"/>
      <c r="B98" s="181"/>
      <c r="C98" s="89" t="s">
        <v>488</v>
      </c>
      <c r="D98" s="181"/>
      <c r="E98" s="258">
        <v>30.0</v>
      </c>
      <c r="F98" s="93">
        <v>59.0</v>
      </c>
      <c r="G98" s="93">
        <v>69.0</v>
      </c>
      <c r="H98" s="162">
        <v>15.89</v>
      </c>
      <c r="I98" s="158">
        <f t="shared" si="27"/>
        <v>0.2302898551</v>
      </c>
      <c r="J98" s="93">
        <f t="shared" si="28"/>
        <v>53.11</v>
      </c>
      <c r="K98" s="158">
        <f t="shared" si="29"/>
        <v>3.342353682</v>
      </c>
      <c r="L98" s="93">
        <v>59.0</v>
      </c>
      <c r="M98" s="87" t="s">
        <v>111</v>
      </c>
      <c r="N98" s="87"/>
      <c r="O98" s="87"/>
    </row>
    <row r="99" ht="25.5" hidden="1" customHeight="1" outlineLevel="1">
      <c r="A99" s="87"/>
      <c r="B99" s="181"/>
      <c r="C99" s="89" t="s">
        <v>489</v>
      </c>
      <c r="D99" s="181"/>
      <c r="E99" s="258">
        <v>30.0</v>
      </c>
      <c r="F99" s="93">
        <v>59.0</v>
      </c>
      <c r="G99" s="93">
        <v>69.0</v>
      </c>
      <c r="H99" s="162">
        <v>9.39</v>
      </c>
      <c r="I99" s="158">
        <f t="shared" si="27"/>
        <v>0.1360869565</v>
      </c>
      <c r="J99" s="93">
        <f t="shared" si="28"/>
        <v>59.61</v>
      </c>
      <c r="K99" s="158">
        <f t="shared" si="29"/>
        <v>6.348242812</v>
      </c>
      <c r="L99" s="93">
        <v>59.0</v>
      </c>
      <c r="M99" s="87" t="s">
        <v>111</v>
      </c>
      <c r="N99" s="87"/>
      <c r="O99" s="87"/>
    </row>
    <row r="100" ht="25.5" hidden="1" customHeight="1" outlineLevel="1">
      <c r="A100" s="87"/>
      <c r="B100" s="181"/>
      <c r="C100" s="89" t="s">
        <v>490</v>
      </c>
      <c r="D100" s="181"/>
      <c r="E100" s="258">
        <v>30.0</v>
      </c>
      <c r="F100" s="93">
        <v>59.0</v>
      </c>
      <c r="G100" s="93">
        <v>69.0</v>
      </c>
      <c r="H100" s="162">
        <v>9.57</v>
      </c>
      <c r="I100" s="158">
        <f t="shared" si="27"/>
        <v>0.1386956522</v>
      </c>
      <c r="J100" s="93">
        <f t="shared" si="28"/>
        <v>59.43</v>
      </c>
      <c r="K100" s="158">
        <f t="shared" si="29"/>
        <v>6.210031348</v>
      </c>
      <c r="L100" s="93">
        <v>59.0</v>
      </c>
      <c r="M100" s="87" t="s">
        <v>111</v>
      </c>
      <c r="N100" s="87"/>
      <c r="O100" s="87"/>
    </row>
    <row r="101" ht="25.5" hidden="1" customHeight="1" outlineLevel="1">
      <c r="A101" s="87"/>
      <c r="B101" s="181"/>
      <c r="C101" s="89" t="s">
        <v>491</v>
      </c>
      <c r="D101" s="181"/>
      <c r="E101" s="258">
        <v>30.0</v>
      </c>
      <c r="F101" s="93">
        <v>59.0</v>
      </c>
      <c r="G101" s="93">
        <v>69.0</v>
      </c>
      <c r="H101" s="162">
        <v>7.99</v>
      </c>
      <c r="I101" s="158">
        <f t="shared" si="27"/>
        <v>0.1157971014</v>
      </c>
      <c r="J101" s="93">
        <f t="shared" si="28"/>
        <v>61.01</v>
      </c>
      <c r="K101" s="158">
        <f t="shared" si="29"/>
        <v>7.635794743</v>
      </c>
      <c r="L101" s="93">
        <v>59.0</v>
      </c>
      <c r="M101" s="87" t="s">
        <v>111</v>
      </c>
      <c r="N101" s="87"/>
      <c r="O101" s="87"/>
    </row>
    <row r="102" ht="25.5" hidden="1" customHeight="1" outlineLevel="1">
      <c r="A102" s="87"/>
      <c r="B102" s="181"/>
      <c r="C102" s="89" t="s">
        <v>1139</v>
      </c>
      <c r="D102" s="181"/>
      <c r="E102" s="258">
        <v>30.0</v>
      </c>
      <c r="F102" s="93">
        <v>59.0</v>
      </c>
      <c r="G102" s="93">
        <v>69.0</v>
      </c>
      <c r="H102" s="162">
        <v>9.0</v>
      </c>
      <c r="I102" s="158">
        <f t="shared" si="27"/>
        <v>0.1304347826</v>
      </c>
      <c r="J102" s="93">
        <f t="shared" si="28"/>
        <v>60</v>
      </c>
      <c r="K102" s="158">
        <f t="shared" si="29"/>
        <v>6.666666667</v>
      </c>
      <c r="L102" s="93">
        <v>59.0</v>
      </c>
      <c r="M102" s="87" t="s">
        <v>111</v>
      </c>
      <c r="N102" s="87"/>
      <c r="O102" s="87"/>
    </row>
    <row r="103" ht="25.5" hidden="1" customHeight="1" outlineLevel="1">
      <c r="A103" s="87"/>
      <c r="B103" s="181"/>
      <c r="C103" s="89" t="s">
        <v>492</v>
      </c>
      <c r="D103" s="181"/>
      <c r="E103" s="258">
        <v>30.0</v>
      </c>
      <c r="F103" s="93">
        <v>59.0</v>
      </c>
      <c r="G103" s="93">
        <v>69.0</v>
      </c>
      <c r="H103" s="162">
        <v>14.72</v>
      </c>
      <c r="I103" s="158">
        <f t="shared" si="27"/>
        <v>0.2133333333</v>
      </c>
      <c r="J103" s="93">
        <f t="shared" si="28"/>
        <v>54.28</v>
      </c>
      <c r="K103" s="158">
        <f t="shared" si="29"/>
        <v>3.6875</v>
      </c>
      <c r="L103" s="93">
        <v>59.0</v>
      </c>
      <c r="M103" s="87" t="s">
        <v>111</v>
      </c>
      <c r="N103" s="87"/>
      <c r="O103" s="87"/>
    </row>
    <row r="104" ht="25.5" hidden="1" customHeight="1" outlineLevel="1">
      <c r="A104" s="87"/>
      <c r="B104" s="181"/>
      <c r="C104" s="89" t="s">
        <v>1140</v>
      </c>
      <c r="D104" s="181" t="s">
        <v>401</v>
      </c>
      <c r="E104" s="258">
        <v>120.0</v>
      </c>
      <c r="F104" s="93">
        <v>99.0</v>
      </c>
      <c r="G104" s="93">
        <v>99.0</v>
      </c>
      <c r="H104" s="162">
        <v>29.0</v>
      </c>
      <c r="I104" s="158">
        <f t="shared" si="27"/>
        <v>0.2929292929</v>
      </c>
      <c r="J104" s="93">
        <f t="shared" si="28"/>
        <v>70</v>
      </c>
      <c r="K104" s="158">
        <f t="shared" si="29"/>
        <v>2.413793103</v>
      </c>
      <c r="L104" s="134"/>
      <c r="M104" s="87" t="s">
        <v>112</v>
      </c>
      <c r="N104" s="87"/>
      <c r="O104" s="87"/>
    </row>
    <row r="105" ht="25.5" hidden="1" customHeight="1" outlineLevel="1">
      <c r="A105" s="87"/>
      <c r="B105" s="181"/>
      <c r="C105" s="89" t="s">
        <v>1141</v>
      </c>
      <c r="D105" s="181"/>
      <c r="E105" s="258">
        <v>80.0</v>
      </c>
      <c r="F105" s="93">
        <v>29.0</v>
      </c>
      <c r="G105" s="93">
        <v>29.0</v>
      </c>
      <c r="H105" s="162">
        <v>4.88</v>
      </c>
      <c r="I105" s="158">
        <f t="shared" si="27"/>
        <v>0.1682758621</v>
      </c>
      <c r="J105" s="93">
        <f t="shared" si="28"/>
        <v>24.12</v>
      </c>
      <c r="K105" s="158">
        <f t="shared" si="29"/>
        <v>4.942622951</v>
      </c>
      <c r="L105" s="134">
        <v>29.0</v>
      </c>
      <c r="M105" s="87" t="s">
        <v>111</v>
      </c>
      <c r="N105" s="87"/>
      <c r="O105" s="87"/>
    </row>
    <row r="106" ht="25.5" hidden="1" customHeight="1" outlineLevel="1">
      <c r="A106" s="87"/>
      <c r="B106" s="181"/>
      <c r="C106" s="89" t="s">
        <v>1142</v>
      </c>
      <c r="D106" s="181" t="s">
        <v>1143</v>
      </c>
      <c r="E106" s="258">
        <v>140.0</v>
      </c>
      <c r="F106" s="93">
        <v>149.0</v>
      </c>
      <c r="G106" s="93">
        <v>149.0</v>
      </c>
      <c r="H106" s="162">
        <v>41.0</v>
      </c>
      <c r="I106" s="158">
        <f t="shared" si="27"/>
        <v>0.2751677852</v>
      </c>
      <c r="J106" s="93">
        <f t="shared" si="28"/>
        <v>108</v>
      </c>
      <c r="K106" s="158">
        <f t="shared" si="29"/>
        <v>2.634146341</v>
      </c>
      <c r="L106" s="134">
        <v>189.0</v>
      </c>
      <c r="M106" s="87" t="s">
        <v>111</v>
      </c>
      <c r="N106" s="87"/>
      <c r="O106" s="87"/>
    </row>
    <row r="107" ht="25.5" customHeight="1">
      <c r="A107" s="86"/>
      <c r="B107" s="615" t="str">
        <f>"Детское меню "&amp;COUNTA(C108:C117)&amp;" шт"</f>
        <v>Детское меню 10 шт</v>
      </c>
      <c r="C107" s="614" t="s">
        <v>1144</v>
      </c>
      <c r="D107" s="681"/>
      <c r="E107" s="682"/>
      <c r="F107" s="645"/>
      <c r="G107" s="645"/>
      <c r="H107" s="683"/>
      <c r="I107" s="648">
        <f>AVERAGE(I108:I117)</f>
        <v>0.2282567779</v>
      </c>
      <c r="J107" s="86"/>
      <c r="K107" s="648"/>
      <c r="L107" s="670"/>
      <c r="M107" s="86"/>
      <c r="N107" s="86"/>
      <c r="O107" s="86"/>
    </row>
    <row r="108" ht="25.5" customHeight="1" outlineLevel="1">
      <c r="A108" s="87"/>
      <c r="B108" s="181"/>
      <c r="C108" s="89" t="s">
        <v>405</v>
      </c>
      <c r="D108" s="89" t="s">
        <v>406</v>
      </c>
      <c r="E108" s="258">
        <v>150.0</v>
      </c>
      <c r="F108" s="93">
        <v>189.0</v>
      </c>
      <c r="G108" s="93">
        <v>199.0</v>
      </c>
      <c r="H108" s="162">
        <v>37.47</v>
      </c>
      <c r="I108" s="158">
        <f t="shared" ref="I108:I118" si="30">H108/G108</f>
        <v>0.1882914573</v>
      </c>
      <c r="J108" s="93">
        <f t="shared" ref="J108:J117" si="31">G108-H108</f>
        <v>161.53</v>
      </c>
      <c r="K108" s="158">
        <f t="shared" ref="K108:K117" si="32">G108/H108-1</f>
        <v>4.310915399</v>
      </c>
      <c r="L108" s="134"/>
      <c r="M108" s="87" t="s">
        <v>112</v>
      </c>
      <c r="N108" s="87"/>
      <c r="O108" s="93">
        <v>159.0</v>
      </c>
    </row>
    <row r="109" ht="25.5" customHeight="1" outlineLevel="1">
      <c r="A109" s="87"/>
      <c r="B109" s="181"/>
      <c r="C109" s="89" t="s">
        <v>1145</v>
      </c>
      <c r="D109" s="181" t="s">
        <v>1146</v>
      </c>
      <c r="E109" s="258">
        <v>300.0</v>
      </c>
      <c r="F109" s="93">
        <v>189.0</v>
      </c>
      <c r="G109" s="93">
        <v>199.0</v>
      </c>
      <c r="H109" s="162">
        <v>40.08</v>
      </c>
      <c r="I109" s="158">
        <f t="shared" si="30"/>
        <v>0.2014070352</v>
      </c>
      <c r="J109" s="93">
        <f t="shared" si="31"/>
        <v>158.92</v>
      </c>
      <c r="K109" s="158">
        <f t="shared" si="32"/>
        <v>3.96506986</v>
      </c>
      <c r="L109" s="134"/>
      <c r="M109" s="87" t="s">
        <v>112</v>
      </c>
      <c r="N109" s="87"/>
      <c r="O109" s="93">
        <v>179.0</v>
      </c>
    </row>
    <row r="110" ht="25.5" customHeight="1" outlineLevel="1">
      <c r="A110" s="87"/>
      <c r="B110" s="181"/>
      <c r="C110" s="89" t="s">
        <v>414</v>
      </c>
      <c r="D110" s="181" t="s">
        <v>413</v>
      </c>
      <c r="E110" s="258">
        <v>320.0</v>
      </c>
      <c r="F110" s="93">
        <v>269.0</v>
      </c>
      <c r="G110" s="93">
        <v>279.0</v>
      </c>
      <c r="H110" s="162">
        <v>49.96</v>
      </c>
      <c r="I110" s="158">
        <f t="shared" si="30"/>
        <v>0.1790681004</v>
      </c>
      <c r="J110" s="93">
        <f t="shared" si="31"/>
        <v>229.04</v>
      </c>
      <c r="K110" s="158">
        <f t="shared" si="32"/>
        <v>4.584467574</v>
      </c>
      <c r="L110" s="134"/>
      <c r="M110" s="87" t="s">
        <v>112</v>
      </c>
      <c r="N110" s="87"/>
      <c r="O110" s="93">
        <v>239.0</v>
      </c>
    </row>
    <row r="111" ht="25.5" customHeight="1" outlineLevel="1">
      <c r="A111" s="87"/>
      <c r="B111" s="181"/>
      <c r="C111" s="89" t="s">
        <v>339</v>
      </c>
      <c r="D111" s="181" t="s">
        <v>415</v>
      </c>
      <c r="E111" s="258">
        <v>320.0</v>
      </c>
      <c r="F111" s="93">
        <v>269.0</v>
      </c>
      <c r="G111" s="93">
        <v>279.0</v>
      </c>
      <c r="H111" s="162">
        <v>65.0</v>
      </c>
      <c r="I111" s="158">
        <f t="shared" si="30"/>
        <v>0.2329749104</v>
      </c>
      <c r="J111" s="93">
        <f t="shared" si="31"/>
        <v>214</v>
      </c>
      <c r="K111" s="158">
        <f t="shared" si="32"/>
        <v>3.292307692</v>
      </c>
      <c r="L111" s="134"/>
      <c r="M111" s="87" t="s">
        <v>112</v>
      </c>
      <c r="N111" s="87"/>
      <c r="O111" s="93"/>
    </row>
    <row r="112" ht="25.5" customHeight="1" outlineLevel="1">
      <c r="A112" s="87"/>
      <c r="B112" s="181"/>
      <c r="C112" s="89" t="s">
        <v>332</v>
      </c>
      <c r="D112" s="181" t="s">
        <v>416</v>
      </c>
      <c r="E112" s="258">
        <v>300.0</v>
      </c>
      <c r="F112" s="93">
        <v>249.0</v>
      </c>
      <c r="G112" s="93">
        <v>259.0</v>
      </c>
      <c r="H112" s="162">
        <v>60.61</v>
      </c>
      <c r="I112" s="158">
        <f t="shared" si="30"/>
        <v>0.234015444</v>
      </c>
      <c r="J112" s="93">
        <f t="shared" si="31"/>
        <v>198.39</v>
      </c>
      <c r="K112" s="158">
        <f t="shared" si="32"/>
        <v>3.273222241</v>
      </c>
      <c r="L112" s="134"/>
      <c r="M112" s="87" t="s">
        <v>112</v>
      </c>
      <c r="N112" s="87"/>
      <c r="O112" s="93"/>
    </row>
    <row r="113" ht="25.5" customHeight="1" outlineLevel="1">
      <c r="A113" s="87"/>
      <c r="B113" s="181"/>
      <c r="C113" s="89" t="s">
        <v>417</v>
      </c>
      <c r="D113" s="181" t="s">
        <v>1149</v>
      </c>
      <c r="E113" s="258">
        <v>180.0</v>
      </c>
      <c r="F113" s="93">
        <v>259.0</v>
      </c>
      <c r="G113" s="93">
        <v>339.0</v>
      </c>
      <c r="H113" s="162">
        <v>103.08</v>
      </c>
      <c r="I113" s="158">
        <f t="shared" si="30"/>
        <v>0.3040707965</v>
      </c>
      <c r="J113" s="93">
        <f t="shared" si="31"/>
        <v>235.92</v>
      </c>
      <c r="K113" s="158">
        <f t="shared" si="32"/>
        <v>2.2887078</v>
      </c>
      <c r="L113" s="134"/>
      <c r="M113" s="87" t="s">
        <v>112</v>
      </c>
      <c r="N113" s="87"/>
      <c r="O113" s="93">
        <v>239.0</v>
      </c>
    </row>
    <row r="114" ht="15.75" customHeight="1" outlineLevel="1">
      <c r="A114" s="87"/>
      <c r="B114" s="181" t="s">
        <v>1150</v>
      </c>
      <c r="C114" s="89" t="s">
        <v>1151</v>
      </c>
      <c r="D114" s="181" t="s">
        <v>419</v>
      </c>
      <c r="E114" s="258">
        <v>0.0</v>
      </c>
      <c r="F114" s="93">
        <v>0.0</v>
      </c>
      <c r="G114" s="93">
        <v>299.0</v>
      </c>
      <c r="H114" s="162">
        <v>65.9</v>
      </c>
      <c r="I114" s="158">
        <f t="shared" si="30"/>
        <v>0.2204013378</v>
      </c>
      <c r="J114" s="93">
        <f t="shared" si="31"/>
        <v>233.1</v>
      </c>
      <c r="K114" s="158">
        <f t="shared" si="32"/>
        <v>3.537177542</v>
      </c>
      <c r="L114" s="134"/>
      <c r="M114" s="87" t="s">
        <v>112</v>
      </c>
      <c r="N114" s="102"/>
      <c r="O114" s="640">
        <v>159.0</v>
      </c>
    </row>
    <row r="115" ht="42.0" customHeight="1" outlineLevel="1">
      <c r="A115" s="87"/>
      <c r="B115" s="181" t="s">
        <v>1152</v>
      </c>
      <c r="C115" s="89" t="s">
        <v>1153</v>
      </c>
      <c r="D115" s="181" t="s">
        <v>423</v>
      </c>
      <c r="E115" s="258">
        <v>0.0</v>
      </c>
      <c r="F115" s="93">
        <v>0.0</v>
      </c>
      <c r="G115" s="93">
        <v>299.0</v>
      </c>
      <c r="H115" s="162">
        <v>68.9</v>
      </c>
      <c r="I115" s="158">
        <f t="shared" si="30"/>
        <v>0.2304347826</v>
      </c>
      <c r="J115" s="93">
        <f t="shared" si="31"/>
        <v>230.1</v>
      </c>
      <c r="K115" s="158">
        <f t="shared" si="32"/>
        <v>3.339622642</v>
      </c>
      <c r="L115" s="134"/>
      <c r="M115" s="87" t="s">
        <v>112</v>
      </c>
      <c r="N115" s="102"/>
      <c r="O115" s="640">
        <v>159.0</v>
      </c>
    </row>
    <row r="116" ht="30.75" customHeight="1" outlineLevel="1">
      <c r="A116" s="87"/>
      <c r="B116" s="181" t="s">
        <v>1154</v>
      </c>
      <c r="C116" s="89" t="s">
        <v>1155</v>
      </c>
      <c r="D116" s="684" t="s">
        <v>1156</v>
      </c>
      <c r="E116" s="258">
        <v>0.0</v>
      </c>
      <c r="F116" s="93">
        <v>0.0</v>
      </c>
      <c r="G116" s="93">
        <v>299.0</v>
      </c>
      <c r="H116" s="162">
        <v>78.9</v>
      </c>
      <c r="I116" s="158">
        <f t="shared" si="30"/>
        <v>0.2638795987</v>
      </c>
      <c r="J116" s="93">
        <f t="shared" si="31"/>
        <v>220.1</v>
      </c>
      <c r="K116" s="158">
        <f t="shared" si="32"/>
        <v>2.789607098</v>
      </c>
      <c r="L116" s="134"/>
      <c r="M116" s="87" t="s">
        <v>112</v>
      </c>
      <c r="N116" s="102"/>
      <c r="O116" s="640">
        <v>159.0</v>
      </c>
    </row>
    <row r="117" ht="25.5" customHeight="1" outlineLevel="1">
      <c r="A117" s="87"/>
      <c r="B117" s="181"/>
      <c r="C117" s="89" t="s">
        <v>426</v>
      </c>
      <c r="D117" s="684" t="s">
        <v>427</v>
      </c>
      <c r="E117" s="258">
        <v>250.0</v>
      </c>
      <c r="F117" s="93">
        <v>329.0</v>
      </c>
      <c r="G117" s="93">
        <v>329.0</v>
      </c>
      <c r="H117" s="162">
        <v>75.02</v>
      </c>
      <c r="I117" s="158">
        <f t="shared" si="30"/>
        <v>0.2280243161</v>
      </c>
      <c r="J117" s="93">
        <f t="shared" si="31"/>
        <v>253.98</v>
      </c>
      <c r="K117" s="158">
        <f t="shared" si="32"/>
        <v>3.385497201</v>
      </c>
      <c r="L117" s="134">
        <v>399.0</v>
      </c>
      <c r="M117" s="87" t="s">
        <v>111</v>
      </c>
      <c r="N117" s="87"/>
      <c r="O117" s="93">
        <v>289.0</v>
      </c>
    </row>
    <row r="118" ht="25.5" customHeight="1" outlineLevel="1">
      <c r="A118" s="87"/>
      <c r="B118" s="181"/>
      <c r="C118" s="89"/>
      <c r="D118" s="684" t="s">
        <v>1147</v>
      </c>
      <c r="E118" s="258" t="s">
        <v>1148</v>
      </c>
      <c r="F118" s="93">
        <v>179.0</v>
      </c>
      <c r="G118" s="93">
        <v>189.0</v>
      </c>
      <c r="H118" s="162"/>
      <c r="I118" s="158">
        <f t="shared" si="30"/>
        <v>0</v>
      </c>
      <c r="J118" s="87"/>
      <c r="K118" s="158"/>
      <c r="L118" s="134"/>
      <c r="M118" s="87"/>
      <c r="N118" s="87"/>
      <c r="O118" s="93"/>
    </row>
    <row r="119" ht="25.5" customHeight="1" collapsed="1">
      <c r="A119" s="86"/>
      <c r="B119" s="615" t="s">
        <v>1157</v>
      </c>
      <c r="C119" s="614"/>
      <c r="D119" s="681"/>
      <c r="E119" s="682"/>
      <c r="F119" s="645"/>
      <c r="G119" s="645"/>
      <c r="H119" s="683"/>
      <c r="I119" s="648">
        <f>AVERAGE(I120:I139)</f>
        <v>0.2580558522</v>
      </c>
      <c r="J119" s="86"/>
      <c r="K119" s="648"/>
      <c r="L119" s="670"/>
      <c r="M119" s="86"/>
      <c r="N119" s="86"/>
      <c r="O119" s="86"/>
    </row>
    <row r="120" ht="37.5" hidden="1" customHeight="1" outlineLevel="1">
      <c r="A120" s="87"/>
      <c r="B120" s="181"/>
      <c r="C120" s="89" t="s">
        <v>1158</v>
      </c>
      <c r="D120" s="620"/>
      <c r="E120" s="258"/>
      <c r="F120" s="93">
        <v>2499.0</v>
      </c>
      <c r="G120" s="93">
        <v>2499.0</v>
      </c>
      <c r="H120" s="162">
        <v>564.64</v>
      </c>
      <c r="I120" s="158">
        <f t="shared" ref="I120:I126" si="33">H120/G120</f>
        <v>0.2259463786</v>
      </c>
      <c r="J120" s="93">
        <f t="shared" ref="J120:J126" si="34">G120-H120</f>
        <v>1934.36</v>
      </c>
      <c r="K120" s="158" t="str">
        <f t="shared" ref="K120:K126" si="35">#REF!/H120-1</f>
        <v>#REF!</v>
      </c>
      <c r="L120" s="134"/>
      <c r="M120" s="87" t="s">
        <v>112</v>
      </c>
      <c r="N120" s="87"/>
      <c r="O120" s="87"/>
    </row>
    <row r="121" ht="37.5" hidden="1" customHeight="1" outlineLevel="1">
      <c r="A121" s="87"/>
      <c r="B121" s="181"/>
      <c r="C121" s="89" t="s">
        <v>1159</v>
      </c>
      <c r="D121" s="620"/>
      <c r="E121" s="258"/>
      <c r="F121" s="93">
        <v>599.0</v>
      </c>
      <c r="G121" s="93">
        <v>599.0</v>
      </c>
      <c r="H121" s="162">
        <v>167.71</v>
      </c>
      <c r="I121" s="158">
        <f t="shared" si="33"/>
        <v>0.2799833055</v>
      </c>
      <c r="J121" s="93">
        <f t="shared" si="34"/>
        <v>431.29</v>
      </c>
      <c r="K121" s="158" t="str">
        <f t="shared" si="35"/>
        <v>#REF!</v>
      </c>
      <c r="L121" s="134"/>
      <c r="M121" s="87" t="s">
        <v>112</v>
      </c>
      <c r="N121" s="87"/>
      <c r="O121" s="87"/>
    </row>
    <row r="122" ht="37.5" hidden="1" customHeight="1" outlineLevel="1">
      <c r="A122" s="87"/>
      <c r="B122" s="181"/>
      <c r="C122" s="89" t="s">
        <v>1160</v>
      </c>
      <c r="D122" s="620"/>
      <c r="E122" s="258"/>
      <c r="F122" s="93">
        <v>499.0</v>
      </c>
      <c r="G122" s="93">
        <v>499.0</v>
      </c>
      <c r="H122" s="162">
        <v>110.0</v>
      </c>
      <c r="I122" s="158">
        <f t="shared" si="33"/>
        <v>0.2204408818</v>
      </c>
      <c r="J122" s="93">
        <f t="shared" si="34"/>
        <v>389</v>
      </c>
      <c r="K122" s="158" t="str">
        <f t="shared" si="35"/>
        <v>#REF!</v>
      </c>
      <c r="L122" s="134"/>
      <c r="M122" s="87" t="s">
        <v>112</v>
      </c>
      <c r="N122" s="87"/>
      <c r="O122" s="87"/>
    </row>
    <row r="123" ht="37.5" hidden="1" customHeight="1" outlineLevel="1">
      <c r="A123" s="87"/>
      <c r="B123" s="181"/>
      <c r="C123" s="89" t="s">
        <v>1161</v>
      </c>
      <c r="D123" s="181" t="s">
        <v>1162</v>
      </c>
      <c r="E123" s="258"/>
      <c r="F123" s="93">
        <v>2699.0</v>
      </c>
      <c r="G123" s="93">
        <v>2699.0</v>
      </c>
      <c r="H123" s="162">
        <v>601.32</v>
      </c>
      <c r="I123" s="158">
        <f t="shared" si="33"/>
        <v>0.2227936273</v>
      </c>
      <c r="J123" s="93">
        <f t="shared" si="34"/>
        <v>2097.68</v>
      </c>
      <c r="K123" s="158" t="str">
        <f t="shared" si="35"/>
        <v>#REF!</v>
      </c>
      <c r="L123" s="134"/>
      <c r="M123" s="87" t="s">
        <v>112</v>
      </c>
      <c r="N123" s="87"/>
      <c r="O123" s="87"/>
    </row>
    <row r="124" ht="43.5" hidden="1" customHeight="1" outlineLevel="1">
      <c r="A124" s="87"/>
      <c r="B124" s="181"/>
      <c r="C124" s="89" t="s">
        <v>1163</v>
      </c>
      <c r="D124" s="181" t="s">
        <v>1164</v>
      </c>
      <c r="E124" s="258"/>
      <c r="F124" s="93">
        <v>6599.0</v>
      </c>
      <c r="G124" s="93">
        <v>6599.0</v>
      </c>
      <c r="H124" s="162">
        <v>1632.4</v>
      </c>
      <c r="I124" s="158">
        <f t="shared" si="33"/>
        <v>0.2473708138</v>
      </c>
      <c r="J124" s="93">
        <f t="shared" si="34"/>
        <v>4966.6</v>
      </c>
      <c r="K124" s="158" t="str">
        <f t="shared" si="35"/>
        <v>#REF!</v>
      </c>
      <c r="L124" s="134"/>
      <c r="M124" s="87" t="s">
        <v>112</v>
      </c>
      <c r="N124" s="87"/>
      <c r="O124" s="87"/>
    </row>
    <row r="125" ht="45.0" hidden="1" customHeight="1" outlineLevel="1">
      <c r="A125" s="87"/>
      <c r="B125" s="181"/>
      <c r="C125" s="89" t="s">
        <v>1165</v>
      </c>
      <c r="D125" s="181" t="s">
        <v>1166</v>
      </c>
      <c r="E125" s="258"/>
      <c r="F125" s="93">
        <v>9599.0</v>
      </c>
      <c r="G125" s="93">
        <v>9599.0</v>
      </c>
      <c r="H125" s="162">
        <v>2049.98</v>
      </c>
      <c r="I125" s="158">
        <f t="shared" si="33"/>
        <v>0.2135618294</v>
      </c>
      <c r="J125" s="93">
        <f t="shared" si="34"/>
        <v>7549.02</v>
      </c>
      <c r="K125" s="158" t="str">
        <f t="shared" si="35"/>
        <v>#REF!</v>
      </c>
      <c r="L125" s="134"/>
      <c r="M125" s="87" t="s">
        <v>112</v>
      </c>
      <c r="N125" s="87"/>
      <c r="O125" s="87"/>
    </row>
    <row r="126" ht="38.25" hidden="1" customHeight="1" outlineLevel="1">
      <c r="A126" s="87"/>
      <c r="B126" s="181"/>
      <c r="C126" s="89" t="s">
        <v>1167</v>
      </c>
      <c r="D126" s="181" t="s">
        <v>1168</v>
      </c>
      <c r="E126" s="258"/>
      <c r="F126" s="93">
        <v>6899.0</v>
      </c>
      <c r="G126" s="93">
        <v>6899.0</v>
      </c>
      <c r="H126" s="162">
        <v>1689.62</v>
      </c>
      <c r="I126" s="158">
        <f t="shared" si="33"/>
        <v>0.2449079577</v>
      </c>
      <c r="J126" s="93">
        <f t="shared" si="34"/>
        <v>5209.38</v>
      </c>
      <c r="K126" s="158" t="str">
        <f t="shared" si="35"/>
        <v>#REF!</v>
      </c>
      <c r="L126" s="134"/>
      <c r="M126" s="87" t="s">
        <v>112</v>
      </c>
      <c r="N126" s="87"/>
      <c r="O126" s="87"/>
    </row>
    <row r="127" ht="25.5" customHeight="1" collapsed="1">
      <c r="A127" s="86"/>
      <c r="B127" s="615" t="s">
        <v>1169</v>
      </c>
      <c r="C127" s="614"/>
      <c r="D127" s="681"/>
      <c r="E127" s="682"/>
      <c r="F127" s="645"/>
      <c r="G127" s="645"/>
      <c r="H127" s="683"/>
      <c r="I127" s="648">
        <f>AVERAGE(I128:I140)</f>
        <v>0.2681467288</v>
      </c>
      <c r="J127" s="86"/>
      <c r="K127" s="648"/>
      <c r="L127" s="670"/>
      <c r="M127" s="86"/>
      <c r="N127" s="86"/>
      <c r="O127" s="86"/>
    </row>
    <row r="128" ht="15.75" hidden="1" customHeight="1" outlineLevel="1">
      <c r="A128" s="87"/>
      <c r="B128" s="116"/>
      <c r="C128" s="116"/>
      <c r="D128" s="691"/>
      <c r="E128" s="258">
        <v>180.0</v>
      </c>
      <c r="F128" s="93">
        <v>599.0</v>
      </c>
      <c r="G128" s="93">
        <v>599.0</v>
      </c>
      <c r="H128" s="162">
        <v>174.66</v>
      </c>
      <c r="I128" s="158">
        <f t="shared" ref="I128:I146" si="36">H128/G128</f>
        <v>0.2915859766</v>
      </c>
      <c r="J128" s="93">
        <f t="shared" ref="J128:J146" si="37">G128-H128</f>
        <v>424.34</v>
      </c>
      <c r="K128" s="158" t="str">
        <f t="shared" ref="K128:K146" si="38">#REF!/H128-1</f>
        <v>#REF!</v>
      </c>
      <c r="L128" s="134"/>
      <c r="M128" s="87" t="s">
        <v>112</v>
      </c>
      <c r="N128" s="239"/>
      <c r="O128" s="239"/>
    </row>
    <row r="129" ht="38.25" hidden="1" customHeight="1" outlineLevel="1">
      <c r="A129" s="87"/>
      <c r="B129" s="691"/>
      <c r="C129" s="691"/>
      <c r="D129" s="691"/>
      <c r="E129" s="258">
        <v>180.0</v>
      </c>
      <c r="F129" s="93">
        <v>329.0</v>
      </c>
      <c r="G129" s="93">
        <v>329.0</v>
      </c>
      <c r="H129" s="162">
        <v>68.02</v>
      </c>
      <c r="I129" s="158">
        <f t="shared" si="36"/>
        <v>0.2067477204</v>
      </c>
      <c r="J129" s="93">
        <f t="shared" si="37"/>
        <v>260.98</v>
      </c>
      <c r="K129" s="158" t="str">
        <f t="shared" si="38"/>
        <v>#REF!</v>
      </c>
      <c r="L129" s="134">
        <v>369.0</v>
      </c>
      <c r="M129" s="87" t="s">
        <v>111</v>
      </c>
      <c r="N129" s="239"/>
      <c r="O129" s="239"/>
    </row>
    <row r="130" ht="48.75" hidden="1" customHeight="1" outlineLevel="1">
      <c r="A130" s="87"/>
      <c r="B130" s="116"/>
      <c r="C130" s="116"/>
      <c r="D130" s="691"/>
      <c r="E130" s="258">
        <v>200.0</v>
      </c>
      <c r="F130" s="93">
        <v>299.0</v>
      </c>
      <c r="G130" s="93">
        <v>299.0</v>
      </c>
      <c r="H130" s="162">
        <v>71.22</v>
      </c>
      <c r="I130" s="158">
        <f t="shared" si="36"/>
        <v>0.2381939799</v>
      </c>
      <c r="J130" s="93">
        <f t="shared" si="37"/>
        <v>227.78</v>
      </c>
      <c r="K130" s="158" t="str">
        <f t="shared" si="38"/>
        <v>#REF!</v>
      </c>
      <c r="L130" s="134">
        <v>339.0</v>
      </c>
      <c r="M130" s="87" t="s">
        <v>111</v>
      </c>
      <c r="N130" s="239"/>
      <c r="O130" s="239"/>
    </row>
    <row r="131" ht="25.5" hidden="1" customHeight="1" outlineLevel="1">
      <c r="A131" s="87"/>
      <c r="B131" s="89"/>
      <c r="C131" s="89"/>
      <c r="D131" s="691"/>
      <c r="E131" s="258">
        <v>150.0</v>
      </c>
      <c r="F131" s="93">
        <v>379.0</v>
      </c>
      <c r="G131" s="93">
        <v>379.0</v>
      </c>
      <c r="H131" s="162">
        <v>98.86</v>
      </c>
      <c r="I131" s="158">
        <f t="shared" si="36"/>
        <v>0.2608443272</v>
      </c>
      <c r="J131" s="93">
        <f t="shared" si="37"/>
        <v>280.14</v>
      </c>
      <c r="K131" s="158" t="str">
        <f t="shared" si="38"/>
        <v>#REF!</v>
      </c>
      <c r="L131" s="134">
        <v>429.0</v>
      </c>
      <c r="M131" s="87" t="s">
        <v>111</v>
      </c>
      <c r="N131" s="239"/>
      <c r="O131" s="239"/>
    </row>
    <row r="132" ht="45.0" hidden="1" customHeight="1" outlineLevel="1">
      <c r="A132" s="87"/>
      <c r="B132" s="116"/>
      <c r="C132" s="116"/>
      <c r="D132" s="691"/>
      <c r="E132" s="258">
        <v>200.0</v>
      </c>
      <c r="F132" s="93">
        <v>299.0</v>
      </c>
      <c r="G132" s="93">
        <v>299.0</v>
      </c>
      <c r="H132" s="162">
        <v>77.9</v>
      </c>
      <c r="I132" s="158">
        <f t="shared" si="36"/>
        <v>0.2605351171</v>
      </c>
      <c r="J132" s="93">
        <f t="shared" si="37"/>
        <v>221.1</v>
      </c>
      <c r="K132" s="158" t="str">
        <f t="shared" si="38"/>
        <v>#REF!</v>
      </c>
      <c r="L132" s="134"/>
      <c r="M132" s="87" t="s">
        <v>112</v>
      </c>
      <c r="N132" s="239"/>
      <c r="O132" s="239"/>
    </row>
    <row r="133" ht="43.5" hidden="1" customHeight="1" outlineLevel="1">
      <c r="A133" s="87"/>
      <c r="B133" s="116"/>
      <c r="C133" s="116"/>
      <c r="D133" s="691"/>
      <c r="E133" s="258">
        <v>300.0</v>
      </c>
      <c r="F133" s="93">
        <v>439.0</v>
      </c>
      <c r="G133" s="93">
        <v>439.0</v>
      </c>
      <c r="H133" s="162">
        <v>130.47</v>
      </c>
      <c r="I133" s="158">
        <f t="shared" si="36"/>
        <v>0.2971981777</v>
      </c>
      <c r="J133" s="93">
        <f t="shared" si="37"/>
        <v>308.53</v>
      </c>
      <c r="K133" s="158" t="str">
        <f t="shared" si="38"/>
        <v>#REF!</v>
      </c>
      <c r="L133" s="134">
        <v>489.0</v>
      </c>
      <c r="M133" s="87" t="s">
        <v>111</v>
      </c>
      <c r="N133" s="239"/>
      <c r="O133" s="239"/>
    </row>
    <row r="134" ht="37.5" hidden="1" customHeight="1" outlineLevel="1">
      <c r="A134" s="87"/>
      <c r="B134" s="116"/>
      <c r="C134" s="116"/>
      <c r="D134" s="116"/>
      <c r="E134" s="258">
        <v>300.0</v>
      </c>
      <c r="F134" s="93">
        <v>339.0</v>
      </c>
      <c r="G134" s="93">
        <v>339.0</v>
      </c>
      <c r="H134" s="162">
        <v>67.55</v>
      </c>
      <c r="I134" s="158">
        <f t="shared" si="36"/>
        <v>0.1992625369</v>
      </c>
      <c r="J134" s="93">
        <f t="shared" si="37"/>
        <v>271.45</v>
      </c>
      <c r="K134" s="158" t="str">
        <f t="shared" si="38"/>
        <v>#REF!</v>
      </c>
      <c r="L134" s="134">
        <v>369.0</v>
      </c>
      <c r="M134" s="87" t="s">
        <v>111</v>
      </c>
      <c r="N134" s="239"/>
      <c r="O134" s="239"/>
    </row>
    <row r="135" ht="33.0" hidden="1" customHeight="1" outlineLevel="1">
      <c r="A135" s="87"/>
      <c r="B135" s="116"/>
      <c r="C135" s="116"/>
      <c r="D135" s="116"/>
      <c r="E135" s="258">
        <v>180.0</v>
      </c>
      <c r="F135" s="93">
        <v>399.0</v>
      </c>
      <c r="G135" s="93">
        <v>399.0</v>
      </c>
      <c r="H135" s="162">
        <v>93.03</v>
      </c>
      <c r="I135" s="158">
        <f t="shared" si="36"/>
        <v>0.2331578947</v>
      </c>
      <c r="J135" s="93">
        <f t="shared" si="37"/>
        <v>305.97</v>
      </c>
      <c r="K135" s="158" t="str">
        <f t="shared" si="38"/>
        <v>#REF!</v>
      </c>
      <c r="L135" s="134">
        <v>399.0</v>
      </c>
      <c r="M135" s="87" t="s">
        <v>111</v>
      </c>
      <c r="N135" s="239"/>
      <c r="O135" s="239"/>
    </row>
    <row r="136" ht="42.75" hidden="1" customHeight="1" outlineLevel="1">
      <c r="A136" s="87"/>
      <c r="B136" s="116"/>
      <c r="C136" s="116"/>
      <c r="D136" s="116"/>
      <c r="E136" s="258">
        <v>300.0</v>
      </c>
      <c r="F136" s="93">
        <v>279.0</v>
      </c>
      <c r="G136" s="93">
        <v>279.0</v>
      </c>
      <c r="H136" s="162">
        <v>83.66</v>
      </c>
      <c r="I136" s="158">
        <f t="shared" si="36"/>
        <v>0.2998566308</v>
      </c>
      <c r="J136" s="93">
        <f t="shared" si="37"/>
        <v>195.34</v>
      </c>
      <c r="K136" s="158" t="str">
        <f t="shared" si="38"/>
        <v>#REF!</v>
      </c>
      <c r="L136" s="134">
        <v>329.0</v>
      </c>
      <c r="M136" s="87" t="s">
        <v>111</v>
      </c>
      <c r="N136" s="239"/>
      <c r="O136" s="239"/>
    </row>
    <row r="137" ht="25.5" hidden="1" customHeight="1" outlineLevel="1">
      <c r="A137" s="87"/>
      <c r="B137" s="116"/>
      <c r="C137" s="116"/>
      <c r="D137" s="116"/>
      <c r="E137" s="258">
        <v>160.0</v>
      </c>
      <c r="F137" s="93">
        <v>269.0</v>
      </c>
      <c r="G137" s="93">
        <v>269.0</v>
      </c>
      <c r="H137" s="162">
        <v>77.45</v>
      </c>
      <c r="I137" s="158">
        <f t="shared" si="36"/>
        <v>0.2879182156</v>
      </c>
      <c r="J137" s="93">
        <f t="shared" si="37"/>
        <v>191.55</v>
      </c>
      <c r="K137" s="158" t="str">
        <f t="shared" si="38"/>
        <v>#REF!</v>
      </c>
      <c r="L137" s="134">
        <v>299.0</v>
      </c>
      <c r="M137" s="87" t="s">
        <v>111</v>
      </c>
      <c r="N137" s="239"/>
      <c r="O137" s="239"/>
    </row>
    <row r="138" ht="35.25" hidden="1" customHeight="1" outlineLevel="1">
      <c r="A138" s="87"/>
      <c r="B138" s="116"/>
      <c r="C138" s="116"/>
      <c r="D138" s="116"/>
      <c r="E138" s="258">
        <v>160.0</v>
      </c>
      <c r="F138" s="93">
        <v>329.0</v>
      </c>
      <c r="G138" s="93">
        <v>329.0</v>
      </c>
      <c r="H138" s="162">
        <v>94.65</v>
      </c>
      <c r="I138" s="158">
        <f t="shared" si="36"/>
        <v>0.2876899696</v>
      </c>
      <c r="J138" s="93">
        <f t="shared" si="37"/>
        <v>234.35</v>
      </c>
      <c r="K138" s="158" t="str">
        <f t="shared" si="38"/>
        <v>#REF!</v>
      </c>
      <c r="L138" s="134">
        <v>349.0</v>
      </c>
      <c r="M138" s="87" t="s">
        <v>111</v>
      </c>
      <c r="N138" s="239"/>
      <c r="O138" s="239"/>
    </row>
    <row r="139" ht="26.25" hidden="1" customHeight="1" outlineLevel="1">
      <c r="A139" s="87"/>
      <c r="B139" s="116"/>
      <c r="C139" s="116"/>
      <c r="D139" s="116"/>
      <c r="E139" s="258">
        <v>500.0</v>
      </c>
      <c r="F139" s="93">
        <v>999.0</v>
      </c>
      <c r="G139" s="93">
        <v>999.0</v>
      </c>
      <c r="H139" s="162">
        <v>374.6</v>
      </c>
      <c r="I139" s="158">
        <f t="shared" si="36"/>
        <v>0.374974975</v>
      </c>
      <c r="J139" s="93">
        <f t="shared" si="37"/>
        <v>624.4</v>
      </c>
      <c r="K139" s="158" t="str">
        <f t="shared" si="38"/>
        <v>#REF!</v>
      </c>
      <c r="L139" s="134">
        <v>1199.0</v>
      </c>
      <c r="M139" s="87" t="s">
        <v>111</v>
      </c>
      <c r="N139" s="239"/>
      <c r="O139" s="239"/>
    </row>
    <row r="140" ht="25.5" hidden="1" customHeight="1" outlineLevel="1">
      <c r="A140" s="87"/>
      <c r="B140" s="89"/>
      <c r="C140" s="89"/>
      <c r="D140" s="116"/>
      <c r="E140" s="258">
        <v>120.0</v>
      </c>
      <c r="F140" s="93">
        <v>379.0</v>
      </c>
      <c r="G140" s="93">
        <v>379.0</v>
      </c>
      <c r="H140" s="162">
        <v>93.97</v>
      </c>
      <c r="I140" s="158">
        <f t="shared" si="36"/>
        <v>0.2479419525</v>
      </c>
      <c r="J140" s="93">
        <f t="shared" si="37"/>
        <v>285.03</v>
      </c>
      <c r="K140" s="158" t="str">
        <f t="shared" si="38"/>
        <v>#REF!</v>
      </c>
      <c r="L140" s="134">
        <v>399.0</v>
      </c>
      <c r="M140" s="87" t="s">
        <v>111</v>
      </c>
      <c r="N140" s="239"/>
      <c r="O140" s="239"/>
    </row>
    <row r="141" ht="25.5" hidden="1" customHeight="1" outlineLevel="1">
      <c r="A141" s="87"/>
      <c r="B141" s="87"/>
      <c r="C141" s="89"/>
      <c r="D141" s="116"/>
      <c r="E141" s="258">
        <v>0.0</v>
      </c>
      <c r="F141" s="93">
        <v>0.0</v>
      </c>
      <c r="G141" s="93">
        <v>0.0</v>
      </c>
      <c r="H141" s="162">
        <v>0.0</v>
      </c>
      <c r="I141" s="158" t="str">
        <f t="shared" si="36"/>
        <v>#DIV/0!</v>
      </c>
      <c r="J141" s="93">
        <f t="shared" si="37"/>
        <v>0</v>
      </c>
      <c r="K141" s="158" t="str">
        <f t="shared" si="38"/>
        <v>#REF!</v>
      </c>
      <c r="L141" s="134"/>
      <c r="M141" s="87" t="s">
        <v>111</v>
      </c>
      <c r="N141" s="239"/>
      <c r="O141" s="239"/>
    </row>
    <row r="142" ht="25.5" hidden="1" customHeight="1" outlineLevel="1">
      <c r="A142" s="87"/>
      <c r="B142" s="87"/>
      <c r="C142" s="89"/>
      <c r="D142" s="116"/>
      <c r="E142" s="258">
        <v>0.0</v>
      </c>
      <c r="F142" s="93">
        <v>0.0</v>
      </c>
      <c r="G142" s="93">
        <v>0.0</v>
      </c>
      <c r="H142" s="162">
        <v>0.0</v>
      </c>
      <c r="I142" s="158" t="str">
        <f t="shared" si="36"/>
        <v>#DIV/0!</v>
      </c>
      <c r="J142" s="93">
        <f t="shared" si="37"/>
        <v>0</v>
      </c>
      <c r="K142" s="158" t="str">
        <f t="shared" si="38"/>
        <v>#REF!</v>
      </c>
      <c r="L142" s="134"/>
      <c r="M142" s="87"/>
      <c r="N142" s="239"/>
      <c r="O142" s="239"/>
    </row>
    <row r="143" ht="25.5" hidden="1" customHeight="1" outlineLevel="1">
      <c r="A143" s="87"/>
      <c r="B143" s="87"/>
      <c r="C143" s="89"/>
      <c r="D143" s="691"/>
      <c r="E143" s="258">
        <v>0.0</v>
      </c>
      <c r="F143" s="93">
        <v>0.0</v>
      </c>
      <c r="G143" s="93">
        <v>0.0</v>
      </c>
      <c r="H143" s="162">
        <v>0.0</v>
      </c>
      <c r="I143" s="158" t="str">
        <f t="shared" si="36"/>
        <v>#DIV/0!</v>
      </c>
      <c r="J143" s="93">
        <f t="shared" si="37"/>
        <v>0</v>
      </c>
      <c r="K143" s="158" t="str">
        <f t="shared" si="38"/>
        <v>#REF!</v>
      </c>
      <c r="L143" s="134"/>
      <c r="M143" s="87"/>
      <c r="N143" s="239"/>
      <c r="O143" s="239"/>
    </row>
    <row r="144" ht="38.25" hidden="1" customHeight="1" outlineLevel="1">
      <c r="A144" s="87"/>
      <c r="B144" s="87"/>
      <c r="C144" s="89"/>
      <c r="D144" s="691"/>
      <c r="E144" s="258">
        <v>0.0</v>
      </c>
      <c r="F144" s="93">
        <v>0.0</v>
      </c>
      <c r="G144" s="93">
        <v>0.0</v>
      </c>
      <c r="H144" s="162">
        <v>0.0</v>
      </c>
      <c r="I144" s="158" t="str">
        <f t="shared" si="36"/>
        <v>#DIV/0!</v>
      </c>
      <c r="J144" s="93">
        <f t="shared" si="37"/>
        <v>0</v>
      </c>
      <c r="K144" s="158" t="str">
        <f t="shared" si="38"/>
        <v>#REF!</v>
      </c>
      <c r="L144" s="134"/>
      <c r="M144" s="87"/>
      <c r="N144" s="239"/>
      <c r="O144" s="239"/>
    </row>
    <row r="145" ht="43.5" hidden="1" customHeight="1" outlineLevel="1">
      <c r="A145" s="87"/>
      <c r="B145" s="87"/>
      <c r="C145" s="89"/>
      <c r="D145" s="691"/>
      <c r="E145" s="258">
        <v>0.0</v>
      </c>
      <c r="F145" s="93">
        <v>0.0</v>
      </c>
      <c r="G145" s="93">
        <v>0.0</v>
      </c>
      <c r="H145" s="162">
        <v>0.0</v>
      </c>
      <c r="I145" s="158" t="str">
        <f t="shared" si="36"/>
        <v>#DIV/0!</v>
      </c>
      <c r="J145" s="93">
        <f t="shared" si="37"/>
        <v>0</v>
      </c>
      <c r="K145" s="158" t="str">
        <f t="shared" si="38"/>
        <v>#REF!</v>
      </c>
      <c r="L145" s="134"/>
      <c r="M145" s="87"/>
      <c r="N145" s="239"/>
      <c r="O145" s="239"/>
    </row>
    <row r="146" ht="25.5" hidden="1" customHeight="1" outlineLevel="1">
      <c r="A146" s="87"/>
      <c r="B146" s="87"/>
      <c r="C146" s="89"/>
      <c r="D146" s="691"/>
      <c r="E146" s="258">
        <v>0.0</v>
      </c>
      <c r="F146" s="93">
        <v>0.0</v>
      </c>
      <c r="G146" s="93">
        <v>0.0</v>
      </c>
      <c r="H146" s="162">
        <v>0.0</v>
      </c>
      <c r="I146" s="158" t="str">
        <f t="shared" si="36"/>
        <v>#DIV/0!</v>
      </c>
      <c r="J146" s="93">
        <f t="shared" si="37"/>
        <v>0</v>
      </c>
      <c r="K146" s="158" t="str">
        <f t="shared" si="38"/>
        <v>#REF!</v>
      </c>
      <c r="L146" s="134"/>
      <c r="M146" s="87"/>
      <c r="N146" s="239"/>
      <c r="O146" s="239"/>
    </row>
    <row r="147" ht="25.5" customHeight="1" collapsed="1">
      <c r="A147" s="86"/>
      <c r="B147" s="615" t="str">
        <f>"Меню праздника "&amp;COUNTA(C148:C162)&amp;" шт"</f>
        <v>Меню праздника 14 шт</v>
      </c>
      <c r="C147" s="614"/>
      <c r="D147" s="681"/>
      <c r="E147" s="682"/>
      <c r="F147" s="645"/>
      <c r="G147" s="645"/>
      <c r="H147" s="683"/>
      <c r="I147" s="648"/>
      <c r="J147" s="86"/>
      <c r="K147" s="648"/>
      <c r="L147" s="670"/>
      <c r="M147" s="86"/>
      <c r="N147" s="86"/>
      <c r="O147" s="86"/>
    </row>
    <row r="148" ht="25.5" hidden="1" customHeight="1" outlineLevel="1">
      <c r="A148" s="87">
        <v>1.0</v>
      </c>
      <c r="B148" s="68"/>
      <c r="C148" s="116" t="s">
        <v>450</v>
      </c>
      <c r="D148" s="691"/>
      <c r="E148" s="258">
        <v>30.0</v>
      </c>
      <c r="F148" s="93">
        <v>79.0</v>
      </c>
      <c r="G148" s="93">
        <v>79.0</v>
      </c>
      <c r="H148" s="162">
        <v>20.38</v>
      </c>
      <c r="I148" s="158">
        <f t="shared" ref="I148:I161" si="39">H148/G148</f>
        <v>0.2579746835</v>
      </c>
      <c r="J148" s="93">
        <f t="shared" ref="J148:J161" si="40">G148-H148</f>
        <v>58.62</v>
      </c>
      <c r="K148" s="158" t="str">
        <f t="shared" ref="K148:K161" si="41">#REF!/H148-1</f>
        <v>#REF!</v>
      </c>
      <c r="L148" s="134"/>
      <c r="M148" s="87"/>
      <c r="N148" s="87"/>
      <c r="O148" s="87"/>
    </row>
    <row r="149" ht="25.5" hidden="1" customHeight="1" outlineLevel="1">
      <c r="A149" s="87">
        <v>2.0</v>
      </c>
      <c r="B149" s="89"/>
      <c r="C149" s="89" t="s">
        <v>1170</v>
      </c>
      <c r="D149" s="691"/>
      <c r="E149" s="258">
        <v>40.0</v>
      </c>
      <c r="F149" s="93">
        <v>79.0</v>
      </c>
      <c r="G149" s="93">
        <v>79.0</v>
      </c>
      <c r="H149" s="692">
        <v>20.2</v>
      </c>
      <c r="I149" s="158">
        <f t="shared" si="39"/>
        <v>0.2556962025</v>
      </c>
      <c r="J149" s="93">
        <f t="shared" si="40"/>
        <v>58.8</v>
      </c>
      <c r="K149" s="158" t="str">
        <f t="shared" si="41"/>
        <v>#REF!</v>
      </c>
      <c r="L149" s="134"/>
      <c r="M149" s="87"/>
      <c r="N149" s="87"/>
      <c r="O149" s="87"/>
    </row>
    <row r="150" ht="25.5" hidden="1" customHeight="1" outlineLevel="1">
      <c r="A150" s="87">
        <v>3.0</v>
      </c>
      <c r="B150" s="89"/>
      <c r="C150" s="89" t="s">
        <v>451</v>
      </c>
      <c r="D150" s="691"/>
      <c r="E150" s="258">
        <v>40.0</v>
      </c>
      <c r="F150" s="93">
        <v>59.0</v>
      </c>
      <c r="G150" s="93">
        <v>59.0</v>
      </c>
      <c r="H150" s="692">
        <v>11.3</v>
      </c>
      <c r="I150" s="158">
        <f t="shared" si="39"/>
        <v>0.1915254237</v>
      </c>
      <c r="J150" s="93">
        <f t="shared" si="40"/>
        <v>47.7</v>
      </c>
      <c r="K150" s="158" t="str">
        <f t="shared" si="41"/>
        <v>#REF!</v>
      </c>
      <c r="L150" s="134"/>
      <c r="M150" s="87"/>
      <c r="N150" s="87"/>
      <c r="O150" s="87"/>
    </row>
    <row r="151" ht="25.5" hidden="1" customHeight="1" outlineLevel="1">
      <c r="A151" s="87">
        <v>5.0</v>
      </c>
      <c r="B151" s="89"/>
      <c r="C151" s="89" t="s">
        <v>452</v>
      </c>
      <c r="D151" s="691"/>
      <c r="E151" s="258">
        <v>50.0</v>
      </c>
      <c r="F151" s="93">
        <v>129.0</v>
      </c>
      <c r="G151" s="93">
        <v>129.0</v>
      </c>
      <c r="H151" s="692">
        <v>40.72</v>
      </c>
      <c r="I151" s="158">
        <f t="shared" si="39"/>
        <v>0.3156589147</v>
      </c>
      <c r="J151" s="93">
        <f t="shared" si="40"/>
        <v>88.28</v>
      </c>
      <c r="K151" s="158" t="str">
        <f t="shared" si="41"/>
        <v>#REF!</v>
      </c>
      <c r="L151" s="134"/>
      <c r="M151" s="87"/>
      <c r="N151" s="87"/>
      <c r="O151" s="87"/>
    </row>
    <row r="152" ht="32.25" hidden="1" customHeight="1" outlineLevel="1">
      <c r="A152" s="87">
        <v>6.0</v>
      </c>
      <c r="B152" s="89"/>
      <c r="C152" s="89" t="s">
        <v>453</v>
      </c>
      <c r="D152" s="691"/>
      <c r="E152" s="258">
        <v>40.0</v>
      </c>
      <c r="F152" s="93">
        <v>59.0</v>
      </c>
      <c r="G152" s="93">
        <v>59.0</v>
      </c>
      <c r="H152" s="692">
        <v>13.09</v>
      </c>
      <c r="I152" s="158">
        <f t="shared" si="39"/>
        <v>0.2218644068</v>
      </c>
      <c r="J152" s="93">
        <f t="shared" si="40"/>
        <v>45.91</v>
      </c>
      <c r="K152" s="158" t="str">
        <f t="shared" si="41"/>
        <v>#REF!</v>
      </c>
      <c r="L152" s="134"/>
      <c r="M152" s="87"/>
      <c r="N152" s="87"/>
      <c r="O152" s="87"/>
    </row>
    <row r="153" ht="32.25" hidden="1" customHeight="1" outlineLevel="1">
      <c r="A153" s="87">
        <v>7.0</v>
      </c>
      <c r="B153" s="89"/>
      <c r="C153" s="89" t="s">
        <v>454</v>
      </c>
      <c r="D153" s="691"/>
      <c r="E153" s="258">
        <v>30.0</v>
      </c>
      <c r="F153" s="93">
        <v>99.0</v>
      </c>
      <c r="G153" s="93">
        <v>99.0</v>
      </c>
      <c r="H153" s="692">
        <v>30.0</v>
      </c>
      <c r="I153" s="158">
        <f t="shared" si="39"/>
        <v>0.303030303</v>
      </c>
      <c r="J153" s="93">
        <f t="shared" si="40"/>
        <v>69</v>
      </c>
      <c r="K153" s="158" t="str">
        <f t="shared" si="41"/>
        <v>#REF!</v>
      </c>
      <c r="L153" s="134"/>
      <c r="M153" s="87"/>
      <c r="N153" s="87"/>
      <c r="O153" s="87"/>
    </row>
    <row r="154" ht="31.5" hidden="1" customHeight="1" outlineLevel="1">
      <c r="A154" s="87">
        <v>8.0</v>
      </c>
      <c r="B154" s="89"/>
      <c r="C154" s="89" t="s">
        <v>455</v>
      </c>
      <c r="D154" s="691"/>
      <c r="E154" s="258">
        <v>30.0</v>
      </c>
      <c r="F154" s="93">
        <v>89.0</v>
      </c>
      <c r="G154" s="93">
        <v>89.0</v>
      </c>
      <c r="H154" s="692">
        <v>20.65</v>
      </c>
      <c r="I154" s="158">
        <f t="shared" si="39"/>
        <v>0.2320224719</v>
      </c>
      <c r="J154" s="93">
        <f t="shared" si="40"/>
        <v>68.35</v>
      </c>
      <c r="K154" s="158" t="str">
        <f t="shared" si="41"/>
        <v>#REF!</v>
      </c>
      <c r="L154" s="134"/>
      <c r="M154" s="87"/>
      <c r="N154" s="87"/>
      <c r="O154" s="87"/>
    </row>
    <row r="155" ht="20.25" hidden="1" customHeight="1" outlineLevel="1">
      <c r="A155" s="87">
        <v>9.0</v>
      </c>
      <c r="B155" s="89"/>
      <c r="C155" s="89" t="s">
        <v>456</v>
      </c>
      <c r="D155" s="691"/>
      <c r="E155" s="258">
        <v>40.0</v>
      </c>
      <c r="F155" s="93">
        <v>49.0</v>
      </c>
      <c r="G155" s="93">
        <v>49.0</v>
      </c>
      <c r="H155" s="692">
        <v>12.66</v>
      </c>
      <c r="I155" s="158">
        <f t="shared" si="39"/>
        <v>0.2583673469</v>
      </c>
      <c r="J155" s="93">
        <f t="shared" si="40"/>
        <v>36.34</v>
      </c>
      <c r="K155" s="158" t="str">
        <f t="shared" si="41"/>
        <v>#REF!</v>
      </c>
      <c r="L155" s="134"/>
      <c r="M155" s="87"/>
      <c r="N155" s="87"/>
      <c r="O155" s="87"/>
    </row>
    <row r="156" ht="27.75" hidden="1" customHeight="1" outlineLevel="1">
      <c r="A156" s="87">
        <v>10.0</v>
      </c>
      <c r="B156" s="89"/>
      <c r="C156" s="89" t="s">
        <v>457</v>
      </c>
      <c r="D156" s="691"/>
      <c r="E156" s="258">
        <v>50.0</v>
      </c>
      <c r="F156" s="93">
        <v>89.0</v>
      </c>
      <c r="G156" s="93">
        <v>89.0</v>
      </c>
      <c r="H156" s="692">
        <v>24.75</v>
      </c>
      <c r="I156" s="158">
        <f t="shared" si="39"/>
        <v>0.2780898876</v>
      </c>
      <c r="J156" s="93">
        <f t="shared" si="40"/>
        <v>64.25</v>
      </c>
      <c r="K156" s="158" t="str">
        <f t="shared" si="41"/>
        <v>#REF!</v>
      </c>
      <c r="L156" s="134"/>
      <c r="M156" s="87"/>
      <c r="N156" s="87"/>
      <c r="O156" s="87"/>
    </row>
    <row r="157" ht="32.25" hidden="1" customHeight="1" outlineLevel="1">
      <c r="A157" s="87">
        <v>11.0</v>
      </c>
      <c r="B157" s="89"/>
      <c r="C157" s="89" t="s">
        <v>458</v>
      </c>
      <c r="D157" s="691"/>
      <c r="E157" s="258">
        <v>50.0</v>
      </c>
      <c r="F157" s="93">
        <v>179.0</v>
      </c>
      <c r="G157" s="93">
        <v>179.0</v>
      </c>
      <c r="H157" s="692">
        <v>55.9</v>
      </c>
      <c r="I157" s="158">
        <f t="shared" si="39"/>
        <v>0.3122905028</v>
      </c>
      <c r="J157" s="93">
        <f t="shared" si="40"/>
        <v>123.1</v>
      </c>
      <c r="K157" s="158" t="str">
        <f t="shared" si="41"/>
        <v>#REF!</v>
      </c>
      <c r="L157" s="134"/>
      <c r="M157" s="87"/>
      <c r="N157" s="87"/>
      <c r="O157" s="87"/>
    </row>
    <row r="158" ht="33.75" hidden="1" customHeight="1" outlineLevel="1">
      <c r="A158" s="87">
        <v>12.0</v>
      </c>
      <c r="B158" s="89"/>
      <c r="C158" s="89" t="s">
        <v>459</v>
      </c>
      <c r="D158" s="691"/>
      <c r="E158" s="258">
        <v>50.0</v>
      </c>
      <c r="F158" s="93">
        <v>159.0</v>
      </c>
      <c r="G158" s="93">
        <v>159.0</v>
      </c>
      <c r="H158" s="692">
        <v>43.04</v>
      </c>
      <c r="I158" s="158">
        <f t="shared" si="39"/>
        <v>0.2706918239</v>
      </c>
      <c r="J158" s="93">
        <f t="shared" si="40"/>
        <v>115.96</v>
      </c>
      <c r="K158" s="158" t="str">
        <f t="shared" si="41"/>
        <v>#REF!</v>
      </c>
      <c r="L158" s="134"/>
      <c r="M158" s="87"/>
      <c r="N158" s="87"/>
      <c r="O158" s="87"/>
    </row>
    <row r="159" ht="24.0" hidden="1" customHeight="1" outlineLevel="1">
      <c r="A159" s="87">
        <v>13.0</v>
      </c>
      <c r="B159" s="89"/>
      <c r="C159" s="89" t="s">
        <v>460</v>
      </c>
      <c r="D159" s="691"/>
      <c r="E159" s="258">
        <v>50.0</v>
      </c>
      <c r="F159" s="93">
        <v>169.0</v>
      </c>
      <c r="G159" s="93">
        <v>169.0</v>
      </c>
      <c r="H159" s="692">
        <v>47.22</v>
      </c>
      <c r="I159" s="158">
        <f t="shared" si="39"/>
        <v>0.279408284</v>
      </c>
      <c r="J159" s="93">
        <f t="shared" si="40"/>
        <v>121.78</v>
      </c>
      <c r="K159" s="158" t="str">
        <f t="shared" si="41"/>
        <v>#REF!</v>
      </c>
      <c r="L159" s="134"/>
      <c r="M159" s="87"/>
      <c r="N159" s="87"/>
      <c r="O159" s="87"/>
    </row>
    <row r="160" ht="25.5" hidden="1" customHeight="1" outlineLevel="1">
      <c r="A160" s="87">
        <v>14.0</v>
      </c>
      <c r="B160" s="89"/>
      <c r="C160" s="116" t="s">
        <v>461</v>
      </c>
      <c r="D160" s="691"/>
      <c r="E160" s="258">
        <v>50.0</v>
      </c>
      <c r="F160" s="93">
        <v>99.0</v>
      </c>
      <c r="G160" s="93">
        <v>99.0</v>
      </c>
      <c r="H160" s="162">
        <v>22.77</v>
      </c>
      <c r="I160" s="158">
        <f t="shared" si="39"/>
        <v>0.23</v>
      </c>
      <c r="J160" s="93">
        <f t="shared" si="40"/>
        <v>76.23</v>
      </c>
      <c r="K160" s="158" t="str">
        <f t="shared" si="41"/>
        <v>#REF!</v>
      </c>
      <c r="L160" s="158"/>
      <c r="M160" s="87"/>
      <c r="N160" s="239"/>
      <c r="O160" s="239"/>
    </row>
    <row r="161" ht="25.5" hidden="1" customHeight="1" outlineLevel="1">
      <c r="A161" s="87">
        <v>15.0</v>
      </c>
      <c r="B161" s="89"/>
      <c r="C161" s="116" t="s">
        <v>462</v>
      </c>
      <c r="D161" s="691"/>
      <c r="E161" s="258">
        <v>50.0</v>
      </c>
      <c r="F161" s="93">
        <v>99.0</v>
      </c>
      <c r="G161" s="93">
        <v>99.0</v>
      </c>
      <c r="H161" s="162">
        <v>18.5</v>
      </c>
      <c r="I161" s="158">
        <f t="shared" si="39"/>
        <v>0.1868686869</v>
      </c>
      <c r="J161" s="93">
        <f t="shared" si="40"/>
        <v>80.5</v>
      </c>
      <c r="K161" s="158" t="str">
        <f t="shared" si="41"/>
        <v>#REF!</v>
      </c>
      <c r="L161" s="158"/>
      <c r="M161" s="87"/>
      <c r="N161" s="239"/>
      <c r="O161" s="239"/>
    </row>
    <row r="162" ht="25.5" hidden="1" customHeight="1" outlineLevel="1">
      <c r="A162" s="87"/>
      <c r="B162" s="89"/>
      <c r="C162" s="116"/>
      <c r="D162" s="691"/>
      <c r="E162" s="258"/>
      <c r="F162" s="93"/>
      <c r="G162" s="93"/>
      <c r="H162" s="162"/>
      <c r="I162" s="158"/>
      <c r="J162" s="87"/>
      <c r="K162" s="158"/>
      <c r="L162" s="158"/>
      <c r="M162" s="87"/>
      <c r="N162" s="239"/>
      <c r="O162" s="239"/>
    </row>
    <row r="163" ht="25.5" hidden="1" customHeight="1" outlineLevel="1">
      <c r="A163" s="87">
        <v>1.0</v>
      </c>
      <c r="B163" s="68"/>
      <c r="C163" s="116" t="s">
        <v>450</v>
      </c>
      <c r="D163" s="691"/>
      <c r="E163" s="258">
        <v>30.0</v>
      </c>
      <c r="F163" s="93">
        <v>79.0</v>
      </c>
      <c r="G163" s="93">
        <v>79.0</v>
      </c>
      <c r="H163" s="162">
        <v>20.38</v>
      </c>
      <c r="I163" s="238">
        <f t="shared" ref="I163:I176" si="42">H163/G163</f>
        <v>0.2579746835</v>
      </c>
      <c r="J163" s="93">
        <f t="shared" ref="J163:J176" si="43">G163-H163</f>
        <v>58.62</v>
      </c>
      <c r="K163" s="158" t="str">
        <f t="shared" ref="K163:K176" si="44">#REF!/H163-1</f>
        <v>#REF!</v>
      </c>
      <c r="L163" s="134"/>
      <c r="M163" s="87"/>
      <c r="N163" s="87"/>
      <c r="O163" s="87"/>
    </row>
    <row r="164" ht="25.5" hidden="1" customHeight="1" outlineLevel="1">
      <c r="A164" s="87">
        <v>2.0</v>
      </c>
      <c r="B164" s="89"/>
      <c r="C164" s="89" t="s">
        <v>1170</v>
      </c>
      <c r="D164" s="691"/>
      <c r="E164" s="258">
        <v>40.0</v>
      </c>
      <c r="F164" s="93">
        <v>79.0</v>
      </c>
      <c r="G164" s="93">
        <v>79.0</v>
      </c>
      <c r="H164" s="692">
        <v>20.2</v>
      </c>
      <c r="I164" s="238">
        <f t="shared" si="42"/>
        <v>0.2556962025</v>
      </c>
      <c r="J164" s="93">
        <f t="shared" si="43"/>
        <v>58.8</v>
      </c>
      <c r="K164" s="158" t="str">
        <f t="shared" si="44"/>
        <v>#REF!</v>
      </c>
      <c r="L164" s="134"/>
      <c r="M164" s="87"/>
      <c r="N164" s="87"/>
      <c r="O164" s="87"/>
    </row>
    <row r="165" ht="25.5" hidden="1" customHeight="1" outlineLevel="1">
      <c r="A165" s="87">
        <v>3.0</v>
      </c>
      <c r="B165" s="89"/>
      <c r="C165" s="89" t="s">
        <v>451</v>
      </c>
      <c r="D165" s="691"/>
      <c r="E165" s="258">
        <v>40.0</v>
      </c>
      <c r="F165" s="93">
        <v>59.0</v>
      </c>
      <c r="G165" s="93">
        <v>59.0</v>
      </c>
      <c r="H165" s="692">
        <v>11.3</v>
      </c>
      <c r="I165" s="238">
        <f t="shared" si="42"/>
        <v>0.1915254237</v>
      </c>
      <c r="J165" s="93">
        <f t="shared" si="43"/>
        <v>47.7</v>
      </c>
      <c r="K165" s="158" t="str">
        <f t="shared" si="44"/>
        <v>#REF!</v>
      </c>
      <c r="L165" s="134"/>
      <c r="M165" s="87"/>
      <c r="N165" s="87"/>
      <c r="O165" s="87"/>
    </row>
    <row r="166" ht="25.5" hidden="1" customHeight="1" outlineLevel="1">
      <c r="A166" s="87">
        <v>5.0</v>
      </c>
      <c r="B166" s="89"/>
      <c r="C166" s="89" t="s">
        <v>452</v>
      </c>
      <c r="D166" s="691"/>
      <c r="E166" s="258">
        <v>50.0</v>
      </c>
      <c r="F166" s="93">
        <v>129.0</v>
      </c>
      <c r="G166" s="93">
        <v>129.0</v>
      </c>
      <c r="H166" s="692">
        <v>40.72</v>
      </c>
      <c r="I166" s="238">
        <f t="shared" si="42"/>
        <v>0.3156589147</v>
      </c>
      <c r="J166" s="93">
        <f t="shared" si="43"/>
        <v>88.28</v>
      </c>
      <c r="K166" s="158" t="str">
        <f t="shared" si="44"/>
        <v>#REF!</v>
      </c>
      <c r="L166" s="134"/>
      <c r="M166" s="87"/>
      <c r="N166" s="87"/>
      <c r="O166" s="87"/>
    </row>
    <row r="167" ht="32.25" hidden="1" customHeight="1" outlineLevel="1">
      <c r="A167" s="87">
        <v>6.0</v>
      </c>
      <c r="B167" s="89"/>
      <c r="C167" s="89" t="s">
        <v>453</v>
      </c>
      <c r="D167" s="691"/>
      <c r="E167" s="258">
        <v>40.0</v>
      </c>
      <c r="F167" s="93">
        <v>59.0</v>
      </c>
      <c r="G167" s="93">
        <v>59.0</v>
      </c>
      <c r="H167" s="692">
        <v>13.09</v>
      </c>
      <c r="I167" s="238">
        <f t="shared" si="42"/>
        <v>0.2218644068</v>
      </c>
      <c r="J167" s="93">
        <f t="shared" si="43"/>
        <v>45.91</v>
      </c>
      <c r="K167" s="158" t="str">
        <f t="shared" si="44"/>
        <v>#REF!</v>
      </c>
      <c r="L167" s="134"/>
      <c r="M167" s="87"/>
      <c r="N167" s="87"/>
      <c r="O167" s="87"/>
    </row>
    <row r="168" ht="32.25" hidden="1" customHeight="1" outlineLevel="1">
      <c r="A168" s="87">
        <v>7.0</v>
      </c>
      <c r="B168" s="89"/>
      <c r="C168" s="89" t="s">
        <v>454</v>
      </c>
      <c r="D168" s="691"/>
      <c r="E168" s="258">
        <v>30.0</v>
      </c>
      <c r="F168" s="93">
        <v>99.0</v>
      </c>
      <c r="G168" s="93">
        <v>99.0</v>
      </c>
      <c r="H168" s="692">
        <v>30.0</v>
      </c>
      <c r="I168" s="238">
        <f t="shared" si="42"/>
        <v>0.303030303</v>
      </c>
      <c r="J168" s="93">
        <f t="shared" si="43"/>
        <v>69</v>
      </c>
      <c r="K168" s="158" t="str">
        <f t="shared" si="44"/>
        <v>#REF!</v>
      </c>
      <c r="L168" s="134"/>
      <c r="M168" s="87"/>
      <c r="N168" s="87"/>
      <c r="O168" s="87"/>
    </row>
    <row r="169" ht="31.5" hidden="1" customHeight="1" outlineLevel="1">
      <c r="A169" s="87">
        <v>8.0</v>
      </c>
      <c r="B169" s="89"/>
      <c r="C169" s="89" t="s">
        <v>455</v>
      </c>
      <c r="D169" s="691"/>
      <c r="E169" s="258">
        <v>30.0</v>
      </c>
      <c r="F169" s="93">
        <v>89.0</v>
      </c>
      <c r="G169" s="93">
        <v>89.0</v>
      </c>
      <c r="H169" s="692">
        <v>20.65</v>
      </c>
      <c r="I169" s="238">
        <f t="shared" si="42"/>
        <v>0.2320224719</v>
      </c>
      <c r="J169" s="93">
        <f t="shared" si="43"/>
        <v>68.35</v>
      </c>
      <c r="K169" s="158" t="str">
        <f t="shared" si="44"/>
        <v>#REF!</v>
      </c>
      <c r="L169" s="134"/>
      <c r="M169" s="87"/>
      <c r="N169" s="87"/>
      <c r="O169" s="87"/>
    </row>
    <row r="170" ht="20.25" hidden="1" customHeight="1" outlineLevel="1">
      <c r="A170" s="87">
        <v>9.0</v>
      </c>
      <c r="B170" s="89"/>
      <c r="C170" s="89" t="s">
        <v>456</v>
      </c>
      <c r="D170" s="691"/>
      <c r="E170" s="258">
        <v>40.0</v>
      </c>
      <c r="F170" s="93">
        <v>49.0</v>
      </c>
      <c r="G170" s="93">
        <v>49.0</v>
      </c>
      <c r="H170" s="692">
        <v>12.66</v>
      </c>
      <c r="I170" s="238">
        <f t="shared" si="42"/>
        <v>0.2583673469</v>
      </c>
      <c r="J170" s="93">
        <f t="shared" si="43"/>
        <v>36.34</v>
      </c>
      <c r="K170" s="158" t="str">
        <f t="shared" si="44"/>
        <v>#REF!</v>
      </c>
      <c r="L170" s="134"/>
      <c r="M170" s="87"/>
      <c r="N170" s="87"/>
      <c r="O170" s="87"/>
    </row>
    <row r="171" ht="27.75" hidden="1" customHeight="1" outlineLevel="1">
      <c r="A171" s="87">
        <v>10.0</v>
      </c>
      <c r="B171" s="89"/>
      <c r="C171" s="89" t="s">
        <v>457</v>
      </c>
      <c r="D171" s="691"/>
      <c r="E171" s="258">
        <v>50.0</v>
      </c>
      <c r="F171" s="93">
        <v>89.0</v>
      </c>
      <c r="G171" s="93">
        <v>89.0</v>
      </c>
      <c r="H171" s="692">
        <v>24.75</v>
      </c>
      <c r="I171" s="238">
        <f t="shared" si="42"/>
        <v>0.2780898876</v>
      </c>
      <c r="J171" s="93">
        <f t="shared" si="43"/>
        <v>64.25</v>
      </c>
      <c r="K171" s="158" t="str">
        <f t="shared" si="44"/>
        <v>#REF!</v>
      </c>
      <c r="L171" s="134"/>
      <c r="M171" s="87"/>
      <c r="N171" s="87"/>
      <c r="O171" s="87"/>
    </row>
    <row r="172" ht="32.25" hidden="1" customHeight="1" outlineLevel="1">
      <c r="A172" s="87">
        <v>11.0</v>
      </c>
      <c r="B172" s="89"/>
      <c r="C172" s="89" t="s">
        <v>458</v>
      </c>
      <c r="D172" s="691"/>
      <c r="E172" s="258">
        <v>50.0</v>
      </c>
      <c r="F172" s="93">
        <v>179.0</v>
      </c>
      <c r="G172" s="93">
        <v>179.0</v>
      </c>
      <c r="H172" s="692">
        <v>55.9</v>
      </c>
      <c r="I172" s="238">
        <f t="shared" si="42"/>
        <v>0.3122905028</v>
      </c>
      <c r="J172" s="93">
        <f t="shared" si="43"/>
        <v>123.1</v>
      </c>
      <c r="K172" s="158" t="str">
        <f t="shared" si="44"/>
        <v>#REF!</v>
      </c>
      <c r="L172" s="134"/>
      <c r="M172" s="87"/>
      <c r="N172" s="87"/>
      <c r="O172" s="87"/>
    </row>
    <row r="173" ht="33.75" hidden="1" customHeight="1" outlineLevel="1">
      <c r="A173" s="87">
        <v>12.0</v>
      </c>
      <c r="B173" s="89"/>
      <c r="C173" s="89" t="s">
        <v>459</v>
      </c>
      <c r="D173" s="691"/>
      <c r="E173" s="258">
        <v>50.0</v>
      </c>
      <c r="F173" s="93">
        <v>159.0</v>
      </c>
      <c r="G173" s="93">
        <v>159.0</v>
      </c>
      <c r="H173" s="692">
        <v>43.04</v>
      </c>
      <c r="I173" s="238">
        <f t="shared" si="42"/>
        <v>0.2706918239</v>
      </c>
      <c r="J173" s="93">
        <f t="shared" si="43"/>
        <v>115.96</v>
      </c>
      <c r="K173" s="158" t="str">
        <f t="shared" si="44"/>
        <v>#REF!</v>
      </c>
      <c r="L173" s="134"/>
      <c r="M173" s="87"/>
      <c r="N173" s="87"/>
      <c r="O173" s="87"/>
    </row>
    <row r="174" ht="24.0" hidden="1" customHeight="1" outlineLevel="1">
      <c r="A174" s="87">
        <v>13.0</v>
      </c>
      <c r="B174" s="89"/>
      <c r="C174" s="89" t="s">
        <v>460</v>
      </c>
      <c r="D174" s="691"/>
      <c r="E174" s="258">
        <v>50.0</v>
      </c>
      <c r="F174" s="93">
        <v>169.0</v>
      </c>
      <c r="G174" s="93">
        <v>169.0</v>
      </c>
      <c r="H174" s="692">
        <v>47.22</v>
      </c>
      <c r="I174" s="238">
        <f t="shared" si="42"/>
        <v>0.279408284</v>
      </c>
      <c r="J174" s="93">
        <f t="shared" si="43"/>
        <v>121.78</v>
      </c>
      <c r="K174" s="158" t="str">
        <f t="shared" si="44"/>
        <v>#REF!</v>
      </c>
      <c r="L174" s="134"/>
      <c r="M174" s="87"/>
      <c r="N174" s="87"/>
      <c r="O174" s="87"/>
    </row>
    <row r="175" ht="25.5" hidden="1" customHeight="1" outlineLevel="1">
      <c r="A175" s="87">
        <v>14.0</v>
      </c>
      <c r="B175" s="89"/>
      <c r="C175" s="689" t="s">
        <v>461</v>
      </c>
      <c r="D175" s="690"/>
      <c r="E175" s="265">
        <v>50.0</v>
      </c>
      <c r="F175" s="243">
        <v>99.0</v>
      </c>
      <c r="G175" s="243">
        <v>99.0</v>
      </c>
      <c r="H175" s="275">
        <v>22.77</v>
      </c>
      <c r="I175" s="238">
        <f t="shared" si="42"/>
        <v>0.23</v>
      </c>
      <c r="J175" s="93">
        <f t="shared" si="43"/>
        <v>76.23</v>
      </c>
      <c r="K175" s="158" t="str">
        <f t="shared" si="44"/>
        <v>#REF!</v>
      </c>
      <c r="L175" s="247"/>
      <c r="M175" s="239"/>
      <c r="N175" s="239"/>
      <c r="O175" s="239"/>
    </row>
    <row r="176" ht="25.5" hidden="1" customHeight="1" outlineLevel="1">
      <c r="A176" s="87">
        <v>15.0</v>
      </c>
      <c r="B176" s="89"/>
      <c r="C176" s="689" t="s">
        <v>462</v>
      </c>
      <c r="D176" s="690"/>
      <c r="E176" s="265">
        <v>50.0</v>
      </c>
      <c r="F176" s="243">
        <v>99.0</v>
      </c>
      <c r="G176" s="243">
        <v>99.0</v>
      </c>
      <c r="H176" s="275">
        <v>18.5</v>
      </c>
      <c r="I176" s="238">
        <f t="shared" si="42"/>
        <v>0.1868686869</v>
      </c>
      <c r="J176" s="93">
        <f t="shared" si="43"/>
        <v>80.5</v>
      </c>
      <c r="K176" s="158" t="str">
        <f t="shared" si="44"/>
        <v>#REF!</v>
      </c>
      <c r="L176" s="247"/>
      <c r="M176" s="239"/>
      <c r="N176" s="239"/>
      <c r="O176" s="239"/>
    </row>
    <row r="177" ht="25.5" hidden="1" customHeight="1" outlineLevel="1">
      <c r="A177" s="239"/>
      <c r="B177" s="89"/>
      <c r="C177" s="689"/>
      <c r="D177" s="690"/>
      <c r="E177" s="265"/>
      <c r="F177" s="243"/>
      <c r="G177" s="243"/>
      <c r="H177" s="275"/>
      <c r="I177" s="238"/>
      <c r="J177" s="239"/>
      <c r="K177" s="247"/>
      <c r="L177" s="247"/>
      <c r="M177" s="239"/>
      <c r="N177" s="239"/>
      <c r="O177" s="239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conditionalFormatting sqref="I1:I177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M1:O177">
    <cfRule type="containsText" dxfId="0" priority="2" operator="containsText" text="нет">
      <formula>NOT(ISERROR(SEARCH(("нет"),(M1))))</formula>
    </cfRule>
  </conditionalFormatting>
  <conditionalFormatting sqref="F1:G1 F3:G83 L4:L14 L16:L39 L41:L44 L46:L84 L104:L159 L163:L174 O32:O33 O82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M3:O31 M32:N33 M34:O81 M82:N82 M83:O107 M108:N118 M119:O177">
      <formula1>"да,нет"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4.57"/>
    <col customWidth="1" min="3" max="6" width="14.43"/>
    <col customWidth="1" min="10" max="10" width="18.57"/>
    <col customWidth="1" min="11" max="11" width="17.29"/>
  </cols>
  <sheetData>
    <row r="1">
      <c r="A1" s="594" t="s">
        <v>2305</v>
      </c>
      <c r="B1" s="807" t="s">
        <v>2306</v>
      </c>
      <c r="C1" s="907" t="s">
        <v>1654</v>
      </c>
      <c r="D1" s="932" t="s">
        <v>2307</v>
      </c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  <c r="U1" s="840"/>
      <c r="V1" s="840"/>
      <c r="W1" s="840"/>
      <c r="X1" s="840"/>
      <c r="Y1" s="840"/>
      <c r="Z1" s="840"/>
    </row>
    <row r="2">
      <c r="A2" s="933" t="s">
        <v>2308</v>
      </c>
      <c r="B2" s="51"/>
      <c r="C2" s="51"/>
      <c r="D2" s="51"/>
      <c r="E2" s="321" t="s">
        <v>2309</v>
      </c>
      <c r="F2" s="321" t="s">
        <v>2310</v>
      </c>
      <c r="G2" s="321" t="s">
        <v>2311</v>
      </c>
      <c r="H2" s="840"/>
      <c r="I2" s="840" t="s">
        <v>2312</v>
      </c>
      <c r="J2" s="840" t="s">
        <v>2313</v>
      </c>
      <c r="K2" s="840" t="s">
        <v>2314</v>
      </c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</row>
    <row r="3">
      <c r="A3" s="934" t="s">
        <v>2315</v>
      </c>
      <c r="B3" s="51"/>
      <c r="C3" s="51"/>
      <c r="D3" s="935"/>
      <c r="E3" s="936">
        <f>D4+D5+D6+D7+D8+D11+D14+D45</f>
        <v>808</v>
      </c>
      <c r="F3" s="936">
        <f>E4+E5+E6+E7+E8+D12+D16+D45</f>
        <v>631</v>
      </c>
      <c r="G3" s="936">
        <f>F3+F41</f>
        <v>631.3993994</v>
      </c>
      <c r="H3" s="840"/>
      <c r="I3" s="840">
        <v>2900.0</v>
      </c>
      <c r="J3" s="840">
        <v>3500.0</v>
      </c>
      <c r="K3" s="840">
        <f>2900+900+700</f>
        <v>4500</v>
      </c>
      <c r="L3" s="840"/>
      <c r="M3" s="840"/>
      <c r="N3" s="840"/>
      <c r="O3" s="840"/>
      <c r="P3" s="840"/>
      <c r="Q3" s="840"/>
      <c r="R3" s="840"/>
      <c r="S3" s="840"/>
      <c r="T3" s="840"/>
      <c r="U3" s="840"/>
      <c r="V3" s="840"/>
      <c r="W3" s="840"/>
      <c r="X3" s="840"/>
      <c r="Y3" s="840"/>
      <c r="Z3" s="840"/>
    </row>
    <row r="4">
      <c r="A4" s="937" t="s">
        <v>2316</v>
      </c>
      <c r="B4" s="938" t="s">
        <v>2317</v>
      </c>
      <c r="C4" s="939" t="s">
        <v>1495</v>
      </c>
      <c r="D4" s="940">
        <v>123.0</v>
      </c>
      <c r="E4" s="936">
        <f>D4+D5+D6+D7+D8</f>
        <v>373</v>
      </c>
      <c r="F4" s="936">
        <f>E4</f>
        <v>373</v>
      </c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</row>
    <row r="5">
      <c r="A5" s="937" t="s">
        <v>2318</v>
      </c>
      <c r="B5" s="938" t="s">
        <v>2319</v>
      </c>
      <c r="C5" s="939" t="s">
        <v>2320</v>
      </c>
      <c r="D5" s="940">
        <v>110.0</v>
      </c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</row>
    <row r="6">
      <c r="A6" s="937" t="s">
        <v>2321</v>
      </c>
      <c r="B6" s="938" t="s">
        <v>2322</v>
      </c>
      <c r="C6" s="939" t="s">
        <v>2033</v>
      </c>
      <c r="D6" s="940">
        <v>65.0</v>
      </c>
      <c r="E6" s="840"/>
      <c r="F6" s="840"/>
      <c r="G6" s="840"/>
      <c r="H6" s="840"/>
      <c r="I6" s="840"/>
      <c r="J6" s="840"/>
      <c r="K6" s="840"/>
      <c r="L6" s="840"/>
      <c r="M6" s="840"/>
      <c r="N6" s="840"/>
      <c r="O6" s="840"/>
      <c r="P6" s="840"/>
      <c r="Q6" s="840"/>
      <c r="R6" s="840"/>
      <c r="S6" s="840"/>
      <c r="T6" s="840"/>
      <c r="U6" s="840"/>
      <c r="V6" s="840"/>
      <c r="W6" s="840"/>
      <c r="X6" s="840"/>
      <c r="Y6" s="840"/>
      <c r="Z6" s="840"/>
    </row>
    <row r="7">
      <c r="A7" s="937" t="s">
        <v>2323</v>
      </c>
      <c r="B7" s="938" t="s">
        <v>2324</v>
      </c>
      <c r="C7" s="939" t="s">
        <v>1492</v>
      </c>
      <c r="D7" s="940">
        <v>40.0</v>
      </c>
      <c r="E7" s="840"/>
      <c r="F7" s="840"/>
      <c r="G7" s="840"/>
      <c r="H7" s="840"/>
      <c r="I7" s="840"/>
      <c r="J7" s="840"/>
      <c r="K7" s="840"/>
      <c r="L7" s="840"/>
      <c r="M7" s="840"/>
      <c r="N7" s="840"/>
      <c r="O7" s="840"/>
      <c r="P7" s="840"/>
      <c r="Q7" s="840"/>
      <c r="R7" s="840"/>
      <c r="S7" s="840"/>
      <c r="T7" s="840"/>
      <c r="U7" s="840"/>
      <c r="V7" s="840"/>
      <c r="W7" s="840"/>
      <c r="X7" s="840"/>
      <c r="Y7" s="840"/>
      <c r="Z7" s="840"/>
    </row>
    <row r="8">
      <c r="A8" s="937" t="s">
        <v>2325</v>
      </c>
      <c r="B8" s="938" t="s">
        <v>2326</v>
      </c>
      <c r="C8" s="939" t="s">
        <v>2327</v>
      </c>
      <c r="D8" s="940">
        <v>35.0</v>
      </c>
      <c r="E8" s="840"/>
      <c r="F8" s="840"/>
      <c r="G8" s="840"/>
      <c r="H8" s="840"/>
      <c r="I8" s="840"/>
      <c r="J8" s="840"/>
      <c r="K8" s="840"/>
      <c r="L8" s="840"/>
      <c r="M8" s="840"/>
      <c r="N8" s="840"/>
      <c r="O8" s="840"/>
      <c r="P8" s="840"/>
      <c r="Q8" s="840"/>
      <c r="R8" s="840"/>
      <c r="S8" s="840"/>
      <c r="T8" s="840"/>
      <c r="U8" s="840"/>
      <c r="V8" s="840"/>
      <c r="W8" s="840"/>
      <c r="X8" s="840"/>
      <c r="Y8" s="840"/>
      <c r="Z8" s="840"/>
    </row>
    <row r="9">
      <c r="A9" s="934" t="s">
        <v>2328</v>
      </c>
      <c r="B9" s="51"/>
      <c r="C9" s="51"/>
      <c r="D9" s="935"/>
      <c r="E9" s="840"/>
      <c r="F9" s="840"/>
      <c r="G9" s="840"/>
      <c r="H9" s="840"/>
      <c r="I9" s="840"/>
      <c r="J9" s="840"/>
      <c r="K9" s="840"/>
      <c r="L9" s="840"/>
      <c r="M9" s="840"/>
      <c r="N9" s="840"/>
      <c r="O9" s="840"/>
      <c r="P9" s="840"/>
      <c r="Q9" s="840"/>
      <c r="R9" s="840"/>
      <c r="S9" s="840"/>
      <c r="T9" s="840"/>
      <c r="U9" s="840"/>
      <c r="V9" s="840"/>
      <c r="W9" s="840"/>
      <c r="X9" s="840"/>
      <c r="Y9" s="840"/>
      <c r="Z9" s="840"/>
    </row>
    <row r="10">
      <c r="A10" s="937" t="s">
        <v>2329</v>
      </c>
      <c r="B10" s="938" t="s">
        <v>178</v>
      </c>
      <c r="C10" s="939" t="s">
        <v>1678</v>
      </c>
      <c r="D10" s="940">
        <v>127.0</v>
      </c>
      <c r="E10" s="936">
        <f>D11</f>
        <v>136</v>
      </c>
      <c r="F10" s="936">
        <f>D12</f>
        <v>93</v>
      </c>
      <c r="G10" s="840"/>
      <c r="H10" s="840"/>
      <c r="I10" s="840"/>
      <c r="J10" s="840"/>
      <c r="K10" s="840"/>
      <c r="L10" s="840"/>
      <c r="M10" s="840"/>
      <c r="N10" s="840"/>
      <c r="O10" s="840"/>
      <c r="P10" s="840"/>
      <c r="Q10" s="840"/>
      <c r="R10" s="840"/>
      <c r="S10" s="840"/>
      <c r="T10" s="840"/>
      <c r="U10" s="840"/>
      <c r="V10" s="840"/>
      <c r="W10" s="840"/>
      <c r="X10" s="840"/>
      <c r="Y10" s="840"/>
      <c r="Z10" s="840"/>
    </row>
    <row r="11">
      <c r="A11" s="941" t="s">
        <v>184</v>
      </c>
      <c r="B11" s="942" t="s">
        <v>2330</v>
      </c>
      <c r="C11" s="939" t="s">
        <v>1678</v>
      </c>
      <c r="D11" s="940">
        <v>136.0</v>
      </c>
      <c r="E11" s="840"/>
      <c r="F11" s="840"/>
      <c r="G11" s="840"/>
      <c r="H11" s="840"/>
      <c r="I11" s="840"/>
      <c r="J11" s="840"/>
      <c r="K11" s="840"/>
      <c r="L11" s="840"/>
      <c r="M11" s="840"/>
      <c r="N11" s="840"/>
      <c r="O11" s="840"/>
      <c r="P11" s="840"/>
      <c r="Q11" s="840"/>
      <c r="R11" s="840"/>
      <c r="S11" s="840"/>
      <c r="T11" s="840"/>
      <c r="U11" s="840"/>
      <c r="V11" s="840"/>
      <c r="W11" s="840"/>
      <c r="X11" s="840"/>
      <c r="Y11" s="840"/>
      <c r="Z11" s="840"/>
    </row>
    <row r="12">
      <c r="A12" s="943" t="s">
        <v>188</v>
      </c>
      <c r="B12" s="938" t="s">
        <v>2331</v>
      </c>
      <c r="C12" s="939" t="s">
        <v>1492</v>
      </c>
      <c r="D12" s="940">
        <v>93.0</v>
      </c>
      <c r="E12" s="840"/>
      <c r="F12" s="840"/>
      <c r="G12" s="840"/>
      <c r="H12" s="840"/>
      <c r="I12" s="840"/>
      <c r="J12" s="840"/>
      <c r="K12" s="840"/>
      <c r="L12" s="840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</row>
    <row r="13">
      <c r="A13" s="934" t="s">
        <v>2332</v>
      </c>
      <c r="B13" s="51"/>
      <c r="C13" s="51"/>
      <c r="D13" s="935"/>
      <c r="E13" s="840"/>
      <c r="F13" s="840"/>
      <c r="G13" s="840"/>
      <c r="H13" s="840"/>
      <c r="I13" s="840"/>
      <c r="J13" s="840"/>
      <c r="K13" s="840"/>
      <c r="L13" s="840"/>
      <c r="M13" s="840"/>
      <c r="N13" s="840"/>
      <c r="O13" s="840"/>
      <c r="P13" s="840"/>
      <c r="Q13" s="840"/>
      <c r="R13" s="840"/>
      <c r="S13" s="840"/>
      <c r="T13" s="840"/>
      <c r="U13" s="840"/>
      <c r="V13" s="840"/>
      <c r="W13" s="840"/>
      <c r="X13" s="840"/>
      <c r="Y13" s="840"/>
      <c r="Z13" s="840"/>
    </row>
    <row r="14">
      <c r="A14" s="823" t="s">
        <v>300</v>
      </c>
      <c r="B14" s="944" t="s">
        <v>2333</v>
      </c>
      <c r="C14" s="939" t="s">
        <v>1682</v>
      </c>
      <c r="D14" s="940">
        <v>229.0</v>
      </c>
      <c r="E14" s="936">
        <f>D14</f>
        <v>229</v>
      </c>
      <c r="F14" s="936">
        <f>D16</f>
        <v>95</v>
      </c>
      <c r="G14" s="840"/>
      <c r="H14" s="840"/>
      <c r="I14" s="840"/>
      <c r="J14" s="840"/>
      <c r="K14" s="840"/>
      <c r="L14" s="840"/>
      <c r="M14" s="840"/>
      <c r="N14" s="840"/>
      <c r="O14" s="840"/>
      <c r="P14" s="840"/>
      <c r="Q14" s="840"/>
      <c r="R14" s="840"/>
      <c r="S14" s="840"/>
      <c r="T14" s="840"/>
      <c r="U14" s="840"/>
      <c r="V14" s="840"/>
      <c r="W14" s="840"/>
      <c r="X14" s="840"/>
      <c r="Y14" s="840"/>
      <c r="Z14" s="840"/>
    </row>
    <row r="15">
      <c r="A15" s="945" t="s">
        <v>2334</v>
      </c>
      <c r="B15" s="938" t="s">
        <v>2335</v>
      </c>
      <c r="C15" s="939" t="s">
        <v>1711</v>
      </c>
      <c r="D15" s="940">
        <v>135.0</v>
      </c>
      <c r="E15" s="840"/>
      <c r="F15" s="840"/>
      <c r="G15" s="840"/>
      <c r="H15" s="840"/>
      <c r="I15" s="840"/>
      <c r="J15" s="840"/>
      <c r="K15" s="840"/>
      <c r="L15" s="840"/>
      <c r="M15" s="840"/>
      <c r="N15" s="840"/>
      <c r="O15" s="840"/>
      <c r="P15" s="840"/>
      <c r="Q15" s="840"/>
      <c r="R15" s="840"/>
      <c r="S15" s="840"/>
      <c r="T15" s="840"/>
      <c r="U15" s="840"/>
      <c r="V15" s="840"/>
      <c r="W15" s="840"/>
      <c r="X15" s="840"/>
      <c r="Y15" s="840"/>
      <c r="Z15" s="840"/>
    </row>
    <row r="16">
      <c r="A16" s="823" t="s">
        <v>1247</v>
      </c>
      <c r="B16" s="946" t="s">
        <v>2336</v>
      </c>
      <c r="C16" s="939" t="s">
        <v>1711</v>
      </c>
      <c r="D16" s="940">
        <v>95.0</v>
      </c>
      <c r="E16" s="840"/>
      <c r="F16" s="840"/>
      <c r="G16" s="840"/>
      <c r="H16" s="840"/>
      <c r="I16" s="840"/>
      <c r="J16" s="840"/>
      <c r="K16" s="840"/>
      <c r="L16" s="840"/>
      <c r="M16" s="840"/>
      <c r="N16" s="840"/>
      <c r="O16" s="840"/>
      <c r="P16" s="840"/>
      <c r="Q16" s="840"/>
      <c r="R16" s="840"/>
      <c r="S16" s="840"/>
      <c r="T16" s="840"/>
      <c r="U16" s="840"/>
      <c r="V16" s="840"/>
      <c r="W16" s="840"/>
      <c r="X16" s="840"/>
      <c r="Y16" s="840"/>
      <c r="Z16" s="840"/>
    </row>
    <row r="17">
      <c r="A17" s="947" t="s">
        <v>2337</v>
      </c>
      <c r="B17" s="51"/>
      <c r="C17" s="51"/>
      <c r="D17" s="935"/>
      <c r="E17" s="840"/>
      <c r="F17" s="840"/>
      <c r="G17" s="840"/>
      <c r="H17" s="840"/>
      <c r="I17" s="840"/>
      <c r="J17" s="840"/>
      <c r="K17" s="840"/>
      <c r="L17" s="840"/>
      <c r="M17" s="840"/>
      <c r="N17" s="840"/>
      <c r="O17" s="840"/>
      <c r="P17" s="840"/>
      <c r="Q17" s="840"/>
      <c r="R17" s="840"/>
      <c r="S17" s="840"/>
      <c r="T17" s="840"/>
      <c r="U17" s="840"/>
      <c r="V17" s="840"/>
      <c r="W17" s="840"/>
      <c r="X17" s="840"/>
      <c r="Y17" s="840"/>
      <c r="Z17" s="840"/>
    </row>
    <row r="18">
      <c r="A18" s="947" t="s">
        <v>2338</v>
      </c>
      <c r="B18" s="51"/>
      <c r="C18" s="51"/>
      <c r="D18" s="935"/>
      <c r="E18" s="840"/>
      <c r="F18" s="840"/>
      <c r="G18" s="840"/>
      <c r="H18" s="840"/>
      <c r="I18" s="840"/>
      <c r="J18" s="840"/>
      <c r="K18" s="840"/>
      <c r="L18" s="840"/>
      <c r="M18" s="840"/>
      <c r="N18" s="840"/>
      <c r="O18" s="840"/>
      <c r="P18" s="840"/>
      <c r="Q18" s="840"/>
      <c r="R18" s="840"/>
      <c r="S18" s="840"/>
      <c r="T18" s="840"/>
      <c r="U18" s="840"/>
      <c r="V18" s="840"/>
      <c r="W18" s="840"/>
      <c r="X18" s="840"/>
      <c r="Y18" s="840"/>
      <c r="Z18" s="840"/>
    </row>
    <row r="19">
      <c r="A19" s="948" t="s">
        <v>2339</v>
      </c>
      <c r="B19" s="949" t="s">
        <v>2340</v>
      </c>
      <c r="C19" s="950" t="s">
        <v>2033</v>
      </c>
      <c r="D19" s="951">
        <v>81.0</v>
      </c>
      <c r="E19" s="840"/>
      <c r="F19" s="840"/>
      <c r="G19" s="840"/>
      <c r="H19" s="840"/>
      <c r="I19" s="840"/>
      <c r="J19" s="840"/>
      <c r="K19" s="840"/>
      <c r="L19" s="840"/>
      <c r="M19" s="840"/>
      <c r="N19" s="840"/>
      <c r="O19" s="840"/>
      <c r="P19" s="840"/>
      <c r="Q19" s="840"/>
      <c r="R19" s="840"/>
      <c r="S19" s="840"/>
      <c r="T19" s="840"/>
      <c r="U19" s="840"/>
      <c r="V19" s="840"/>
      <c r="W19" s="840"/>
      <c r="X19" s="840"/>
      <c r="Y19" s="840"/>
      <c r="Z19" s="840"/>
    </row>
    <row r="20">
      <c r="A20" s="947" t="s">
        <v>2341</v>
      </c>
      <c r="B20" s="51"/>
      <c r="C20" s="51"/>
      <c r="D20" s="935"/>
      <c r="E20" s="840"/>
      <c r="F20" s="840"/>
      <c r="G20" s="840"/>
      <c r="H20" s="840"/>
      <c r="I20" s="840"/>
      <c r="J20" s="840"/>
      <c r="K20" s="840"/>
      <c r="L20" s="840"/>
      <c r="M20" s="840"/>
      <c r="N20" s="840"/>
      <c r="O20" s="840"/>
      <c r="P20" s="840"/>
      <c r="Q20" s="840"/>
      <c r="R20" s="840"/>
      <c r="S20" s="840"/>
      <c r="T20" s="840"/>
      <c r="U20" s="840"/>
      <c r="V20" s="840"/>
      <c r="W20" s="840"/>
      <c r="X20" s="840"/>
      <c r="Y20" s="840"/>
      <c r="Z20" s="840"/>
    </row>
    <row r="21" ht="15.75" customHeight="1">
      <c r="A21" s="952" t="s">
        <v>1062</v>
      </c>
      <c r="B21" s="953" t="s">
        <v>2342</v>
      </c>
      <c r="C21" s="950" t="s">
        <v>1678</v>
      </c>
      <c r="D21" s="951">
        <v>97.0</v>
      </c>
      <c r="E21" s="840"/>
      <c r="F21" s="840"/>
      <c r="G21" s="840"/>
      <c r="H21" s="840"/>
      <c r="I21" s="840"/>
      <c r="J21" s="840"/>
      <c r="K21" s="840"/>
      <c r="L21" s="840"/>
      <c r="M21" s="840"/>
      <c r="N21" s="840"/>
      <c r="O21" s="840"/>
      <c r="P21" s="840"/>
      <c r="Q21" s="840"/>
      <c r="R21" s="840"/>
      <c r="S21" s="840"/>
      <c r="T21" s="840"/>
      <c r="U21" s="840"/>
      <c r="V21" s="840"/>
      <c r="W21" s="840"/>
      <c r="X21" s="840"/>
      <c r="Y21" s="840"/>
      <c r="Z21" s="840"/>
    </row>
    <row r="22" ht="15.75" customHeight="1">
      <c r="A22" s="947" t="s">
        <v>2343</v>
      </c>
      <c r="B22" s="51"/>
      <c r="C22" s="51"/>
      <c r="D22" s="935"/>
      <c r="E22" s="840"/>
      <c r="F22" s="840"/>
      <c r="G22" s="840"/>
      <c r="H22" s="840"/>
      <c r="I22" s="840"/>
      <c r="J22" s="840"/>
      <c r="K22" s="840"/>
      <c r="L22" s="840"/>
      <c r="M22" s="840"/>
      <c r="N22" s="840"/>
      <c r="O22" s="840"/>
      <c r="P22" s="840"/>
      <c r="Q22" s="840"/>
      <c r="R22" s="840"/>
      <c r="S22" s="840"/>
      <c r="T22" s="840"/>
      <c r="U22" s="840"/>
      <c r="V22" s="840"/>
      <c r="W22" s="840"/>
      <c r="X22" s="840"/>
      <c r="Y22" s="840"/>
      <c r="Z22" s="840"/>
    </row>
    <row r="23" ht="15.75" customHeight="1">
      <c r="A23" s="948" t="s">
        <v>2344</v>
      </c>
      <c r="B23" s="949" t="s">
        <v>2345</v>
      </c>
      <c r="C23" s="950" t="s">
        <v>2346</v>
      </c>
      <c r="D23" s="951">
        <v>115.0</v>
      </c>
      <c r="E23" s="840"/>
      <c r="F23" s="840"/>
      <c r="G23" s="840"/>
      <c r="H23" s="840"/>
      <c r="I23" s="840"/>
      <c r="J23" s="840"/>
      <c r="K23" s="840"/>
      <c r="L23" s="840"/>
      <c r="M23" s="840"/>
      <c r="N23" s="840"/>
      <c r="O23" s="840"/>
      <c r="P23" s="840"/>
      <c r="Q23" s="840"/>
      <c r="R23" s="840"/>
      <c r="S23" s="840"/>
      <c r="T23" s="840"/>
      <c r="U23" s="840"/>
      <c r="V23" s="840"/>
      <c r="W23" s="840"/>
      <c r="X23" s="840"/>
      <c r="Y23" s="840"/>
      <c r="Z23" s="840"/>
    </row>
    <row r="24" ht="15.75" customHeight="1">
      <c r="A24" s="954" t="s">
        <v>2347</v>
      </c>
      <c r="B24" s="51"/>
      <c r="C24" s="51"/>
      <c r="D24" s="935"/>
      <c r="E24" s="840"/>
      <c r="F24" s="840"/>
      <c r="G24" s="840"/>
      <c r="H24" s="840"/>
      <c r="I24" s="840"/>
      <c r="J24" s="840"/>
      <c r="K24" s="840"/>
      <c r="L24" s="840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</row>
    <row r="25" ht="15.75" customHeight="1">
      <c r="A25" s="934" t="s">
        <v>2348</v>
      </c>
      <c r="B25" s="51"/>
      <c r="C25" s="51"/>
      <c r="D25" s="935"/>
      <c r="E25" s="840"/>
      <c r="F25" s="840"/>
      <c r="G25" s="840"/>
      <c r="H25" s="840"/>
      <c r="I25" s="840"/>
      <c r="J25" s="840"/>
      <c r="K25" s="840"/>
      <c r="L25" s="840"/>
      <c r="M25" s="840"/>
      <c r="N25" s="840"/>
      <c r="O25" s="840"/>
      <c r="P25" s="840"/>
      <c r="Q25" s="840"/>
      <c r="R25" s="840"/>
      <c r="S25" s="840"/>
      <c r="T25" s="840"/>
      <c r="U25" s="840"/>
      <c r="V25" s="840"/>
      <c r="W25" s="840"/>
      <c r="X25" s="840"/>
      <c r="Y25" s="840"/>
      <c r="Z25" s="840"/>
    </row>
    <row r="26" ht="15.75" customHeight="1">
      <c r="A26" s="937" t="s">
        <v>2349</v>
      </c>
      <c r="B26" s="938" t="s">
        <v>2350</v>
      </c>
      <c r="C26" s="939" t="s">
        <v>2351</v>
      </c>
      <c r="D26" s="940">
        <v>51.0</v>
      </c>
      <c r="E26" s="840"/>
      <c r="F26" s="840"/>
      <c r="G26" s="840"/>
      <c r="H26" s="840"/>
      <c r="I26" s="840"/>
      <c r="J26" s="840"/>
      <c r="K26" s="840"/>
      <c r="L26" s="840"/>
      <c r="M26" s="840"/>
      <c r="N26" s="840"/>
      <c r="O26" s="840"/>
      <c r="P26" s="840"/>
      <c r="Q26" s="840"/>
      <c r="R26" s="840"/>
      <c r="S26" s="840"/>
      <c r="T26" s="840"/>
      <c r="U26" s="840"/>
      <c r="V26" s="840"/>
      <c r="W26" s="840"/>
      <c r="X26" s="840"/>
      <c r="Y26" s="840"/>
      <c r="Z26" s="840"/>
    </row>
    <row r="27" ht="15.75" customHeight="1">
      <c r="A27" s="937" t="s">
        <v>2352</v>
      </c>
      <c r="B27" s="938" t="s">
        <v>2353</v>
      </c>
      <c r="C27" s="939" t="s">
        <v>2354</v>
      </c>
      <c r="D27" s="940">
        <v>39.0</v>
      </c>
      <c r="E27" s="840"/>
      <c r="F27" s="840"/>
      <c r="G27" s="840"/>
      <c r="H27" s="840"/>
      <c r="I27" s="840"/>
      <c r="J27" s="840"/>
      <c r="K27" s="840"/>
      <c r="L27" s="840"/>
      <c r="M27" s="840"/>
      <c r="N27" s="840"/>
      <c r="O27" s="840"/>
      <c r="P27" s="840"/>
      <c r="Q27" s="840"/>
      <c r="R27" s="840"/>
      <c r="S27" s="840"/>
      <c r="T27" s="840"/>
      <c r="U27" s="840"/>
      <c r="V27" s="840"/>
      <c r="W27" s="840"/>
      <c r="X27" s="840"/>
      <c r="Y27" s="840"/>
      <c r="Z27" s="840"/>
    </row>
    <row r="28" ht="15.75" customHeight="1">
      <c r="A28" s="937" t="s">
        <v>2355</v>
      </c>
      <c r="B28" s="938" t="s">
        <v>2356</v>
      </c>
      <c r="C28" s="939" t="s">
        <v>1861</v>
      </c>
      <c r="D28" s="940">
        <v>65.0</v>
      </c>
      <c r="E28" s="840"/>
      <c r="F28" s="840"/>
      <c r="G28" s="840"/>
      <c r="H28" s="840"/>
      <c r="I28" s="840"/>
      <c r="J28" s="840"/>
      <c r="K28" s="840"/>
      <c r="L28" s="840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</row>
    <row r="29" ht="15.75" customHeight="1">
      <c r="A29" s="934" t="s">
        <v>2357</v>
      </c>
      <c r="B29" s="51"/>
      <c r="C29" s="51"/>
      <c r="D29" s="935"/>
      <c r="E29" s="840"/>
      <c r="F29" s="840"/>
      <c r="G29" s="840"/>
      <c r="H29" s="840"/>
      <c r="I29" s="840"/>
      <c r="J29" s="840"/>
      <c r="K29" s="840"/>
      <c r="L29" s="840"/>
      <c r="M29" s="840"/>
      <c r="N29" s="840"/>
      <c r="O29" s="840"/>
      <c r="P29" s="840"/>
      <c r="Q29" s="840"/>
      <c r="R29" s="840"/>
      <c r="S29" s="840"/>
      <c r="T29" s="840"/>
      <c r="U29" s="840"/>
      <c r="V29" s="840"/>
      <c r="W29" s="840"/>
      <c r="X29" s="840"/>
      <c r="Y29" s="840"/>
      <c r="Z29" s="840"/>
    </row>
    <row r="30" ht="15.75" customHeight="1">
      <c r="A30" s="937" t="s">
        <v>2358</v>
      </c>
      <c r="B30" s="938" t="s">
        <v>2359</v>
      </c>
      <c r="C30" s="939" t="s">
        <v>1975</v>
      </c>
      <c r="D30" s="940">
        <v>53.0</v>
      </c>
      <c r="E30" s="840"/>
      <c r="F30" s="840"/>
      <c r="G30" s="840"/>
      <c r="H30" s="840"/>
      <c r="I30" s="840"/>
      <c r="J30" s="840"/>
      <c r="K30" s="840"/>
      <c r="L30" s="840"/>
      <c r="M30" s="840"/>
      <c r="N30" s="840"/>
      <c r="O30" s="840"/>
      <c r="P30" s="840"/>
      <c r="Q30" s="840"/>
      <c r="R30" s="840"/>
      <c r="S30" s="840"/>
      <c r="T30" s="840"/>
      <c r="U30" s="840"/>
      <c r="V30" s="840"/>
      <c r="W30" s="840"/>
      <c r="X30" s="840"/>
      <c r="Y30" s="840"/>
      <c r="Z30" s="840"/>
    </row>
    <row r="31" ht="15.75" customHeight="1">
      <c r="A31" s="934" t="s">
        <v>2360</v>
      </c>
      <c r="B31" s="51"/>
      <c r="C31" s="51"/>
      <c r="D31" s="935"/>
      <c r="E31" s="840"/>
      <c r="F31" s="840"/>
      <c r="G31" s="840"/>
      <c r="H31" s="840"/>
      <c r="I31" s="840"/>
      <c r="J31" s="840"/>
      <c r="K31" s="840"/>
      <c r="L31" s="840"/>
      <c r="M31" s="840"/>
      <c r="N31" s="840"/>
      <c r="O31" s="840"/>
      <c r="P31" s="840"/>
      <c r="Q31" s="840"/>
      <c r="R31" s="840"/>
      <c r="S31" s="840"/>
      <c r="T31" s="840"/>
      <c r="U31" s="840"/>
      <c r="V31" s="840"/>
      <c r="W31" s="840"/>
      <c r="X31" s="840"/>
      <c r="Y31" s="840"/>
      <c r="Z31" s="840"/>
    </row>
    <row r="32" ht="15.75" customHeight="1">
      <c r="A32" s="937" t="s">
        <v>2361</v>
      </c>
      <c r="B32" s="938" t="s">
        <v>2362</v>
      </c>
      <c r="C32" s="939" t="s">
        <v>2363</v>
      </c>
      <c r="D32" s="940">
        <v>115.0</v>
      </c>
      <c r="E32" s="840"/>
      <c r="F32" s="840"/>
      <c r="G32" s="840"/>
      <c r="H32" s="840"/>
      <c r="I32" s="840"/>
      <c r="J32" s="840"/>
      <c r="K32" s="840"/>
      <c r="L32" s="840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</row>
    <row r="33" ht="15.75" customHeight="1">
      <c r="A33" s="955" t="s">
        <v>2364</v>
      </c>
      <c r="B33" s="51"/>
      <c r="C33" s="51"/>
      <c r="D33" s="935"/>
      <c r="E33" s="840"/>
      <c r="F33" s="605"/>
      <c r="G33" s="605"/>
      <c r="H33" s="840"/>
      <c r="I33" s="840"/>
      <c r="J33" s="840"/>
      <c r="K33" s="840"/>
      <c r="L33" s="840"/>
      <c r="M33" s="840"/>
      <c r="N33" s="840"/>
      <c r="O33" s="840"/>
      <c r="P33" s="840"/>
      <c r="Q33" s="840"/>
      <c r="R33" s="840"/>
      <c r="S33" s="840"/>
      <c r="T33" s="840"/>
      <c r="U33" s="840"/>
      <c r="V33" s="840"/>
      <c r="W33" s="840"/>
      <c r="X33" s="840"/>
      <c r="Y33" s="840"/>
      <c r="Z33" s="840"/>
    </row>
    <row r="34" ht="15.75" customHeight="1">
      <c r="A34" s="956" t="s">
        <v>2365</v>
      </c>
      <c r="B34" s="957"/>
      <c r="C34" s="957"/>
      <c r="D34" s="958"/>
      <c r="E34" s="876" t="s">
        <v>2366</v>
      </c>
      <c r="F34" s="847" t="s">
        <v>2367</v>
      </c>
      <c r="G34" s="605"/>
      <c r="H34" s="840"/>
      <c r="I34" s="840"/>
      <c r="J34" s="840"/>
      <c r="K34" s="840"/>
      <c r="L34" s="840"/>
      <c r="M34" s="840"/>
      <c r="N34" s="840"/>
      <c r="O34" s="840"/>
      <c r="P34" s="840"/>
      <c r="Q34" s="840"/>
      <c r="R34" s="840"/>
      <c r="S34" s="840"/>
      <c r="T34" s="840"/>
      <c r="U34" s="840"/>
      <c r="V34" s="840"/>
      <c r="W34" s="840"/>
      <c r="X34" s="840"/>
      <c r="Y34" s="840"/>
      <c r="Z34" s="840"/>
    </row>
    <row r="35" ht="15.75" customHeight="1">
      <c r="A35" s="943" t="s">
        <v>2368</v>
      </c>
      <c r="B35" s="938" t="s">
        <v>2369</v>
      </c>
      <c r="C35" s="959" t="s">
        <v>2370</v>
      </c>
      <c r="D35" s="960">
        <v>306.0</v>
      </c>
      <c r="E35" s="961">
        <v>999.0</v>
      </c>
      <c r="F35" s="962">
        <f t="shared" ref="F35:F36" si="1">D35/E35</f>
        <v>0.3063063063</v>
      </c>
      <c r="G35" s="874"/>
      <c r="H35" s="840"/>
      <c r="I35" s="840"/>
      <c r="J35" s="840"/>
      <c r="K35" s="840"/>
      <c r="L35" s="840"/>
      <c r="M35" s="840"/>
      <c r="N35" s="840"/>
      <c r="O35" s="840"/>
      <c r="P35" s="840"/>
      <c r="Q35" s="840"/>
      <c r="R35" s="840"/>
      <c r="S35" s="840"/>
      <c r="T35" s="840"/>
      <c r="U35" s="840"/>
      <c r="V35" s="840"/>
      <c r="W35" s="840"/>
      <c r="X35" s="840"/>
      <c r="Y35" s="840"/>
      <c r="Z35" s="840"/>
    </row>
    <row r="36" ht="15.75" customHeight="1">
      <c r="A36" s="937" t="s">
        <v>2371</v>
      </c>
      <c r="B36" s="938" t="s">
        <v>2372</v>
      </c>
      <c r="C36" s="959" t="s">
        <v>2370</v>
      </c>
      <c r="D36" s="960">
        <v>306.0</v>
      </c>
      <c r="E36" s="961">
        <v>999.0</v>
      </c>
      <c r="F36" s="962">
        <f t="shared" si="1"/>
        <v>0.3063063063</v>
      </c>
      <c r="G36" s="605"/>
      <c r="H36" s="840"/>
      <c r="I36" s="840"/>
      <c r="J36" s="840"/>
      <c r="K36" s="840"/>
      <c r="L36" s="840"/>
      <c r="M36" s="840"/>
      <c r="N36" s="840"/>
      <c r="O36" s="840"/>
      <c r="P36" s="840"/>
      <c r="Q36" s="840"/>
      <c r="R36" s="840"/>
      <c r="S36" s="840"/>
      <c r="T36" s="840"/>
      <c r="U36" s="840"/>
      <c r="V36" s="840"/>
      <c r="W36" s="840"/>
      <c r="X36" s="840"/>
      <c r="Y36" s="840"/>
      <c r="Z36" s="840"/>
    </row>
    <row r="37" ht="15.75" customHeight="1">
      <c r="A37" s="956" t="s">
        <v>2373</v>
      </c>
      <c r="B37" s="957"/>
      <c r="C37" s="957"/>
      <c r="D37" s="958"/>
      <c r="E37" s="840"/>
      <c r="F37" s="605"/>
      <c r="G37" s="605"/>
      <c r="H37" s="840"/>
      <c r="I37" s="840"/>
      <c r="J37" s="840"/>
      <c r="K37" s="840"/>
      <c r="L37" s="840"/>
      <c r="M37" s="840"/>
      <c r="N37" s="840"/>
      <c r="O37" s="840"/>
      <c r="P37" s="840"/>
      <c r="Q37" s="840"/>
      <c r="R37" s="840"/>
      <c r="S37" s="840"/>
      <c r="T37" s="840"/>
      <c r="U37" s="840"/>
      <c r="V37" s="840"/>
      <c r="W37" s="840"/>
      <c r="X37" s="840"/>
      <c r="Y37" s="840"/>
      <c r="Z37" s="840"/>
    </row>
    <row r="38" ht="15.75" customHeight="1">
      <c r="A38" s="943" t="s">
        <v>2368</v>
      </c>
      <c r="B38" s="938" t="s">
        <v>2369</v>
      </c>
      <c r="C38" s="959" t="s">
        <v>2370</v>
      </c>
      <c r="D38" s="960">
        <v>306.0</v>
      </c>
      <c r="E38" s="961">
        <v>999.0</v>
      </c>
      <c r="F38" s="962">
        <f t="shared" ref="F38:F39" si="2">D38/E38</f>
        <v>0.3063063063</v>
      </c>
      <c r="G38" s="605"/>
      <c r="H38" s="840"/>
      <c r="I38" s="840"/>
      <c r="J38" s="840"/>
      <c r="K38" s="840"/>
      <c r="L38" s="840"/>
      <c r="M38" s="840"/>
      <c r="N38" s="840"/>
      <c r="O38" s="840"/>
      <c r="P38" s="840"/>
      <c r="Q38" s="840"/>
      <c r="R38" s="840"/>
      <c r="S38" s="840"/>
      <c r="T38" s="840"/>
      <c r="U38" s="840"/>
      <c r="V38" s="840"/>
      <c r="W38" s="840"/>
      <c r="X38" s="840"/>
      <c r="Y38" s="840"/>
      <c r="Z38" s="840"/>
    </row>
    <row r="39" ht="15.75" customHeight="1">
      <c r="A39" s="937" t="s">
        <v>2371</v>
      </c>
      <c r="B39" s="963" t="s">
        <v>2372</v>
      </c>
      <c r="C39" s="939" t="s">
        <v>2370</v>
      </c>
      <c r="D39" s="940">
        <v>306.0</v>
      </c>
      <c r="E39" s="961">
        <v>999.0</v>
      </c>
      <c r="F39" s="962">
        <f t="shared" si="2"/>
        <v>0.3063063063</v>
      </c>
      <c r="G39" s="840"/>
      <c r="H39" s="840"/>
      <c r="I39" s="840"/>
      <c r="J39" s="840"/>
      <c r="K39" s="840"/>
      <c r="L39" s="840"/>
      <c r="M39" s="840"/>
      <c r="N39" s="840"/>
      <c r="O39" s="840"/>
      <c r="P39" s="840"/>
      <c r="Q39" s="840"/>
      <c r="R39" s="840"/>
      <c r="S39" s="840"/>
      <c r="T39" s="840"/>
      <c r="U39" s="840"/>
      <c r="V39" s="840"/>
      <c r="W39" s="840"/>
      <c r="X39" s="840"/>
      <c r="Y39" s="840"/>
      <c r="Z39" s="840"/>
    </row>
    <row r="40" ht="15.75" customHeight="1">
      <c r="A40" s="956" t="s">
        <v>2374</v>
      </c>
      <c r="B40" s="957"/>
      <c r="C40" s="957"/>
      <c r="D40" s="958"/>
      <c r="E40" s="840"/>
      <c r="F40" s="840"/>
      <c r="G40" s="840"/>
      <c r="H40" s="840"/>
      <c r="I40" s="840"/>
      <c r="J40" s="840"/>
      <c r="K40" s="840"/>
      <c r="L40" s="840"/>
      <c r="M40" s="840"/>
      <c r="N40" s="840"/>
      <c r="O40" s="840"/>
      <c r="P40" s="840"/>
      <c r="Q40" s="840"/>
      <c r="R40" s="840"/>
      <c r="S40" s="840"/>
      <c r="T40" s="840"/>
      <c r="U40" s="840"/>
      <c r="V40" s="840"/>
      <c r="W40" s="840"/>
      <c r="X40" s="840"/>
      <c r="Y40" s="840"/>
      <c r="Z40" s="840"/>
    </row>
    <row r="41" ht="15.75" customHeight="1">
      <c r="A41" s="937" t="s">
        <v>2375</v>
      </c>
      <c r="B41" s="963" t="s">
        <v>2376</v>
      </c>
      <c r="C41" s="939" t="s">
        <v>2370</v>
      </c>
      <c r="D41" s="940">
        <v>399.0</v>
      </c>
      <c r="E41" s="961">
        <v>999.0</v>
      </c>
      <c r="F41" s="962">
        <f>D41/E41</f>
        <v>0.3993993994</v>
      </c>
      <c r="G41" s="840"/>
      <c r="H41" s="840"/>
      <c r="I41" s="840"/>
      <c r="J41" s="840"/>
      <c r="K41" s="840"/>
      <c r="L41" s="840"/>
      <c r="M41" s="840"/>
      <c r="N41" s="840"/>
      <c r="O41" s="840"/>
      <c r="P41" s="840"/>
      <c r="Q41" s="840"/>
      <c r="R41" s="840"/>
      <c r="S41" s="840"/>
      <c r="T41" s="840"/>
      <c r="U41" s="840"/>
      <c r="V41" s="840"/>
      <c r="W41" s="840"/>
      <c r="X41" s="840"/>
      <c r="Y41" s="840"/>
      <c r="Z41" s="840"/>
    </row>
    <row r="42" ht="15.75" customHeight="1">
      <c r="A42" s="956" t="s">
        <v>2377</v>
      </c>
      <c r="B42" s="957"/>
      <c r="C42" s="957"/>
      <c r="D42" s="958"/>
      <c r="E42" s="840"/>
      <c r="F42" s="840"/>
      <c r="G42" s="840"/>
      <c r="H42" s="840"/>
      <c r="I42" s="840"/>
      <c r="J42" s="840"/>
      <c r="K42" s="840"/>
      <c r="L42" s="840"/>
      <c r="M42" s="840"/>
      <c r="N42" s="840"/>
      <c r="O42" s="840"/>
      <c r="P42" s="840"/>
      <c r="Q42" s="840"/>
      <c r="R42" s="840"/>
      <c r="S42" s="840"/>
      <c r="T42" s="840"/>
      <c r="U42" s="840"/>
      <c r="V42" s="840"/>
      <c r="W42" s="840"/>
      <c r="X42" s="840"/>
      <c r="Y42" s="840"/>
      <c r="Z42" s="840"/>
    </row>
    <row r="43" ht="15.75" customHeight="1">
      <c r="A43" s="943" t="s">
        <v>2378</v>
      </c>
      <c r="B43" s="964"/>
      <c r="C43" s="939" t="s">
        <v>2277</v>
      </c>
      <c r="D43" s="940">
        <v>340.0</v>
      </c>
      <c r="E43" s="961">
        <v>999.0</v>
      </c>
      <c r="F43" s="962">
        <f>D43/E43</f>
        <v>0.3403403403</v>
      </c>
      <c r="G43" s="840"/>
      <c r="H43" s="840"/>
      <c r="I43" s="840"/>
      <c r="J43" s="840"/>
      <c r="K43" s="840"/>
      <c r="L43" s="840"/>
      <c r="M43" s="840"/>
      <c r="N43" s="840"/>
      <c r="O43" s="840"/>
      <c r="P43" s="840"/>
      <c r="Q43" s="840"/>
      <c r="R43" s="840"/>
      <c r="S43" s="840"/>
      <c r="T43" s="840"/>
      <c r="U43" s="840"/>
      <c r="V43" s="840"/>
      <c r="W43" s="840"/>
      <c r="X43" s="840"/>
      <c r="Y43" s="840"/>
      <c r="Z43" s="840"/>
    </row>
    <row r="44" ht="15.75" customHeight="1">
      <c r="A44" s="965" t="s">
        <v>2379</v>
      </c>
      <c r="B44" s="957"/>
      <c r="C44" s="957"/>
      <c r="D44" s="958"/>
      <c r="E44" s="840"/>
      <c r="F44" s="840"/>
      <c r="G44" s="840"/>
      <c r="H44" s="840"/>
      <c r="I44" s="840"/>
      <c r="J44" s="840"/>
      <c r="K44" s="840"/>
      <c r="L44" s="840"/>
      <c r="M44" s="840"/>
      <c r="N44" s="840"/>
      <c r="O44" s="840"/>
      <c r="P44" s="840"/>
      <c r="Q44" s="840"/>
      <c r="R44" s="840"/>
      <c r="S44" s="840"/>
      <c r="T44" s="840"/>
      <c r="U44" s="840"/>
      <c r="V44" s="840"/>
      <c r="W44" s="840"/>
      <c r="X44" s="840"/>
      <c r="Y44" s="840"/>
      <c r="Z44" s="840"/>
    </row>
    <row r="45" ht="15.75" customHeight="1">
      <c r="A45" s="937" t="s">
        <v>2380</v>
      </c>
      <c r="B45" s="966" t="s">
        <v>2381</v>
      </c>
      <c r="C45" s="959" t="s">
        <v>2282</v>
      </c>
      <c r="D45" s="960">
        <v>70.0</v>
      </c>
      <c r="E45" s="961">
        <v>299.0</v>
      </c>
      <c r="F45" s="962">
        <f>D45/E45</f>
        <v>0.2341137124</v>
      </c>
      <c r="G45" s="840"/>
      <c r="H45" s="840"/>
      <c r="I45" s="840"/>
      <c r="J45" s="840"/>
      <c r="K45" s="840"/>
      <c r="L45" s="840"/>
      <c r="M45" s="840"/>
      <c r="N45" s="840"/>
      <c r="O45" s="840"/>
      <c r="P45" s="840"/>
      <c r="Q45" s="840"/>
      <c r="R45" s="840"/>
      <c r="S45" s="840"/>
      <c r="T45" s="840"/>
      <c r="U45" s="840"/>
      <c r="V45" s="840"/>
      <c r="W45" s="840"/>
      <c r="X45" s="840"/>
      <c r="Y45" s="840"/>
      <c r="Z45" s="840"/>
    </row>
    <row r="46" ht="15.75" customHeight="1">
      <c r="A46" s="840"/>
      <c r="B46" s="840"/>
      <c r="C46" s="840"/>
      <c r="D46" s="967"/>
      <c r="E46" s="840"/>
      <c r="F46" s="840"/>
      <c r="G46" s="840"/>
      <c r="H46" s="840"/>
      <c r="I46" s="840"/>
      <c r="J46" s="840"/>
      <c r="K46" s="840"/>
      <c r="L46" s="840"/>
      <c r="M46" s="840"/>
      <c r="N46" s="840"/>
      <c r="O46" s="840"/>
      <c r="P46" s="840"/>
      <c r="Q46" s="840"/>
      <c r="R46" s="840"/>
      <c r="S46" s="840"/>
      <c r="T46" s="840"/>
      <c r="U46" s="840"/>
      <c r="V46" s="840"/>
      <c r="W46" s="840"/>
      <c r="X46" s="840"/>
      <c r="Y46" s="840"/>
      <c r="Z46" s="840"/>
    </row>
    <row r="47" ht="15.75" customHeight="1">
      <c r="A47" s="840"/>
      <c r="B47" s="840"/>
      <c r="C47" s="840"/>
      <c r="D47" s="967"/>
      <c r="E47" s="840"/>
      <c r="F47" s="840"/>
      <c r="G47" s="840"/>
      <c r="H47" s="840"/>
      <c r="I47" s="840"/>
      <c r="J47" s="840"/>
      <c r="K47" s="840"/>
      <c r="L47" s="840"/>
      <c r="M47" s="840"/>
      <c r="N47" s="840"/>
      <c r="O47" s="840"/>
      <c r="P47" s="840"/>
      <c r="Q47" s="840"/>
      <c r="R47" s="840"/>
      <c r="S47" s="840"/>
      <c r="T47" s="840"/>
      <c r="U47" s="840"/>
      <c r="V47" s="840"/>
      <c r="W47" s="840"/>
      <c r="X47" s="840"/>
      <c r="Y47" s="840"/>
      <c r="Z47" s="840"/>
    </row>
    <row r="48" ht="15.75" customHeight="1">
      <c r="A48" s="840"/>
      <c r="B48" s="840"/>
      <c r="C48" s="840"/>
      <c r="D48" s="967"/>
      <c r="E48" s="840"/>
      <c r="F48" s="840"/>
      <c r="G48" s="840"/>
      <c r="H48" s="840"/>
      <c r="I48" s="840"/>
      <c r="J48" s="840"/>
      <c r="K48" s="840"/>
      <c r="L48" s="840"/>
      <c r="M48" s="840"/>
      <c r="N48" s="840"/>
      <c r="O48" s="840"/>
      <c r="P48" s="840"/>
      <c r="Q48" s="840"/>
      <c r="R48" s="840"/>
      <c r="S48" s="840"/>
      <c r="T48" s="840"/>
      <c r="U48" s="840"/>
      <c r="V48" s="840"/>
      <c r="W48" s="840"/>
      <c r="X48" s="840"/>
      <c r="Y48" s="840"/>
      <c r="Z48" s="840"/>
    </row>
    <row r="49" ht="15.75" customHeight="1">
      <c r="A49" s="840"/>
      <c r="B49" s="840"/>
      <c r="C49" s="840"/>
      <c r="D49" s="967"/>
      <c r="E49" s="840"/>
      <c r="F49" s="840"/>
      <c r="G49" s="840"/>
      <c r="H49" s="840"/>
      <c r="I49" s="840"/>
      <c r="J49" s="840"/>
      <c r="K49" s="840"/>
      <c r="L49" s="840"/>
      <c r="M49" s="840"/>
      <c r="N49" s="840"/>
      <c r="O49" s="840"/>
      <c r="P49" s="840"/>
      <c r="Q49" s="840"/>
      <c r="R49" s="840"/>
      <c r="S49" s="840"/>
      <c r="T49" s="840"/>
      <c r="U49" s="840"/>
      <c r="V49" s="840"/>
      <c r="W49" s="840"/>
      <c r="X49" s="840"/>
      <c r="Y49" s="840"/>
      <c r="Z49" s="840"/>
    </row>
    <row r="50" ht="15.75" customHeight="1">
      <c r="A50" s="840"/>
      <c r="B50" s="840"/>
      <c r="C50" s="840"/>
      <c r="D50" s="967"/>
      <c r="E50" s="840"/>
      <c r="F50" s="840"/>
      <c r="G50" s="840"/>
      <c r="H50" s="840"/>
      <c r="I50" s="840"/>
      <c r="J50" s="840"/>
      <c r="K50" s="840"/>
      <c r="L50" s="840"/>
      <c r="M50" s="840"/>
      <c r="N50" s="840"/>
      <c r="O50" s="840"/>
      <c r="P50" s="840"/>
      <c r="Q50" s="840"/>
      <c r="R50" s="840"/>
      <c r="S50" s="840"/>
      <c r="T50" s="840"/>
      <c r="U50" s="840"/>
      <c r="V50" s="840"/>
      <c r="W50" s="840"/>
      <c r="X50" s="840"/>
      <c r="Y50" s="840"/>
      <c r="Z50" s="840"/>
    </row>
    <row r="51" ht="15.75" customHeight="1">
      <c r="A51" s="840"/>
      <c r="B51" s="840"/>
      <c r="C51" s="840"/>
      <c r="D51" s="967"/>
      <c r="E51" s="840"/>
      <c r="F51" s="840"/>
      <c r="G51" s="840"/>
      <c r="H51" s="840"/>
      <c r="I51" s="840"/>
      <c r="J51" s="840"/>
      <c r="K51" s="840"/>
      <c r="L51" s="840"/>
      <c r="M51" s="840"/>
      <c r="N51" s="840"/>
      <c r="O51" s="840"/>
      <c r="P51" s="840"/>
      <c r="Q51" s="840"/>
      <c r="R51" s="840"/>
      <c r="S51" s="840"/>
      <c r="T51" s="840"/>
      <c r="U51" s="840"/>
      <c r="V51" s="840"/>
      <c r="W51" s="840"/>
      <c r="X51" s="840"/>
      <c r="Y51" s="840"/>
      <c r="Z51" s="840"/>
    </row>
    <row r="52" ht="15.75" customHeight="1">
      <c r="A52" s="840"/>
      <c r="B52" s="840"/>
      <c r="C52" s="840"/>
      <c r="D52" s="967"/>
      <c r="E52" s="840"/>
      <c r="F52" s="840"/>
      <c r="G52" s="840"/>
      <c r="H52" s="840"/>
      <c r="I52" s="840"/>
      <c r="J52" s="840"/>
      <c r="K52" s="840"/>
      <c r="L52" s="840"/>
      <c r="M52" s="840"/>
      <c r="N52" s="840"/>
      <c r="O52" s="840"/>
      <c r="P52" s="840"/>
      <c r="Q52" s="840"/>
      <c r="R52" s="840"/>
      <c r="S52" s="840"/>
      <c r="T52" s="840"/>
      <c r="U52" s="840"/>
      <c r="V52" s="840"/>
      <c r="W52" s="840"/>
      <c r="X52" s="840"/>
      <c r="Y52" s="840"/>
      <c r="Z52" s="840"/>
    </row>
    <row r="53" ht="15.75" customHeight="1">
      <c r="A53" s="840"/>
      <c r="B53" s="840"/>
      <c r="C53" s="840"/>
      <c r="D53" s="967"/>
      <c r="E53" s="840"/>
      <c r="F53" s="840"/>
      <c r="G53" s="840"/>
      <c r="H53" s="840"/>
      <c r="I53" s="840"/>
      <c r="J53" s="840"/>
      <c r="K53" s="840"/>
      <c r="L53" s="840"/>
      <c r="M53" s="840"/>
      <c r="N53" s="840"/>
      <c r="O53" s="840"/>
      <c r="P53" s="840"/>
      <c r="Q53" s="840"/>
      <c r="R53" s="840"/>
      <c r="S53" s="840"/>
      <c r="T53" s="840"/>
      <c r="U53" s="840"/>
      <c r="V53" s="840"/>
      <c r="W53" s="840"/>
      <c r="X53" s="840"/>
      <c r="Y53" s="840"/>
      <c r="Z53" s="840"/>
    </row>
    <row r="54" ht="15.75" customHeight="1">
      <c r="A54" s="840"/>
      <c r="B54" s="840"/>
      <c r="C54" s="840"/>
      <c r="D54" s="967"/>
      <c r="E54" s="840"/>
      <c r="F54" s="840"/>
      <c r="G54" s="840"/>
      <c r="H54" s="840"/>
      <c r="I54" s="840"/>
      <c r="J54" s="840"/>
      <c r="K54" s="840"/>
      <c r="L54" s="840"/>
      <c r="M54" s="840"/>
      <c r="N54" s="840"/>
      <c r="O54" s="840"/>
      <c r="P54" s="840"/>
      <c r="Q54" s="840"/>
      <c r="R54" s="840"/>
      <c r="S54" s="840"/>
      <c r="T54" s="840"/>
      <c r="U54" s="840"/>
      <c r="V54" s="840"/>
      <c r="W54" s="840"/>
      <c r="X54" s="840"/>
      <c r="Y54" s="840"/>
      <c r="Z54" s="840"/>
    </row>
    <row r="55" ht="15.75" customHeight="1">
      <c r="A55" s="840"/>
      <c r="B55" s="840"/>
      <c r="C55" s="840"/>
      <c r="D55" s="967"/>
      <c r="E55" s="840"/>
      <c r="F55" s="840"/>
      <c r="G55" s="840"/>
      <c r="H55" s="840"/>
      <c r="I55" s="840"/>
      <c r="J55" s="840"/>
      <c r="K55" s="840"/>
      <c r="L55" s="840"/>
      <c r="M55" s="840"/>
      <c r="N55" s="840"/>
      <c r="O55" s="840"/>
      <c r="P55" s="840"/>
      <c r="Q55" s="840"/>
      <c r="R55" s="840"/>
      <c r="S55" s="840"/>
      <c r="T55" s="840"/>
      <c r="U55" s="840"/>
      <c r="V55" s="840"/>
      <c r="W55" s="840"/>
      <c r="X55" s="840"/>
      <c r="Y55" s="840"/>
      <c r="Z55" s="840"/>
    </row>
    <row r="56" ht="15.75" customHeight="1">
      <c r="A56" s="840"/>
      <c r="B56" s="840"/>
      <c r="C56" s="840"/>
      <c r="D56" s="967"/>
      <c r="E56" s="840"/>
      <c r="F56" s="840"/>
      <c r="G56" s="840"/>
      <c r="H56" s="840"/>
      <c r="I56" s="840"/>
      <c r="J56" s="840"/>
      <c r="K56" s="840"/>
      <c r="L56" s="840"/>
      <c r="M56" s="840"/>
      <c r="N56" s="840"/>
      <c r="O56" s="840"/>
      <c r="P56" s="840"/>
      <c r="Q56" s="840"/>
      <c r="R56" s="840"/>
      <c r="S56" s="840"/>
      <c r="T56" s="840"/>
      <c r="U56" s="840"/>
      <c r="V56" s="840"/>
      <c r="W56" s="840"/>
      <c r="X56" s="840"/>
      <c r="Y56" s="840"/>
      <c r="Z56" s="840"/>
    </row>
    <row r="57" ht="15.75" customHeight="1">
      <c r="A57" s="840"/>
      <c r="B57" s="840"/>
      <c r="C57" s="840"/>
      <c r="D57" s="967"/>
      <c r="E57" s="840"/>
      <c r="F57" s="840"/>
      <c r="G57" s="840"/>
      <c r="H57" s="840"/>
      <c r="I57" s="840"/>
      <c r="J57" s="840"/>
      <c r="K57" s="840"/>
      <c r="L57" s="840"/>
      <c r="M57" s="840"/>
      <c r="N57" s="840"/>
      <c r="O57" s="840"/>
      <c r="P57" s="840"/>
      <c r="Q57" s="840"/>
      <c r="R57" s="840"/>
      <c r="S57" s="840"/>
      <c r="T57" s="840"/>
      <c r="U57" s="840"/>
      <c r="V57" s="840"/>
      <c r="W57" s="840"/>
      <c r="X57" s="840"/>
      <c r="Y57" s="840"/>
      <c r="Z57" s="840"/>
    </row>
    <row r="58" ht="15.75" customHeight="1">
      <c r="A58" s="840"/>
      <c r="B58" s="840"/>
      <c r="C58" s="840"/>
      <c r="D58" s="967"/>
      <c r="E58" s="840"/>
      <c r="F58" s="840"/>
      <c r="G58" s="840"/>
      <c r="H58" s="840"/>
      <c r="I58" s="840"/>
      <c r="J58" s="840"/>
      <c r="K58" s="840"/>
      <c r="L58" s="840"/>
      <c r="M58" s="840"/>
      <c r="N58" s="840"/>
      <c r="O58" s="840"/>
      <c r="P58" s="840"/>
      <c r="Q58" s="840"/>
      <c r="R58" s="840"/>
      <c r="S58" s="840"/>
      <c r="T58" s="840"/>
      <c r="U58" s="840"/>
      <c r="V58" s="840"/>
      <c r="W58" s="840"/>
      <c r="X58" s="840"/>
      <c r="Y58" s="840"/>
      <c r="Z58" s="840"/>
    </row>
    <row r="59" ht="15.75" customHeight="1">
      <c r="A59" s="840"/>
      <c r="B59" s="840"/>
      <c r="C59" s="840"/>
      <c r="D59" s="967"/>
      <c r="E59" s="840"/>
      <c r="F59" s="840"/>
      <c r="G59" s="840"/>
      <c r="H59" s="840"/>
      <c r="I59" s="840"/>
      <c r="J59" s="840"/>
      <c r="K59" s="840"/>
      <c r="L59" s="840"/>
      <c r="M59" s="840"/>
      <c r="N59" s="840"/>
      <c r="O59" s="840"/>
      <c r="P59" s="840"/>
      <c r="Q59" s="840"/>
      <c r="R59" s="840"/>
      <c r="S59" s="840"/>
      <c r="T59" s="840"/>
      <c r="U59" s="840"/>
      <c r="V59" s="840"/>
      <c r="W59" s="840"/>
      <c r="X59" s="840"/>
      <c r="Y59" s="840"/>
      <c r="Z59" s="840"/>
    </row>
    <row r="60" ht="15.75" customHeight="1">
      <c r="A60" s="840"/>
      <c r="B60" s="840"/>
      <c r="C60" s="840"/>
      <c r="D60" s="967"/>
      <c r="E60" s="840"/>
      <c r="F60" s="840"/>
      <c r="G60" s="840"/>
      <c r="H60" s="840"/>
      <c r="I60" s="840"/>
      <c r="J60" s="840"/>
      <c r="K60" s="840"/>
      <c r="L60" s="840"/>
      <c r="M60" s="840"/>
      <c r="N60" s="840"/>
      <c r="O60" s="840"/>
      <c r="P60" s="840"/>
      <c r="Q60" s="840"/>
      <c r="R60" s="840"/>
      <c r="S60" s="840"/>
      <c r="T60" s="840"/>
      <c r="U60" s="840"/>
      <c r="V60" s="840"/>
      <c r="W60" s="840"/>
      <c r="X60" s="840"/>
      <c r="Y60" s="840"/>
      <c r="Z60" s="840"/>
    </row>
    <row r="61" ht="15.75" customHeight="1">
      <c r="A61" s="840"/>
      <c r="B61" s="840"/>
      <c r="C61" s="840"/>
      <c r="D61" s="967"/>
      <c r="E61" s="840"/>
      <c r="F61" s="840"/>
      <c r="G61" s="840"/>
      <c r="H61" s="840"/>
      <c r="I61" s="840"/>
      <c r="J61" s="840"/>
      <c r="K61" s="840"/>
      <c r="L61" s="840"/>
      <c r="M61" s="840"/>
      <c r="N61" s="840"/>
      <c r="O61" s="840"/>
      <c r="P61" s="840"/>
      <c r="Q61" s="840"/>
      <c r="R61" s="840"/>
      <c r="S61" s="840"/>
      <c r="T61" s="840"/>
      <c r="U61" s="840"/>
      <c r="V61" s="840"/>
      <c r="W61" s="840"/>
      <c r="X61" s="840"/>
      <c r="Y61" s="840"/>
      <c r="Z61" s="840"/>
    </row>
    <row r="62" ht="15.75" customHeight="1">
      <c r="A62" s="840"/>
      <c r="B62" s="840"/>
      <c r="C62" s="840"/>
      <c r="D62" s="967"/>
      <c r="E62" s="840"/>
      <c r="F62" s="840"/>
      <c r="G62" s="840"/>
      <c r="H62" s="840"/>
      <c r="I62" s="840"/>
      <c r="J62" s="840"/>
      <c r="K62" s="840"/>
      <c r="L62" s="840"/>
      <c r="M62" s="840"/>
      <c r="N62" s="840"/>
      <c r="O62" s="840"/>
      <c r="P62" s="840"/>
      <c r="Q62" s="840"/>
      <c r="R62" s="840"/>
      <c r="S62" s="840"/>
      <c r="T62" s="840"/>
      <c r="U62" s="840"/>
      <c r="V62" s="840"/>
      <c r="W62" s="840"/>
      <c r="X62" s="840"/>
      <c r="Y62" s="840"/>
      <c r="Z62" s="840"/>
    </row>
    <row r="63" ht="15.75" customHeight="1">
      <c r="A63" s="840"/>
      <c r="B63" s="840"/>
      <c r="C63" s="840"/>
      <c r="D63" s="967"/>
      <c r="E63" s="840"/>
      <c r="F63" s="840"/>
      <c r="G63" s="840"/>
      <c r="H63" s="840"/>
      <c r="I63" s="840"/>
      <c r="J63" s="840"/>
      <c r="K63" s="840"/>
      <c r="L63" s="840"/>
      <c r="M63" s="840"/>
      <c r="N63" s="840"/>
      <c r="O63" s="840"/>
      <c r="P63" s="840"/>
      <c r="Q63" s="840"/>
      <c r="R63" s="840"/>
      <c r="S63" s="840"/>
      <c r="T63" s="840"/>
      <c r="U63" s="840"/>
      <c r="V63" s="840"/>
      <c r="W63" s="840"/>
      <c r="X63" s="840"/>
      <c r="Y63" s="840"/>
      <c r="Z63" s="840"/>
    </row>
    <row r="64" ht="15.75" customHeight="1">
      <c r="A64" s="840"/>
      <c r="B64" s="840"/>
      <c r="C64" s="840"/>
      <c r="D64" s="967"/>
      <c r="E64" s="840"/>
      <c r="F64" s="840"/>
      <c r="G64" s="840"/>
      <c r="H64" s="840"/>
      <c r="I64" s="840"/>
      <c r="J64" s="840"/>
      <c r="K64" s="840"/>
      <c r="L64" s="840"/>
      <c r="M64" s="840"/>
      <c r="N64" s="840"/>
      <c r="O64" s="840"/>
      <c r="P64" s="840"/>
      <c r="Q64" s="840"/>
      <c r="R64" s="840"/>
      <c r="S64" s="840"/>
      <c r="T64" s="840"/>
      <c r="U64" s="840"/>
      <c r="V64" s="840"/>
      <c r="W64" s="840"/>
      <c r="X64" s="840"/>
      <c r="Y64" s="840"/>
      <c r="Z64" s="840"/>
    </row>
    <row r="65" ht="15.75" customHeight="1">
      <c r="A65" s="840"/>
      <c r="B65" s="840"/>
      <c r="C65" s="840"/>
      <c r="D65" s="967"/>
      <c r="E65" s="840"/>
      <c r="F65" s="840"/>
      <c r="G65" s="840"/>
      <c r="H65" s="840"/>
      <c r="I65" s="840"/>
      <c r="J65" s="840"/>
      <c r="K65" s="840"/>
      <c r="L65" s="840"/>
      <c r="M65" s="840"/>
      <c r="N65" s="840"/>
      <c r="O65" s="840"/>
      <c r="P65" s="840"/>
      <c r="Q65" s="840"/>
      <c r="R65" s="840"/>
      <c r="S65" s="840"/>
      <c r="T65" s="840"/>
      <c r="U65" s="840"/>
      <c r="V65" s="840"/>
      <c r="W65" s="840"/>
      <c r="X65" s="840"/>
      <c r="Y65" s="840"/>
      <c r="Z65" s="840"/>
    </row>
    <row r="66" ht="15.75" customHeight="1">
      <c r="A66" s="840"/>
      <c r="B66" s="840"/>
      <c r="C66" s="840"/>
      <c r="D66" s="967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0"/>
      <c r="R66" s="840"/>
      <c r="S66" s="840"/>
      <c r="T66" s="840"/>
      <c r="U66" s="840"/>
      <c r="V66" s="840"/>
      <c r="W66" s="840"/>
      <c r="X66" s="840"/>
      <c r="Y66" s="840"/>
      <c r="Z66" s="840"/>
    </row>
    <row r="67" ht="15.75" customHeight="1">
      <c r="A67" s="840"/>
      <c r="B67" s="840"/>
      <c r="C67" s="840"/>
      <c r="D67" s="967"/>
      <c r="E67" s="840"/>
      <c r="F67" s="840"/>
      <c r="G67" s="840"/>
      <c r="H67" s="840"/>
      <c r="I67" s="840"/>
      <c r="J67" s="840"/>
      <c r="K67" s="840"/>
      <c r="L67" s="840"/>
      <c r="M67" s="840"/>
      <c r="N67" s="840"/>
      <c r="O67" s="840"/>
      <c r="P67" s="840"/>
      <c r="Q67" s="840"/>
      <c r="R67" s="840"/>
      <c r="S67" s="840"/>
      <c r="T67" s="840"/>
      <c r="U67" s="840"/>
      <c r="V67" s="840"/>
      <c r="W67" s="840"/>
      <c r="X67" s="840"/>
      <c r="Y67" s="840"/>
      <c r="Z67" s="840"/>
    </row>
    <row r="68" ht="15.75" customHeight="1">
      <c r="A68" s="840"/>
      <c r="B68" s="840"/>
      <c r="C68" s="840"/>
      <c r="D68" s="967"/>
      <c r="E68" s="840"/>
      <c r="F68" s="840"/>
      <c r="G68" s="840"/>
      <c r="H68" s="840"/>
      <c r="I68" s="840"/>
      <c r="J68" s="840"/>
      <c r="K68" s="840"/>
      <c r="L68" s="840"/>
      <c r="M68" s="840"/>
      <c r="N68" s="840"/>
      <c r="O68" s="840"/>
      <c r="P68" s="840"/>
      <c r="Q68" s="840"/>
      <c r="R68" s="840"/>
      <c r="S68" s="840"/>
      <c r="T68" s="840"/>
      <c r="U68" s="840"/>
      <c r="V68" s="840"/>
      <c r="W68" s="840"/>
      <c r="X68" s="840"/>
      <c r="Y68" s="840"/>
      <c r="Z68" s="840"/>
    </row>
    <row r="69" ht="15.75" customHeight="1">
      <c r="A69" s="840"/>
      <c r="B69" s="840"/>
      <c r="C69" s="840"/>
      <c r="D69" s="967"/>
      <c r="E69" s="840"/>
      <c r="F69" s="840"/>
      <c r="G69" s="840"/>
      <c r="H69" s="840"/>
      <c r="I69" s="840"/>
      <c r="J69" s="840"/>
      <c r="K69" s="840"/>
      <c r="L69" s="840"/>
      <c r="M69" s="840"/>
      <c r="N69" s="840"/>
      <c r="O69" s="840"/>
      <c r="P69" s="840"/>
      <c r="Q69" s="840"/>
      <c r="R69" s="840"/>
      <c r="S69" s="840"/>
      <c r="T69" s="840"/>
      <c r="U69" s="840"/>
      <c r="V69" s="840"/>
      <c r="W69" s="840"/>
      <c r="X69" s="840"/>
      <c r="Y69" s="840"/>
      <c r="Z69" s="840"/>
    </row>
    <row r="70" ht="15.75" customHeight="1">
      <c r="A70" s="840"/>
      <c r="B70" s="840"/>
      <c r="C70" s="840"/>
      <c r="D70" s="967"/>
      <c r="E70" s="840"/>
      <c r="F70" s="840"/>
      <c r="G70" s="840"/>
      <c r="H70" s="840"/>
      <c r="I70" s="840"/>
      <c r="J70" s="840"/>
      <c r="K70" s="840"/>
      <c r="L70" s="840"/>
      <c r="M70" s="840"/>
      <c r="N70" s="840"/>
      <c r="O70" s="840"/>
      <c r="P70" s="840"/>
      <c r="Q70" s="840"/>
      <c r="R70" s="840"/>
      <c r="S70" s="840"/>
      <c r="T70" s="840"/>
      <c r="U70" s="840"/>
      <c r="V70" s="840"/>
      <c r="W70" s="840"/>
      <c r="X70" s="840"/>
      <c r="Y70" s="840"/>
      <c r="Z70" s="840"/>
    </row>
    <row r="71" ht="15.75" customHeight="1">
      <c r="A71" s="840"/>
      <c r="B71" s="840"/>
      <c r="C71" s="840"/>
      <c r="D71" s="967"/>
      <c r="E71" s="840"/>
      <c r="F71" s="840"/>
      <c r="G71" s="840"/>
      <c r="H71" s="840"/>
      <c r="I71" s="840"/>
      <c r="J71" s="840"/>
      <c r="K71" s="840"/>
      <c r="L71" s="840"/>
      <c r="M71" s="840"/>
      <c r="N71" s="840"/>
      <c r="O71" s="840"/>
      <c r="P71" s="840"/>
      <c r="Q71" s="840"/>
      <c r="R71" s="840"/>
      <c r="S71" s="840"/>
      <c r="T71" s="840"/>
      <c r="U71" s="840"/>
      <c r="V71" s="840"/>
      <c r="W71" s="840"/>
      <c r="X71" s="840"/>
      <c r="Y71" s="840"/>
      <c r="Z71" s="840"/>
    </row>
    <row r="72" ht="15.75" customHeight="1">
      <c r="A72" s="840"/>
      <c r="B72" s="840"/>
      <c r="C72" s="840"/>
      <c r="D72" s="967"/>
      <c r="E72" s="840"/>
      <c r="F72" s="840"/>
      <c r="G72" s="840"/>
      <c r="H72" s="840"/>
      <c r="I72" s="840"/>
      <c r="J72" s="840"/>
      <c r="K72" s="840"/>
      <c r="L72" s="840"/>
      <c r="M72" s="840"/>
      <c r="N72" s="840"/>
      <c r="O72" s="840"/>
      <c r="P72" s="840"/>
      <c r="Q72" s="840"/>
      <c r="R72" s="840"/>
      <c r="S72" s="840"/>
      <c r="T72" s="840"/>
      <c r="U72" s="840"/>
      <c r="V72" s="840"/>
      <c r="W72" s="840"/>
      <c r="X72" s="840"/>
      <c r="Y72" s="840"/>
      <c r="Z72" s="840"/>
    </row>
    <row r="73" ht="15.75" customHeight="1">
      <c r="A73" s="840"/>
      <c r="B73" s="840"/>
      <c r="C73" s="840"/>
      <c r="D73" s="967"/>
      <c r="E73" s="840"/>
      <c r="F73" s="840"/>
      <c r="G73" s="840"/>
      <c r="H73" s="840"/>
      <c r="I73" s="840"/>
      <c r="J73" s="840"/>
      <c r="K73" s="840"/>
      <c r="L73" s="840"/>
      <c r="M73" s="840"/>
      <c r="N73" s="840"/>
      <c r="O73" s="840"/>
      <c r="P73" s="840"/>
      <c r="Q73" s="840"/>
      <c r="R73" s="840"/>
      <c r="S73" s="840"/>
      <c r="T73" s="840"/>
      <c r="U73" s="840"/>
      <c r="V73" s="840"/>
      <c r="W73" s="840"/>
      <c r="X73" s="840"/>
      <c r="Y73" s="840"/>
      <c r="Z73" s="840"/>
    </row>
    <row r="74" ht="15.75" customHeight="1">
      <c r="A74" s="840"/>
      <c r="B74" s="840"/>
      <c r="C74" s="840"/>
      <c r="D74" s="967"/>
      <c r="E74" s="840"/>
      <c r="F74" s="840"/>
      <c r="G74" s="840"/>
      <c r="H74" s="840"/>
      <c r="I74" s="840"/>
      <c r="J74" s="840"/>
      <c r="K74" s="840"/>
      <c r="L74" s="840"/>
      <c r="M74" s="840"/>
      <c r="N74" s="840"/>
      <c r="O74" s="840"/>
      <c r="P74" s="840"/>
      <c r="Q74" s="840"/>
      <c r="R74" s="840"/>
      <c r="S74" s="840"/>
      <c r="T74" s="840"/>
      <c r="U74" s="840"/>
      <c r="V74" s="840"/>
      <c r="W74" s="840"/>
      <c r="X74" s="840"/>
      <c r="Y74" s="840"/>
      <c r="Z74" s="840"/>
    </row>
    <row r="75" ht="15.75" customHeight="1">
      <c r="A75" s="840"/>
      <c r="B75" s="840"/>
      <c r="C75" s="840"/>
      <c r="D75" s="967"/>
      <c r="E75" s="840"/>
      <c r="F75" s="840"/>
      <c r="G75" s="840"/>
      <c r="H75" s="840"/>
      <c r="I75" s="840"/>
      <c r="J75" s="840"/>
      <c r="K75" s="840"/>
      <c r="L75" s="840"/>
      <c r="M75" s="840"/>
      <c r="N75" s="840"/>
      <c r="O75" s="840"/>
      <c r="P75" s="840"/>
      <c r="Q75" s="840"/>
      <c r="R75" s="840"/>
      <c r="S75" s="840"/>
      <c r="T75" s="840"/>
      <c r="U75" s="840"/>
      <c r="V75" s="840"/>
      <c r="W75" s="840"/>
      <c r="X75" s="840"/>
      <c r="Y75" s="840"/>
      <c r="Z75" s="840"/>
    </row>
    <row r="76" ht="15.75" customHeight="1">
      <c r="A76" s="840"/>
      <c r="B76" s="840"/>
      <c r="C76" s="840"/>
      <c r="D76" s="967"/>
      <c r="E76" s="840"/>
      <c r="F76" s="840"/>
      <c r="G76" s="840"/>
      <c r="H76" s="840"/>
      <c r="I76" s="840"/>
      <c r="J76" s="840"/>
      <c r="K76" s="840"/>
      <c r="L76" s="840"/>
      <c r="M76" s="840"/>
      <c r="N76" s="840"/>
      <c r="O76" s="840"/>
      <c r="P76" s="840"/>
      <c r="Q76" s="840"/>
      <c r="R76" s="840"/>
      <c r="S76" s="840"/>
      <c r="T76" s="840"/>
      <c r="U76" s="840"/>
      <c r="V76" s="840"/>
      <c r="W76" s="840"/>
      <c r="X76" s="840"/>
      <c r="Y76" s="840"/>
      <c r="Z76" s="840"/>
    </row>
    <row r="77" ht="15.75" customHeight="1">
      <c r="A77" s="840"/>
      <c r="B77" s="840"/>
      <c r="C77" s="840"/>
      <c r="D77" s="967"/>
      <c r="E77" s="840"/>
      <c r="F77" s="840"/>
      <c r="G77" s="840"/>
      <c r="H77" s="840"/>
      <c r="I77" s="840"/>
      <c r="J77" s="840"/>
      <c r="K77" s="840"/>
      <c r="L77" s="840"/>
      <c r="M77" s="840"/>
      <c r="N77" s="840"/>
      <c r="O77" s="840"/>
      <c r="P77" s="840"/>
      <c r="Q77" s="840"/>
      <c r="R77" s="840"/>
      <c r="S77" s="840"/>
      <c r="T77" s="840"/>
      <c r="U77" s="840"/>
      <c r="V77" s="840"/>
      <c r="W77" s="840"/>
      <c r="X77" s="840"/>
      <c r="Y77" s="840"/>
      <c r="Z77" s="840"/>
    </row>
    <row r="78" ht="15.75" customHeight="1">
      <c r="A78" s="840"/>
      <c r="B78" s="840"/>
      <c r="C78" s="840"/>
      <c r="D78" s="967"/>
      <c r="E78" s="840"/>
      <c r="F78" s="840"/>
      <c r="G78" s="840"/>
      <c r="H78" s="840"/>
      <c r="I78" s="840"/>
      <c r="J78" s="840"/>
      <c r="K78" s="840"/>
      <c r="L78" s="840"/>
      <c r="M78" s="840"/>
      <c r="N78" s="840"/>
      <c r="O78" s="840"/>
      <c r="P78" s="840"/>
      <c r="Q78" s="840"/>
      <c r="R78" s="840"/>
      <c r="S78" s="840"/>
      <c r="T78" s="840"/>
      <c r="U78" s="840"/>
      <c r="V78" s="840"/>
      <c r="W78" s="840"/>
      <c r="X78" s="840"/>
      <c r="Y78" s="840"/>
      <c r="Z78" s="840"/>
    </row>
    <row r="79" ht="15.75" customHeight="1">
      <c r="A79" s="840"/>
      <c r="B79" s="840"/>
      <c r="C79" s="840"/>
      <c r="D79" s="967"/>
      <c r="E79" s="840"/>
      <c r="F79" s="840"/>
      <c r="G79" s="840"/>
      <c r="H79" s="840"/>
      <c r="I79" s="840"/>
      <c r="J79" s="840"/>
      <c r="K79" s="840"/>
      <c r="L79" s="840"/>
      <c r="M79" s="840"/>
      <c r="N79" s="840"/>
      <c r="O79" s="840"/>
      <c r="P79" s="840"/>
      <c r="Q79" s="840"/>
      <c r="R79" s="840"/>
      <c r="S79" s="840"/>
      <c r="T79" s="840"/>
      <c r="U79" s="840"/>
      <c r="V79" s="840"/>
      <c r="W79" s="840"/>
      <c r="X79" s="840"/>
      <c r="Y79" s="840"/>
      <c r="Z79" s="840"/>
    </row>
    <row r="80" ht="15.75" customHeight="1">
      <c r="A80" s="840"/>
      <c r="B80" s="840"/>
      <c r="C80" s="840"/>
      <c r="D80" s="967"/>
      <c r="E80" s="840"/>
      <c r="F80" s="840"/>
      <c r="G80" s="840"/>
      <c r="H80" s="840"/>
      <c r="I80" s="840"/>
      <c r="J80" s="840"/>
      <c r="K80" s="840"/>
      <c r="L80" s="840"/>
      <c r="M80" s="840"/>
      <c r="N80" s="840"/>
      <c r="O80" s="840"/>
      <c r="P80" s="840"/>
      <c r="Q80" s="840"/>
      <c r="R80" s="840"/>
      <c r="S80" s="840"/>
      <c r="T80" s="840"/>
      <c r="U80" s="840"/>
      <c r="V80" s="840"/>
      <c r="W80" s="840"/>
      <c r="X80" s="840"/>
      <c r="Y80" s="840"/>
      <c r="Z80" s="840"/>
    </row>
    <row r="81" ht="15.75" customHeight="1">
      <c r="A81" s="840"/>
      <c r="B81" s="840"/>
      <c r="C81" s="840"/>
      <c r="D81" s="967"/>
      <c r="E81" s="840"/>
      <c r="F81" s="840"/>
      <c r="G81" s="840"/>
      <c r="H81" s="840"/>
      <c r="I81" s="840"/>
      <c r="J81" s="840"/>
      <c r="K81" s="840"/>
      <c r="L81" s="840"/>
      <c r="M81" s="840"/>
      <c r="N81" s="840"/>
      <c r="O81" s="840"/>
      <c r="P81" s="840"/>
      <c r="Q81" s="840"/>
      <c r="R81" s="840"/>
      <c r="S81" s="840"/>
      <c r="T81" s="840"/>
      <c r="U81" s="840"/>
      <c r="V81" s="840"/>
      <c r="W81" s="840"/>
      <c r="X81" s="840"/>
      <c r="Y81" s="840"/>
      <c r="Z81" s="840"/>
    </row>
    <row r="82" ht="15.75" customHeight="1">
      <c r="A82" s="840"/>
      <c r="B82" s="840"/>
      <c r="C82" s="840"/>
      <c r="D82" s="967"/>
      <c r="E82" s="840"/>
      <c r="F82" s="840"/>
      <c r="G82" s="840"/>
      <c r="H82" s="840"/>
      <c r="I82" s="840"/>
      <c r="J82" s="840"/>
      <c r="K82" s="840"/>
      <c r="L82" s="840"/>
      <c r="M82" s="840"/>
      <c r="N82" s="840"/>
      <c r="O82" s="840"/>
      <c r="P82" s="840"/>
      <c r="Q82" s="840"/>
      <c r="R82" s="840"/>
      <c r="S82" s="840"/>
      <c r="T82" s="840"/>
      <c r="U82" s="840"/>
      <c r="V82" s="840"/>
      <c r="W82" s="840"/>
      <c r="X82" s="840"/>
      <c r="Y82" s="840"/>
      <c r="Z82" s="840"/>
    </row>
    <row r="83" ht="15.75" customHeight="1">
      <c r="A83" s="840"/>
      <c r="B83" s="840"/>
      <c r="C83" s="840"/>
      <c r="D83" s="967"/>
      <c r="E83" s="840"/>
      <c r="F83" s="840"/>
      <c r="G83" s="840"/>
      <c r="H83" s="840"/>
      <c r="I83" s="840"/>
      <c r="J83" s="840"/>
      <c r="K83" s="840"/>
      <c r="L83" s="840"/>
      <c r="M83" s="840"/>
      <c r="N83" s="840"/>
      <c r="O83" s="840"/>
      <c r="P83" s="840"/>
      <c r="Q83" s="840"/>
      <c r="R83" s="840"/>
      <c r="S83" s="840"/>
      <c r="T83" s="840"/>
      <c r="U83" s="840"/>
      <c r="V83" s="840"/>
      <c r="W83" s="840"/>
      <c r="X83" s="840"/>
      <c r="Y83" s="840"/>
      <c r="Z83" s="840"/>
    </row>
    <row r="84" ht="15.75" customHeight="1">
      <c r="A84" s="840"/>
      <c r="B84" s="840"/>
      <c r="C84" s="840"/>
      <c r="D84" s="967"/>
      <c r="E84" s="840"/>
      <c r="F84" s="840"/>
      <c r="G84" s="840"/>
      <c r="H84" s="840"/>
      <c r="I84" s="840"/>
      <c r="J84" s="840"/>
      <c r="K84" s="840"/>
      <c r="L84" s="840"/>
      <c r="M84" s="840"/>
      <c r="N84" s="840"/>
      <c r="O84" s="840"/>
      <c r="P84" s="840"/>
      <c r="Q84" s="840"/>
      <c r="R84" s="840"/>
      <c r="S84" s="840"/>
      <c r="T84" s="840"/>
      <c r="U84" s="840"/>
      <c r="V84" s="840"/>
      <c r="W84" s="840"/>
      <c r="X84" s="840"/>
      <c r="Y84" s="840"/>
      <c r="Z84" s="840"/>
    </row>
    <row r="85" ht="15.75" customHeight="1">
      <c r="A85" s="840"/>
      <c r="B85" s="840"/>
      <c r="C85" s="840"/>
      <c r="D85" s="967"/>
      <c r="E85" s="840"/>
      <c r="F85" s="840"/>
      <c r="G85" s="840"/>
      <c r="H85" s="840"/>
      <c r="I85" s="840"/>
      <c r="J85" s="840"/>
      <c r="K85" s="840"/>
      <c r="L85" s="840"/>
      <c r="M85" s="840"/>
      <c r="N85" s="840"/>
      <c r="O85" s="840"/>
      <c r="P85" s="840"/>
      <c r="Q85" s="840"/>
      <c r="R85" s="840"/>
      <c r="S85" s="840"/>
      <c r="T85" s="840"/>
      <c r="U85" s="840"/>
      <c r="V85" s="840"/>
      <c r="W85" s="840"/>
      <c r="X85" s="840"/>
      <c r="Y85" s="840"/>
      <c r="Z85" s="840"/>
    </row>
    <row r="86" ht="15.75" customHeight="1">
      <c r="A86" s="840"/>
      <c r="B86" s="840"/>
      <c r="C86" s="840"/>
      <c r="D86" s="967"/>
      <c r="E86" s="840"/>
      <c r="F86" s="840"/>
      <c r="G86" s="840"/>
      <c r="H86" s="840"/>
      <c r="I86" s="840"/>
      <c r="J86" s="840"/>
      <c r="K86" s="840"/>
      <c r="L86" s="840"/>
      <c r="M86" s="840"/>
      <c r="N86" s="840"/>
      <c r="O86" s="840"/>
      <c r="P86" s="840"/>
      <c r="Q86" s="840"/>
      <c r="R86" s="840"/>
      <c r="S86" s="840"/>
      <c r="T86" s="840"/>
      <c r="U86" s="840"/>
      <c r="V86" s="840"/>
      <c r="W86" s="840"/>
      <c r="X86" s="840"/>
      <c r="Y86" s="840"/>
      <c r="Z86" s="840"/>
    </row>
    <row r="87" ht="15.75" customHeight="1">
      <c r="A87" s="840"/>
      <c r="B87" s="840"/>
      <c r="C87" s="840"/>
      <c r="D87" s="967"/>
      <c r="E87" s="840"/>
      <c r="F87" s="840"/>
      <c r="G87" s="840"/>
      <c r="H87" s="840"/>
      <c r="I87" s="840"/>
      <c r="J87" s="840"/>
      <c r="K87" s="840"/>
      <c r="L87" s="840"/>
      <c r="M87" s="840"/>
      <c r="N87" s="840"/>
      <c r="O87" s="840"/>
      <c r="P87" s="840"/>
      <c r="Q87" s="840"/>
      <c r="R87" s="840"/>
      <c r="S87" s="840"/>
      <c r="T87" s="840"/>
      <c r="U87" s="840"/>
      <c r="V87" s="840"/>
      <c r="W87" s="840"/>
      <c r="X87" s="840"/>
      <c r="Y87" s="840"/>
      <c r="Z87" s="840"/>
    </row>
    <row r="88" ht="15.75" customHeight="1">
      <c r="A88" s="840"/>
      <c r="B88" s="840"/>
      <c r="C88" s="840"/>
      <c r="D88" s="967"/>
      <c r="E88" s="840"/>
      <c r="F88" s="840"/>
      <c r="G88" s="840"/>
      <c r="H88" s="840"/>
      <c r="I88" s="840"/>
      <c r="J88" s="840"/>
      <c r="K88" s="840"/>
      <c r="L88" s="840"/>
      <c r="M88" s="840"/>
      <c r="N88" s="840"/>
      <c r="O88" s="840"/>
      <c r="P88" s="840"/>
      <c r="Q88" s="840"/>
      <c r="R88" s="840"/>
      <c r="S88" s="840"/>
      <c r="T88" s="840"/>
      <c r="U88" s="840"/>
      <c r="V88" s="840"/>
      <c r="W88" s="840"/>
      <c r="X88" s="840"/>
      <c r="Y88" s="840"/>
      <c r="Z88" s="840"/>
    </row>
    <row r="89" ht="15.75" customHeight="1">
      <c r="A89" s="840"/>
      <c r="B89" s="840"/>
      <c r="C89" s="840"/>
      <c r="D89" s="967"/>
      <c r="E89" s="840"/>
      <c r="F89" s="840"/>
      <c r="G89" s="840"/>
      <c r="H89" s="840"/>
      <c r="I89" s="840"/>
      <c r="J89" s="840"/>
      <c r="K89" s="840"/>
      <c r="L89" s="840"/>
      <c r="M89" s="840"/>
      <c r="N89" s="840"/>
      <c r="O89" s="840"/>
      <c r="P89" s="840"/>
      <c r="Q89" s="840"/>
      <c r="R89" s="840"/>
      <c r="S89" s="840"/>
      <c r="T89" s="840"/>
      <c r="U89" s="840"/>
      <c r="V89" s="840"/>
      <c r="W89" s="840"/>
      <c r="X89" s="840"/>
      <c r="Y89" s="840"/>
      <c r="Z89" s="840"/>
    </row>
    <row r="90" ht="15.75" customHeight="1">
      <c r="A90" s="840"/>
      <c r="B90" s="840"/>
      <c r="C90" s="840"/>
      <c r="D90" s="967"/>
      <c r="E90" s="840"/>
      <c r="F90" s="840"/>
      <c r="G90" s="840"/>
      <c r="H90" s="840"/>
      <c r="I90" s="840"/>
      <c r="J90" s="840"/>
      <c r="K90" s="840"/>
      <c r="L90" s="840"/>
      <c r="M90" s="840"/>
      <c r="N90" s="840"/>
      <c r="O90" s="840"/>
      <c r="P90" s="840"/>
      <c r="Q90" s="840"/>
      <c r="R90" s="840"/>
      <c r="S90" s="840"/>
      <c r="T90" s="840"/>
      <c r="U90" s="840"/>
      <c r="V90" s="840"/>
      <c r="W90" s="840"/>
      <c r="X90" s="840"/>
      <c r="Y90" s="840"/>
      <c r="Z90" s="840"/>
    </row>
    <row r="91" ht="15.75" customHeight="1">
      <c r="A91" s="840"/>
      <c r="B91" s="840"/>
      <c r="C91" s="840"/>
      <c r="D91" s="967"/>
      <c r="E91" s="840"/>
      <c r="F91" s="840"/>
      <c r="G91" s="840"/>
      <c r="H91" s="840"/>
      <c r="I91" s="840"/>
      <c r="J91" s="840"/>
      <c r="K91" s="840"/>
      <c r="L91" s="840"/>
      <c r="M91" s="840"/>
      <c r="N91" s="840"/>
      <c r="O91" s="840"/>
      <c r="P91" s="840"/>
      <c r="Q91" s="840"/>
      <c r="R91" s="840"/>
      <c r="S91" s="840"/>
      <c r="T91" s="840"/>
      <c r="U91" s="840"/>
      <c r="V91" s="840"/>
      <c r="W91" s="840"/>
      <c r="X91" s="840"/>
      <c r="Y91" s="840"/>
      <c r="Z91" s="840"/>
    </row>
    <row r="92" ht="15.75" customHeight="1">
      <c r="A92" s="840"/>
      <c r="B92" s="840"/>
      <c r="C92" s="840"/>
      <c r="D92" s="967"/>
      <c r="E92" s="840"/>
      <c r="F92" s="840"/>
      <c r="G92" s="840"/>
      <c r="H92" s="840"/>
      <c r="I92" s="840"/>
      <c r="J92" s="840"/>
      <c r="K92" s="840"/>
      <c r="L92" s="840"/>
      <c r="M92" s="840"/>
      <c r="N92" s="840"/>
      <c r="O92" s="840"/>
      <c r="P92" s="840"/>
      <c r="Q92" s="840"/>
      <c r="R92" s="840"/>
      <c r="S92" s="840"/>
      <c r="T92" s="840"/>
      <c r="U92" s="840"/>
      <c r="V92" s="840"/>
      <c r="W92" s="840"/>
      <c r="X92" s="840"/>
      <c r="Y92" s="840"/>
      <c r="Z92" s="840"/>
    </row>
    <row r="93" ht="15.75" customHeight="1">
      <c r="A93" s="840"/>
      <c r="B93" s="840"/>
      <c r="C93" s="840"/>
      <c r="D93" s="967"/>
      <c r="E93" s="840"/>
      <c r="F93" s="840"/>
      <c r="G93" s="840"/>
      <c r="H93" s="840"/>
      <c r="I93" s="840"/>
      <c r="J93" s="840"/>
      <c r="K93" s="840"/>
      <c r="L93" s="840"/>
      <c r="M93" s="840"/>
      <c r="N93" s="840"/>
      <c r="O93" s="840"/>
      <c r="P93" s="840"/>
      <c r="Q93" s="840"/>
      <c r="R93" s="840"/>
      <c r="S93" s="840"/>
      <c r="T93" s="840"/>
      <c r="U93" s="840"/>
      <c r="V93" s="840"/>
      <c r="W93" s="840"/>
      <c r="X93" s="840"/>
      <c r="Y93" s="840"/>
      <c r="Z93" s="840"/>
    </row>
    <row r="94" ht="15.75" customHeight="1">
      <c r="A94" s="840"/>
      <c r="B94" s="840"/>
      <c r="C94" s="840"/>
      <c r="D94" s="967"/>
      <c r="E94" s="840"/>
      <c r="F94" s="840"/>
      <c r="G94" s="840"/>
      <c r="H94" s="840"/>
      <c r="I94" s="840"/>
      <c r="J94" s="840"/>
      <c r="K94" s="840"/>
      <c r="L94" s="840"/>
      <c r="M94" s="840"/>
      <c r="N94" s="840"/>
      <c r="O94" s="840"/>
      <c r="P94" s="840"/>
      <c r="Q94" s="840"/>
      <c r="R94" s="840"/>
      <c r="S94" s="840"/>
      <c r="T94" s="840"/>
      <c r="U94" s="840"/>
      <c r="V94" s="840"/>
      <c r="W94" s="840"/>
      <c r="X94" s="840"/>
      <c r="Y94" s="840"/>
      <c r="Z94" s="840"/>
    </row>
    <row r="95" ht="15.75" customHeight="1">
      <c r="A95" s="840"/>
      <c r="B95" s="840"/>
      <c r="C95" s="840"/>
      <c r="D95" s="967"/>
      <c r="E95" s="840"/>
      <c r="F95" s="840"/>
      <c r="G95" s="840"/>
      <c r="H95" s="840"/>
      <c r="I95" s="840"/>
      <c r="J95" s="840"/>
      <c r="K95" s="840"/>
      <c r="L95" s="840"/>
      <c r="M95" s="840"/>
      <c r="N95" s="840"/>
      <c r="O95" s="840"/>
      <c r="P95" s="840"/>
      <c r="Q95" s="840"/>
      <c r="R95" s="840"/>
      <c r="S95" s="840"/>
      <c r="T95" s="840"/>
      <c r="U95" s="840"/>
      <c r="V95" s="840"/>
      <c r="W95" s="840"/>
      <c r="X95" s="840"/>
      <c r="Y95" s="840"/>
      <c r="Z95" s="840"/>
    </row>
    <row r="96" ht="15.75" customHeight="1">
      <c r="A96" s="840"/>
      <c r="B96" s="840"/>
      <c r="C96" s="840"/>
      <c r="D96" s="967"/>
      <c r="E96" s="840"/>
      <c r="F96" s="840"/>
      <c r="G96" s="840"/>
      <c r="H96" s="840"/>
      <c r="I96" s="840"/>
      <c r="J96" s="840"/>
      <c r="K96" s="840"/>
      <c r="L96" s="840"/>
      <c r="M96" s="840"/>
      <c r="N96" s="840"/>
      <c r="O96" s="840"/>
      <c r="P96" s="840"/>
      <c r="Q96" s="840"/>
      <c r="R96" s="840"/>
      <c r="S96" s="840"/>
      <c r="T96" s="840"/>
      <c r="U96" s="840"/>
      <c r="V96" s="840"/>
      <c r="W96" s="840"/>
      <c r="X96" s="840"/>
      <c r="Y96" s="840"/>
      <c r="Z96" s="840"/>
    </row>
    <row r="97" ht="15.75" customHeight="1">
      <c r="A97" s="840"/>
      <c r="B97" s="840"/>
      <c r="C97" s="840"/>
      <c r="D97" s="967"/>
      <c r="E97" s="840"/>
      <c r="F97" s="840"/>
      <c r="G97" s="840"/>
      <c r="H97" s="840"/>
      <c r="I97" s="840"/>
      <c r="J97" s="840"/>
      <c r="K97" s="840"/>
      <c r="L97" s="840"/>
      <c r="M97" s="840"/>
      <c r="N97" s="840"/>
      <c r="O97" s="840"/>
      <c r="P97" s="840"/>
      <c r="Q97" s="840"/>
      <c r="R97" s="840"/>
      <c r="S97" s="840"/>
      <c r="T97" s="840"/>
      <c r="U97" s="840"/>
      <c r="V97" s="840"/>
      <c r="W97" s="840"/>
      <c r="X97" s="840"/>
      <c r="Y97" s="840"/>
      <c r="Z97" s="840"/>
    </row>
    <row r="98" ht="15.75" customHeight="1">
      <c r="A98" s="840"/>
      <c r="B98" s="840"/>
      <c r="C98" s="840"/>
      <c r="D98" s="967"/>
      <c r="E98" s="840"/>
      <c r="F98" s="840"/>
      <c r="G98" s="840"/>
      <c r="H98" s="840"/>
      <c r="I98" s="840"/>
      <c r="J98" s="840"/>
      <c r="K98" s="840"/>
      <c r="L98" s="840"/>
      <c r="M98" s="840"/>
      <c r="N98" s="840"/>
      <c r="O98" s="840"/>
      <c r="P98" s="840"/>
      <c r="Q98" s="840"/>
      <c r="R98" s="840"/>
      <c r="S98" s="840"/>
      <c r="T98" s="840"/>
      <c r="U98" s="840"/>
      <c r="V98" s="840"/>
      <c r="W98" s="840"/>
      <c r="X98" s="840"/>
      <c r="Y98" s="840"/>
      <c r="Z98" s="840"/>
    </row>
    <row r="99" ht="15.75" customHeight="1">
      <c r="A99" s="840"/>
      <c r="B99" s="840"/>
      <c r="C99" s="840"/>
      <c r="D99" s="967"/>
      <c r="E99" s="840"/>
      <c r="F99" s="840"/>
      <c r="G99" s="840"/>
      <c r="H99" s="840"/>
      <c r="I99" s="840"/>
      <c r="J99" s="840"/>
      <c r="K99" s="840"/>
      <c r="L99" s="840"/>
      <c r="M99" s="840"/>
      <c r="N99" s="840"/>
      <c r="O99" s="840"/>
      <c r="P99" s="840"/>
      <c r="Q99" s="840"/>
      <c r="R99" s="840"/>
      <c r="S99" s="840"/>
      <c r="T99" s="840"/>
      <c r="U99" s="840"/>
      <c r="V99" s="840"/>
      <c r="W99" s="840"/>
      <c r="X99" s="840"/>
      <c r="Y99" s="840"/>
      <c r="Z99" s="840"/>
    </row>
    <row r="100" ht="15.75" customHeight="1">
      <c r="A100" s="840"/>
      <c r="B100" s="840"/>
      <c r="C100" s="840"/>
      <c r="D100" s="967"/>
      <c r="E100" s="840"/>
      <c r="F100" s="840"/>
      <c r="G100" s="840"/>
      <c r="H100" s="840"/>
      <c r="I100" s="840"/>
      <c r="J100" s="840"/>
      <c r="K100" s="840"/>
      <c r="L100" s="840"/>
      <c r="M100" s="840"/>
      <c r="N100" s="840"/>
      <c r="O100" s="840"/>
      <c r="P100" s="840"/>
      <c r="Q100" s="840"/>
      <c r="R100" s="840"/>
      <c r="S100" s="840"/>
      <c r="T100" s="840"/>
      <c r="U100" s="840"/>
      <c r="V100" s="840"/>
      <c r="W100" s="840"/>
      <c r="X100" s="840"/>
      <c r="Y100" s="840"/>
      <c r="Z100" s="840"/>
    </row>
    <row r="101" ht="15.75" customHeight="1">
      <c r="A101" s="840"/>
      <c r="B101" s="840"/>
      <c r="C101" s="840"/>
      <c r="D101" s="967"/>
      <c r="E101" s="840"/>
      <c r="F101" s="840"/>
      <c r="G101" s="840"/>
      <c r="H101" s="840"/>
      <c r="I101" s="840"/>
      <c r="J101" s="840"/>
      <c r="K101" s="840"/>
      <c r="L101" s="840"/>
      <c r="M101" s="840"/>
      <c r="N101" s="840"/>
      <c r="O101" s="840"/>
      <c r="P101" s="840"/>
      <c r="Q101" s="840"/>
      <c r="R101" s="840"/>
      <c r="S101" s="840"/>
      <c r="T101" s="840"/>
      <c r="U101" s="840"/>
      <c r="V101" s="840"/>
      <c r="W101" s="840"/>
      <c r="X101" s="840"/>
      <c r="Y101" s="840"/>
      <c r="Z101" s="840"/>
    </row>
    <row r="102" ht="15.75" customHeight="1">
      <c r="A102" s="840"/>
      <c r="B102" s="840"/>
      <c r="C102" s="840"/>
      <c r="D102" s="967"/>
      <c r="E102" s="840"/>
      <c r="F102" s="840"/>
      <c r="G102" s="840"/>
      <c r="H102" s="840"/>
      <c r="I102" s="840"/>
      <c r="J102" s="840"/>
      <c r="K102" s="840"/>
      <c r="L102" s="840"/>
      <c r="M102" s="840"/>
      <c r="N102" s="840"/>
      <c r="O102" s="840"/>
      <c r="P102" s="840"/>
      <c r="Q102" s="840"/>
      <c r="R102" s="840"/>
      <c r="S102" s="840"/>
      <c r="T102" s="840"/>
      <c r="U102" s="840"/>
      <c r="V102" s="840"/>
      <c r="W102" s="840"/>
      <c r="X102" s="840"/>
      <c r="Y102" s="840"/>
      <c r="Z102" s="840"/>
    </row>
    <row r="103" ht="15.75" customHeight="1">
      <c r="A103" s="840"/>
      <c r="B103" s="840"/>
      <c r="C103" s="840"/>
      <c r="D103" s="967"/>
      <c r="E103" s="840"/>
      <c r="F103" s="840"/>
      <c r="G103" s="840"/>
      <c r="H103" s="840"/>
      <c r="I103" s="840"/>
      <c r="J103" s="840"/>
      <c r="K103" s="840"/>
      <c r="L103" s="840"/>
      <c r="M103" s="840"/>
      <c r="N103" s="840"/>
      <c r="O103" s="840"/>
      <c r="P103" s="840"/>
      <c r="Q103" s="840"/>
      <c r="R103" s="840"/>
      <c r="S103" s="840"/>
      <c r="T103" s="840"/>
      <c r="U103" s="840"/>
      <c r="V103" s="840"/>
      <c r="W103" s="840"/>
      <c r="X103" s="840"/>
      <c r="Y103" s="840"/>
      <c r="Z103" s="840"/>
    </row>
    <row r="104" ht="15.75" customHeight="1">
      <c r="A104" s="840"/>
      <c r="B104" s="840"/>
      <c r="C104" s="840"/>
      <c r="D104" s="967"/>
      <c r="E104" s="840"/>
      <c r="F104" s="840"/>
      <c r="G104" s="840"/>
      <c r="H104" s="840"/>
      <c r="I104" s="840"/>
      <c r="J104" s="840"/>
      <c r="K104" s="840"/>
      <c r="L104" s="840"/>
      <c r="M104" s="840"/>
      <c r="N104" s="840"/>
      <c r="O104" s="840"/>
      <c r="P104" s="840"/>
      <c r="Q104" s="840"/>
      <c r="R104" s="840"/>
      <c r="S104" s="840"/>
      <c r="T104" s="840"/>
      <c r="U104" s="840"/>
      <c r="V104" s="840"/>
      <c r="W104" s="840"/>
      <c r="X104" s="840"/>
      <c r="Y104" s="840"/>
      <c r="Z104" s="840"/>
    </row>
    <row r="105" ht="15.75" customHeight="1">
      <c r="A105" s="840"/>
      <c r="B105" s="840"/>
      <c r="C105" s="840"/>
      <c r="D105" s="967"/>
      <c r="E105" s="840"/>
      <c r="F105" s="840"/>
      <c r="G105" s="840"/>
      <c r="H105" s="840"/>
      <c r="I105" s="840"/>
      <c r="J105" s="840"/>
      <c r="K105" s="840"/>
      <c r="L105" s="840"/>
      <c r="M105" s="840"/>
      <c r="N105" s="840"/>
      <c r="O105" s="840"/>
      <c r="P105" s="840"/>
      <c r="Q105" s="840"/>
      <c r="R105" s="840"/>
      <c r="S105" s="840"/>
      <c r="T105" s="840"/>
      <c r="U105" s="840"/>
      <c r="V105" s="840"/>
      <c r="W105" s="840"/>
      <c r="X105" s="840"/>
      <c r="Y105" s="840"/>
      <c r="Z105" s="840"/>
    </row>
    <row r="106" ht="15.75" customHeight="1">
      <c r="A106" s="840"/>
      <c r="B106" s="840"/>
      <c r="C106" s="840"/>
      <c r="D106" s="967"/>
      <c r="E106" s="840"/>
      <c r="F106" s="840"/>
      <c r="G106" s="840"/>
      <c r="H106" s="840"/>
      <c r="I106" s="840"/>
      <c r="J106" s="840"/>
      <c r="K106" s="840"/>
      <c r="L106" s="840"/>
      <c r="M106" s="840"/>
      <c r="N106" s="840"/>
      <c r="O106" s="840"/>
      <c r="P106" s="840"/>
      <c r="Q106" s="840"/>
      <c r="R106" s="840"/>
      <c r="S106" s="840"/>
      <c r="T106" s="840"/>
      <c r="U106" s="840"/>
      <c r="V106" s="840"/>
      <c r="W106" s="840"/>
      <c r="X106" s="840"/>
      <c r="Y106" s="840"/>
      <c r="Z106" s="840"/>
    </row>
    <row r="107" ht="15.75" customHeight="1">
      <c r="A107" s="840"/>
      <c r="B107" s="840"/>
      <c r="C107" s="840"/>
      <c r="D107" s="967"/>
      <c r="E107" s="840"/>
      <c r="F107" s="840"/>
      <c r="G107" s="840"/>
      <c r="H107" s="840"/>
      <c r="I107" s="840"/>
      <c r="J107" s="840"/>
      <c r="K107" s="840"/>
      <c r="L107" s="840"/>
      <c r="M107" s="840"/>
      <c r="N107" s="840"/>
      <c r="O107" s="840"/>
      <c r="P107" s="840"/>
      <c r="Q107" s="840"/>
      <c r="R107" s="840"/>
      <c r="S107" s="840"/>
      <c r="T107" s="840"/>
      <c r="U107" s="840"/>
      <c r="V107" s="840"/>
      <c r="W107" s="840"/>
      <c r="X107" s="840"/>
      <c r="Y107" s="840"/>
      <c r="Z107" s="840"/>
    </row>
    <row r="108" ht="15.75" customHeight="1">
      <c r="A108" s="840"/>
      <c r="B108" s="840"/>
      <c r="C108" s="840"/>
      <c r="D108" s="967"/>
      <c r="E108" s="840"/>
      <c r="F108" s="840"/>
      <c r="G108" s="840"/>
      <c r="H108" s="840"/>
      <c r="I108" s="840"/>
      <c r="J108" s="840"/>
      <c r="K108" s="840"/>
      <c r="L108" s="840"/>
      <c r="M108" s="840"/>
      <c r="N108" s="840"/>
      <c r="O108" s="840"/>
      <c r="P108" s="840"/>
      <c r="Q108" s="840"/>
      <c r="R108" s="840"/>
      <c r="S108" s="840"/>
      <c r="T108" s="840"/>
      <c r="U108" s="840"/>
      <c r="V108" s="840"/>
      <c r="W108" s="840"/>
      <c r="X108" s="840"/>
      <c r="Y108" s="840"/>
      <c r="Z108" s="840"/>
    </row>
    <row r="109" ht="15.75" customHeight="1">
      <c r="A109" s="840"/>
      <c r="B109" s="840"/>
      <c r="C109" s="840"/>
      <c r="D109" s="967"/>
      <c r="E109" s="840"/>
      <c r="F109" s="840"/>
      <c r="G109" s="840"/>
      <c r="H109" s="840"/>
      <c r="I109" s="840"/>
      <c r="J109" s="840"/>
      <c r="K109" s="840"/>
      <c r="L109" s="840"/>
      <c r="M109" s="840"/>
      <c r="N109" s="840"/>
      <c r="O109" s="840"/>
      <c r="P109" s="840"/>
      <c r="Q109" s="840"/>
      <c r="R109" s="840"/>
      <c r="S109" s="840"/>
      <c r="T109" s="840"/>
      <c r="U109" s="840"/>
      <c r="V109" s="840"/>
      <c r="W109" s="840"/>
      <c r="X109" s="840"/>
      <c r="Y109" s="840"/>
      <c r="Z109" s="840"/>
    </row>
    <row r="110" ht="15.75" customHeight="1">
      <c r="A110" s="840"/>
      <c r="B110" s="840"/>
      <c r="C110" s="840"/>
      <c r="D110" s="967"/>
      <c r="E110" s="840"/>
      <c r="F110" s="840"/>
      <c r="G110" s="840"/>
      <c r="H110" s="840"/>
      <c r="I110" s="840"/>
      <c r="J110" s="840"/>
      <c r="K110" s="840"/>
      <c r="L110" s="840"/>
      <c r="M110" s="840"/>
      <c r="N110" s="840"/>
      <c r="O110" s="840"/>
      <c r="P110" s="840"/>
      <c r="Q110" s="840"/>
      <c r="R110" s="840"/>
      <c r="S110" s="840"/>
      <c r="T110" s="840"/>
      <c r="U110" s="840"/>
      <c r="V110" s="840"/>
      <c r="W110" s="840"/>
      <c r="X110" s="840"/>
      <c r="Y110" s="840"/>
      <c r="Z110" s="840"/>
    </row>
    <row r="111" ht="15.75" customHeight="1">
      <c r="A111" s="840"/>
      <c r="B111" s="840"/>
      <c r="C111" s="840"/>
      <c r="D111" s="967"/>
      <c r="E111" s="840"/>
      <c r="F111" s="840"/>
      <c r="G111" s="840"/>
      <c r="H111" s="840"/>
      <c r="I111" s="840"/>
      <c r="J111" s="840"/>
      <c r="K111" s="840"/>
      <c r="L111" s="840"/>
      <c r="M111" s="840"/>
      <c r="N111" s="840"/>
      <c r="O111" s="840"/>
      <c r="P111" s="840"/>
      <c r="Q111" s="840"/>
      <c r="R111" s="840"/>
      <c r="S111" s="840"/>
      <c r="T111" s="840"/>
      <c r="U111" s="840"/>
      <c r="V111" s="840"/>
      <c r="W111" s="840"/>
      <c r="X111" s="840"/>
      <c r="Y111" s="840"/>
      <c r="Z111" s="840"/>
    </row>
    <row r="112" ht="15.75" customHeight="1">
      <c r="A112" s="840"/>
      <c r="B112" s="840"/>
      <c r="C112" s="840"/>
      <c r="D112" s="967"/>
      <c r="E112" s="840"/>
      <c r="F112" s="840"/>
      <c r="G112" s="840"/>
      <c r="H112" s="840"/>
      <c r="I112" s="840"/>
      <c r="J112" s="840"/>
      <c r="K112" s="840"/>
      <c r="L112" s="840"/>
      <c r="M112" s="840"/>
      <c r="N112" s="840"/>
      <c r="O112" s="840"/>
      <c r="P112" s="840"/>
      <c r="Q112" s="840"/>
      <c r="R112" s="840"/>
      <c r="S112" s="840"/>
      <c r="T112" s="840"/>
      <c r="U112" s="840"/>
      <c r="V112" s="840"/>
      <c r="W112" s="840"/>
      <c r="X112" s="840"/>
      <c r="Y112" s="840"/>
      <c r="Z112" s="840"/>
    </row>
    <row r="113" ht="15.75" customHeight="1">
      <c r="A113" s="840"/>
      <c r="B113" s="840"/>
      <c r="C113" s="840"/>
      <c r="D113" s="967"/>
      <c r="E113" s="840"/>
      <c r="F113" s="840"/>
      <c r="G113" s="840"/>
      <c r="H113" s="840"/>
      <c r="I113" s="840"/>
      <c r="J113" s="840"/>
      <c r="K113" s="840"/>
      <c r="L113" s="840"/>
      <c r="M113" s="840"/>
      <c r="N113" s="840"/>
      <c r="O113" s="840"/>
      <c r="P113" s="840"/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</row>
    <row r="114" ht="15.75" customHeight="1">
      <c r="A114" s="840"/>
      <c r="B114" s="840"/>
      <c r="C114" s="840"/>
      <c r="D114" s="967"/>
      <c r="E114" s="840"/>
      <c r="F114" s="840"/>
      <c r="G114" s="840"/>
      <c r="H114" s="840"/>
      <c r="I114" s="840"/>
      <c r="J114" s="840"/>
      <c r="K114" s="840"/>
      <c r="L114" s="840"/>
      <c r="M114" s="840"/>
      <c r="N114" s="840"/>
      <c r="O114" s="840"/>
      <c r="P114" s="840"/>
      <c r="Q114" s="840"/>
      <c r="R114" s="840"/>
      <c r="S114" s="840"/>
      <c r="T114" s="840"/>
      <c r="U114" s="840"/>
      <c r="V114" s="840"/>
      <c r="W114" s="840"/>
      <c r="X114" s="840"/>
      <c r="Y114" s="840"/>
      <c r="Z114" s="840"/>
    </row>
    <row r="115" ht="15.75" customHeight="1">
      <c r="A115" s="840"/>
      <c r="B115" s="840"/>
      <c r="C115" s="840"/>
      <c r="D115" s="967"/>
      <c r="E115" s="840"/>
      <c r="F115" s="840"/>
      <c r="G115" s="840"/>
      <c r="H115" s="840"/>
      <c r="I115" s="840"/>
      <c r="J115" s="840"/>
      <c r="K115" s="840"/>
      <c r="L115" s="840"/>
      <c r="M115" s="840"/>
      <c r="N115" s="840"/>
      <c r="O115" s="840"/>
      <c r="P115" s="840"/>
      <c r="Q115" s="840"/>
      <c r="R115" s="840"/>
      <c r="S115" s="840"/>
      <c r="T115" s="840"/>
      <c r="U115" s="840"/>
      <c r="V115" s="840"/>
      <c r="W115" s="840"/>
      <c r="X115" s="840"/>
      <c r="Y115" s="840"/>
      <c r="Z115" s="840"/>
    </row>
    <row r="116" ht="15.75" customHeight="1">
      <c r="A116" s="840"/>
      <c r="B116" s="840"/>
      <c r="C116" s="840"/>
      <c r="D116" s="967"/>
      <c r="E116" s="840"/>
      <c r="F116" s="840"/>
      <c r="G116" s="840"/>
      <c r="H116" s="840"/>
      <c r="I116" s="840"/>
      <c r="J116" s="840"/>
      <c r="K116" s="840"/>
      <c r="L116" s="840"/>
      <c r="M116" s="840"/>
      <c r="N116" s="840"/>
      <c r="O116" s="840"/>
      <c r="P116" s="840"/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</row>
    <row r="117" ht="15.75" customHeight="1">
      <c r="A117" s="840"/>
      <c r="B117" s="840"/>
      <c r="C117" s="840"/>
      <c r="D117" s="967"/>
      <c r="E117" s="840"/>
      <c r="F117" s="840"/>
      <c r="G117" s="840"/>
      <c r="H117" s="840"/>
      <c r="I117" s="840"/>
      <c r="J117" s="840"/>
      <c r="K117" s="840"/>
      <c r="L117" s="840"/>
      <c r="M117" s="840"/>
      <c r="N117" s="840"/>
      <c r="O117" s="840"/>
      <c r="P117" s="840"/>
      <c r="Q117" s="840"/>
      <c r="R117" s="840"/>
      <c r="S117" s="840"/>
      <c r="T117" s="840"/>
      <c r="U117" s="840"/>
      <c r="V117" s="840"/>
      <c r="W117" s="840"/>
      <c r="X117" s="840"/>
      <c r="Y117" s="840"/>
      <c r="Z117" s="840"/>
    </row>
    <row r="118" ht="15.75" customHeight="1">
      <c r="A118" s="840"/>
      <c r="B118" s="840"/>
      <c r="C118" s="840"/>
      <c r="D118" s="967"/>
      <c r="E118" s="840"/>
      <c r="F118" s="840"/>
      <c r="G118" s="840"/>
      <c r="H118" s="840"/>
      <c r="I118" s="840"/>
      <c r="J118" s="840"/>
      <c r="K118" s="840"/>
      <c r="L118" s="840"/>
      <c r="M118" s="840"/>
      <c r="N118" s="840"/>
      <c r="O118" s="840"/>
      <c r="P118" s="840"/>
      <c r="Q118" s="840"/>
      <c r="R118" s="840"/>
      <c r="S118" s="840"/>
      <c r="T118" s="840"/>
      <c r="U118" s="840"/>
      <c r="V118" s="840"/>
      <c r="W118" s="840"/>
      <c r="X118" s="840"/>
      <c r="Y118" s="840"/>
      <c r="Z118" s="840"/>
    </row>
    <row r="119" ht="15.75" customHeight="1">
      <c r="A119" s="840"/>
      <c r="B119" s="840"/>
      <c r="C119" s="840"/>
      <c r="D119" s="967"/>
      <c r="E119" s="840"/>
      <c r="F119" s="840"/>
      <c r="G119" s="840"/>
      <c r="H119" s="840"/>
      <c r="I119" s="840"/>
      <c r="J119" s="840"/>
      <c r="K119" s="840"/>
      <c r="L119" s="840"/>
      <c r="M119" s="840"/>
      <c r="N119" s="840"/>
      <c r="O119" s="840"/>
      <c r="P119" s="840"/>
      <c r="Q119" s="840"/>
      <c r="R119" s="840"/>
      <c r="S119" s="840"/>
      <c r="T119" s="840"/>
      <c r="U119" s="840"/>
      <c r="V119" s="840"/>
      <c r="W119" s="840"/>
      <c r="X119" s="840"/>
      <c r="Y119" s="840"/>
      <c r="Z119" s="840"/>
    </row>
    <row r="120" ht="15.75" customHeight="1">
      <c r="A120" s="840"/>
      <c r="B120" s="840"/>
      <c r="C120" s="840"/>
      <c r="D120" s="967"/>
      <c r="E120" s="840"/>
      <c r="F120" s="840"/>
      <c r="G120" s="840"/>
      <c r="H120" s="840"/>
      <c r="I120" s="840"/>
      <c r="J120" s="840"/>
      <c r="K120" s="840"/>
      <c r="L120" s="840"/>
      <c r="M120" s="840"/>
      <c r="N120" s="840"/>
      <c r="O120" s="840"/>
      <c r="P120" s="840"/>
      <c r="Q120" s="840"/>
      <c r="R120" s="840"/>
      <c r="S120" s="840"/>
      <c r="T120" s="840"/>
      <c r="U120" s="840"/>
      <c r="V120" s="840"/>
      <c r="W120" s="840"/>
      <c r="X120" s="840"/>
      <c r="Y120" s="840"/>
      <c r="Z120" s="840"/>
    </row>
    <row r="121" ht="15.75" customHeight="1">
      <c r="A121" s="840"/>
      <c r="B121" s="840"/>
      <c r="C121" s="840"/>
      <c r="D121" s="967"/>
      <c r="E121" s="840"/>
      <c r="F121" s="840"/>
      <c r="G121" s="840"/>
      <c r="H121" s="840"/>
      <c r="I121" s="840"/>
      <c r="J121" s="840"/>
      <c r="K121" s="840"/>
      <c r="L121" s="840"/>
      <c r="M121" s="840"/>
      <c r="N121" s="840"/>
      <c r="O121" s="840"/>
      <c r="P121" s="840"/>
      <c r="Q121" s="840"/>
      <c r="R121" s="840"/>
      <c r="S121" s="840"/>
      <c r="T121" s="840"/>
      <c r="U121" s="840"/>
      <c r="V121" s="840"/>
      <c r="W121" s="840"/>
      <c r="X121" s="840"/>
      <c r="Y121" s="840"/>
      <c r="Z121" s="840"/>
    </row>
    <row r="122" ht="15.75" customHeight="1">
      <c r="A122" s="840"/>
      <c r="B122" s="840"/>
      <c r="C122" s="840"/>
      <c r="D122" s="967"/>
      <c r="E122" s="840"/>
      <c r="F122" s="840"/>
      <c r="G122" s="840"/>
      <c r="H122" s="840"/>
      <c r="I122" s="840"/>
      <c r="J122" s="840"/>
      <c r="K122" s="840"/>
      <c r="L122" s="840"/>
      <c r="M122" s="840"/>
      <c r="N122" s="840"/>
      <c r="O122" s="840"/>
      <c r="P122" s="840"/>
      <c r="Q122" s="840"/>
      <c r="R122" s="840"/>
      <c r="S122" s="840"/>
      <c r="T122" s="840"/>
      <c r="U122" s="840"/>
      <c r="V122" s="840"/>
      <c r="W122" s="840"/>
      <c r="X122" s="840"/>
      <c r="Y122" s="840"/>
      <c r="Z122" s="840"/>
    </row>
    <row r="123" ht="15.75" customHeight="1">
      <c r="A123" s="840"/>
      <c r="B123" s="840"/>
      <c r="C123" s="840"/>
      <c r="D123" s="967"/>
      <c r="E123" s="840"/>
      <c r="F123" s="840"/>
      <c r="G123" s="840"/>
      <c r="H123" s="840"/>
      <c r="I123" s="840"/>
      <c r="J123" s="840"/>
      <c r="K123" s="840"/>
      <c r="L123" s="840"/>
      <c r="M123" s="840"/>
      <c r="N123" s="840"/>
      <c r="O123" s="840"/>
      <c r="P123" s="840"/>
      <c r="Q123" s="840"/>
      <c r="R123" s="840"/>
      <c r="S123" s="840"/>
      <c r="T123" s="840"/>
      <c r="U123" s="840"/>
      <c r="V123" s="840"/>
      <c r="W123" s="840"/>
      <c r="X123" s="840"/>
      <c r="Y123" s="840"/>
      <c r="Z123" s="840"/>
    </row>
    <row r="124" ht="15.75" customHeight="1">
      <c r="A124" s="840"/>
      <c r="B124" s="840"/>
      <c r="C124" s="840"/>
      <c r="D124" s="967"/>
      <c r="E124" s="840"/>
      <c r="F124" s="840"/>
      <c r="G124" s="840"/>
      <c r="H124" s="840"/>
      <c r="I124" s="840"/>
      <c r="J124" s="840"/>
      <c r="K124" s="840"/>
      <c r="L124" s="840"/>
      <c r="M124" s="840"/>
      <c r="N124" s="840"/>
      <c r="O124" s="840"/>
      <c r="P124" s="840"/>
      <c r="Q124" s="840"/>
      <c r="R124" s="840"/>
      <c r="S124" s="840"/>
      <c r="T124" s="840"/>
      <c r="U124" s="840"/>
      <c r="V124" s="840"/>
      <c r="W124" s="840"/>
      <c r="X124" s="840"/>
      <c r="Y124" s="840"/>
      <c r="Z124" s="840"/>
    </row>
    <row r="125" ht="15.75" customHeight="1">
      <c r="A125" s="840"/>
      <c r="B125" s="840"/>
      <c r="C125" s="840"/>
      <c r="D125" s="967"/>
      <c r="E125" s="840"/>
      <c r="F125" s="840"/>
      <c r="G125" s="840"/>
      <c r="H125" s="840"/>
      <c r="I125" s="840"/>
      <c r="J125" s="840"/>
      <c r="K125" s="840"/>
      <c r="L125" s="840"/>
      <c r="M125" s="840"/>
      <c r="N125" s="840"/>
      <c r="O125" s="840"/>
      <c r="P125" s="840"/>
      <c r="Q125" s="840"/>
      <c r="R125" s="840"/>
      <c r="S125" s="840"/>
      <c r="T125" s="840"/>
      <c r="U125" s="840"/>
      <c r="V125" s="840"/>
      <c r="W125" s="840"/>
      <c r="X125" s="840"/>
      <c r="Y125" s="840"/>
      <c r="Z125" s="840"/>
    </row>
    <row r="126" ht="15.75" customHeight="1">
      <c r="A126" s="840"/>
      <c r="B126" s="840"/>
      <c r="C126" s="840"/>
      <c r="D126" s="967"/>
      <c r="E126" s="840"/>
      <c r="F126" s="840"/>
      <c r="G126" s="840"/>
      <c r="H126" s="840"/>
      <c r="I126" s="840"/>
      <c r="J126" s="840"/>
      <c r="K126" s="840"/>
      <c r="L126" s="840"/>
      <c r="M126" s="840"/>
      <c r="N126" s="840"/>
      <c r="O126" s="840"/>
      <c r="P126" s="840"/>
      <c r="Q126" s="840"/>
      <c r="R126" s="840"/>
      <c r="S126" s="840"/>
      <c r="T126" s="840"/>
      <c r="U126" s="840"/>
      <c r="V126" s="840"/>
      <c r="W126" s="840"/>
      <c r="X126" s="840"/>
      <c r="Y126" s="840"/>
      <c r="Z126" s="840"/>
    </row>
    <row r="127" ht="15.75" customHeight="1">
      <c r="A127" s="840"/>
      <c r="B127" s="840"/>
      <c r="C127" s="840"/>
      <c r="D127" s="967"/>
      <c r="E127" s="840"/>
      <c r="F127" s="840"/>
      <c r="G127" s="840"/>
      <c r="H127" s="840"/>
      <c r="I127" s="840"/>
      <c r="J127" s="840"/>
      <c r="K127" s="840"/>
      <c r="L127" s="840"/>
      <c r="M127" s="840"/>
      <c r="N127" s="840"/>
      <c r="O127" s="840"/>
      <c r="P127" s="840"/>
      <c r="Q127" s="840"/>
      <c r="R127" s="840"/>
      <c r="S127" s="840"/>
      <c r="T127" s="840"/>
      <c r="U127" s="840"/>
      <c r="V127" s="840"/>
      <c r="W127" s="840"/>
      <c r="X127" s="840"/>
      <c r="Y127" s="840"/>
      <c r="Z127" s="840"/>
    </row>
    <row r="128" ht="15.75" customHeight="1">
      <c r="A128" s="840"/>
      <c r="B128" s="840"/>
      <c r="C128" s="840"/>
      <c r="D128" s="967"/>
      <c r="E128" s="840"/>
      <c r="F128" s="840"/>
      <c r="G128" s="840"/>
      <c r="H128" s="840"/>
      <c r="I128" s="840"/>
      <c r="J128" s="840"/>
      <c r="K128" s="840"/>
      <c r="L128" s="840"/>
      <c r="M128" s="840"/>
      <c r="N128" s="840"/>
      <c r="O128" s="840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</row>
    <row r="129" ht="15.75" customHeight="1">
      <c r="A129" s="840"/>
      <c r="B129" s="840"/>
      <c r="C129" s="840"/>
      <c r="D129" s="967"/>
      <c r="E129" s="840"/>
      <c r="F129" s="840"/>
      <c r="G129" s="840"/>
      <c r="H129" s="840"/>
      <c r="I129" s="840"/>
      <c r="J129" s="840"/>
      <c r="K129" s="840"/>
      <c r="L129" s="840"/>
      <c r="M129" s="840"/>
      <c r="N129" s="840"/>
      <c r="O129" s="840"/>
      <c r="P129" s="840"/>
      <c r="Q129" s="840"/>
      <c r="R129" s="840"/>
      <c r="S129" s="840"/>
      <c r="T129" s="840"/>
      <c r="U129" s="840"/>
      <c r="V129" s="840"/>
      <c r="W129" s="840"/>
      <c r="X129" s="840"/>
      <c r="Y129" s="840"/>
      <c r="Z129" s="840"/>
    </row>
    <row r="130" ht="15.75" customHeight="1">
      <c r="A130" s="840"/>
      <c r="B130" s="840"/>
      <c r="C130" s="840"/>
      <c r="D130" s="967"/>
      <c r="E130" s="840"/>
      <c r="F130" s="840"/>
      <c r="G130" s="840"/>
      <c r="H130" s="840"/>
      <c r="I130" s="840"/>
      <c r="J130" s="840"/>
      <c r="K130" s="840"/>
      <c r="L130" s="840"/>
      <c r="M130" s="840"/>
      <c r="N130" s="840"/>
      <c r="O130" s="840"/>
      <c r="P130" s="840"/>
      <c r="Q130" s="840"/>
      <c r="R130" s="840"/>
      <c r="S130" s="840"/>
      <c r="T130" s="840"/>
      <c r="U130" s="840"/>
      <c r="V130" s="840"/>
      <c r="W130" s="840"/>
      <c r="X130" s="840"/>
      <c r="Y130" s="840"/>
      <c r="Z130" s="840"/>
    </row>
    <row r="131" ht="15.75" customHeight="1">
      <c r="A131" s="840"/>
      <c r="B131" s="840"/>
      <c r="C131" s="840"/>
      <c r="D131" s="967"/>
      <c r="E131" s="840"/>
      <c r="F131" s="840"/>
      <c r="G131" s="840"/>
      <c r="H131" s="840"/>
      <c r="I131" s="840"/>
      <c r="J131" s="840"/>
      <c r="K131" s="840"/>
      <c r="L131" s="840"/>
      <c r="M131" s="840"/>
      <c r="N131" s="840"/>
      <c r="O131" s="840"/>
      <c r="P131" s="840"/>
      <c r="Q131" s="840"/>
      <c r="R131" s="840"/>
      <c r="S131" s="840"/>
      <c r="T131" s="840"/>
      <c r="U131" s="840"/>
      <c r="V131" s="840"/>
      <c r="W131" s="840"/>
      <c r="X131" s="840"/>
      <c r="Y131" s="840"/>
      <c r="Z131" s="840"/>
    </row>
    <row r="132" ht="15.75" customHeight="1">
      <c r="A132" s="840"/>
      <c r="B132" s="840"/>
      <c r="C132" s="840"/>
      <c r="D132" s="967"/>
      <c r="E132" s="840"/>
      <c r="F132" s="840"/>
      <c r="G132" s="840"/>
      <c r="H132" s="840"/>
      <c r="I132" s="840"/>
      <c r="J132" s="840"/>
      <c r="K132" s="840"/>
      <c r="L132" s="840"/>
      <c r="M132" s="840"/>
      <c r="N132" s="840"/>
      <c r="O132" s="840"/>
      <c r="P132" s="840"/>
      <c r="Q132" s="840"/>
      <c r="R132" s="840"/>
      <c r="S132" s="840"/>
      <c r="T132" s="840"/>
      <c r="U132" s="840"/>
      <c r="V132" s="840"/>
      <c r="W132" s="840"/>
      <c r="X132" s="840"/>
      <c r="Y132" s="840"/>
      <c r="Z132" s="840"/>
    </row>
    <row r="133" ht="15.75" customHeight="1">
      <c r="A133" s="840"/>
      <c r="B133" s="840"/>
      <c r="C133" s="840"/>
      <c r="D133" s="967"/>
      <c r="E133" s="840"/>
      <c r="F133" s="840"/>
      <c r="G133" s="840"/>
      <c r="H133" s="840"/>
      <c r="I133" s="840"/>
      <c r="J133" s="840"/>
      <c r="K133" s="840"/>
      <c r="L133" s="840"/>
      <c r="M133" s="840"/>
      <c r="N133" s="840"/>
      <c r="O133" s="840"/>
      <c r="P133" s="840"/>
      <c r="Q133" s="840"/>
      <c r="R133" s="840"/>
      <c r="S133" s="840"/>
      <c r="T133" s="840"/>
      <c r="U133" s="840"/>
      <c r="V133" s="840"/>
      <c r="W133" s="840"/>
      <c r="X133" s="840"/>
      <c r="Y133" s="840"/>
      <c r="Z133" s="840"/>
    </row>
    <row r="134" ht="15.75" customHeight="1">
      <c r="A134" s="840"/>
      <c r="B134" s="840"/>
      <c r="C134" s="840"/>
      <c r="D134" s="967"/>
      <c r="E134" s="840"/>
      <c r="F134" s="840"/>
      <c r="G134" s="840"/>
      <c r="H134" s="840"/>
      <c r="I134" s="840"/>
      <c r="J134" s="840"/>
      <c r="K134" s="840"/>
      <c r="L134" s="840"/>
      <c r="M134" s="840"/>
      <c r="N134" s="840"/>
      <c r="O134" s="840"/>
      <c r="P134" s="840"/>
      <c r="Q134" s="840"/>
      <c r="R134" s="840"/>
      <c r="S134" s="840"/>
      <c r="T134" s="840"/>
      <c r="U134" s="840"/>
      <c r="V134" s="840"/>
      <c r="W134" s="840"/>
      <c r="X134" s="840"/>
      <c r="Y134" s="840"/>
      <c r="Z134" s="840"/>
    </row>
    <row r="135" ht="15.75" customHeight="1">
      <c r="A135" s="840"/>
      <c r="B135" s="840"/>
      <c r="C135" s="840"/>
      <c r="D135" s="967"/>
      <c r="E135" s="840"/>
      <c r="F135" s="840"/>
      <c r="G135" s="840"/>
      <c r="H135" s="840"/>
      <c r="I135" s="840"/>
      <c r="J135" s="840"/>
      <c r="K135" s="840"/>
      <c r="L135" s="840"/>
      <c r="M135" s="840"/>
      <c r="N135" s="840"/>
      <c r="O135" s="840"/>
      <c r="P135" s="840"/>
      <c r="Q135" s="840"/>
      <c r="R135" s="840"/>
      <c r="S135" s="840"/>
      <c r="T135" s="840"/>
      <c r="U135" s="840"/>
      <c r="V135" s="840"/>
      <c r="W135" s="840"/>
      <c r="X135" s="840"/>
      <c r="Y135" s="840"/>
      <c r="Z135" s="840"/>
    </row>
    <row r="136" ht="15.75" customHeight="1">
      <c r="A136" s="840"/>
      <c r="B136" s="840"/>
      <c r="C136" s="840"/>
      <c r="D136" s="967"/>
      <c r="E136" s="840"/>
      <c r="F136" s="840"/>
      <c r="G136" s="840"/>
      <c r="H136" s="840"/>
      <c r="I136" s="840"/>
      <c r="J136" s="840"/>
      <c r="K136" s="840"/>
      <c r="L136" s="840"/>
      <c r="M136" s="840"/>
      <c r="N136" s="840"/>
      <c r="O136" s="840"/>
      <c r="P136" s="840"/>
      <c r="Q136" s="840"/>
      <c r="R136" s="840"/>
      <c r="S136" s="840"/>
      <c r="T136" s="840"/>
      <c r="U136" s="840"/>
      <c r="V136" s="840"/>
      <c r="W136" s="840"/>
      <c r="X136" s="840"/>
      <c r="Y136" s="840"/>
      <c r="Z136" s="840"/>
    </row>
    <row r="137" ht="15.75" customHeight="1">
      <c r="A137" s="840"/>
      <c r="B137" s="840"/>
      <c r="C137" s="840"/>
      <c r="D137" s="967"/>
      <c r="E137" s="840"/>
      <c r="F137" s="840"/>
      <c r="G137" s="840"/>
      <c r="H137" s="840"/>
      <c r="I137" s="840"/>
      <c r="J137" s="840"/>
      <c r="K137" s="840"/>
      <c r="L137" s="840"/>
      <c r="M137" s="840"/>
      <c r="N137" s="840"/>
      <c r="O137" s="840"/>
      <c r="P137" s="840"/>
      <c r="Q137" s="840"/>
      <c r="R137" s="840"/>
      <c r="S137" s="840"/>
      <c r="T137" s="840"/>
      <c r="U137" s="840"/>
      <c r="V137" s="840"/>
      <c r="W137" s="840"/>
      <c r="X137" s="840"/>
      <c r="Y137" s="840"/>
      <c r="Z137" s="840"/>
    </row>
    <row r="138" ht="15.75" customHeight="1">
      <c r="A138" s="840"/>
      <c r="B138" s="840"/>
      <c r="C138" s="840"/>
      <c r="D138" s="967"/>
      <c r="E138" s="840"/>
      <c r="F138" s="840"/>
      <c r="G138" s="840"/>
      <c r="H138" s="840"/>
      <c r="I138" s="840"/>
      <c r="J138" s="840"/>
      <c r="K138" s="840"/>
      <c r="L138" s="840"/>
      <c r="M138" s="840"/>
      <c r="N138" s="840"/>
      <c r="O138" s="840"/>
      <c r="P138" s="840"/>
      <c r="Q138" s="840"/>
      <c r="R138" s="840"/>
      <c r="S138" s="840"/>
      <c r="T138" s="840"/>
      <c r="U138" s="840"/>
      <c r="V138" s="840"/>
      <c r="W138" s="840"/>
      <c r="X138" s="840"/>
      <c r="Y138" s="840"/>
      <c r="Z138" s="840"/>
    </row>
    <row r="139" ht="15.75" customHeight="1">
      <c r="A139" s="840"/>
      <c r="B139" s="840"/>
      <c r="C139" s="840"/>
      <c r="D139" s="967"/>
      <c r="E139" s="840"/>
      <c r="F139" s="840"/>
      <c r="G139" s="840"/>
      <c r="H139" s="840"/>
      <c r="I139" s="840"/>
      <c r="J139" s="840"/>
      <c r="K139" s="840"/>
      <c r="L139" s="840"/>
      <c r="M139" s="840"/>
      <c r="N139" s="840"/>
      <c r="O139" s="840"/>
      <c r="P139" s="840"/>
      <c r="Q139" s="840"/>
      <c r="R139" s="840"/>
      <c r="S139" s="840"/>
      <c r="T139" s="840"/>
      <c r="U139" s="840"/>
      <c r="V139" s="840"/>
      <c r="W139" s="840"/>
      <c r="X139" s="840"/>
      <c r="Y139" s="840"/>
      <c r="Z139" s="840"/>
    </row>
    <row r="140" ht="15.75" customHeight="1">
      <c r="A140" s="840"/>
      <c r="B140" s="840"/>
      <c r="C140" s="840"/>
      <c r="D140" s="967"/>
      <c r="E140" s="840"/>
      <c r="F140" s="840"/>
      <c r="G140" s="840"/>
      <c r="H140" s="840"/>
      <c r="I140" s="840"/>
      <c r="J140" s="840"/>
      <c r="K140" s="840"/>
      <c r="L140" s="840"/>
      <c r="M140" s="840"/>
      <c r="N140" s="840"/>
      <c r="O140" s="840"/>
      <c r="P140" s="840"/>
      <c r="Q140" s="840"/>
      <c r="R140" s="840"/>
      <c r="S140" s="840"/>
      <c r="T140" s="840"/>
      <c r="U140" s="840"/>
      <c r="V140" s="840"/>
      <c r="W140" s="840"/>
      <c r="X140" s="840"/>
      <c r="Y140" s="840"/>
      <c r="Z140" s="840"/>
    </row>
    <row r="141" ht="15.75" customHeight="1">
      <c r="A141" s="840"/>
      <c r="B141" s="840"/>
      <c r="C141" s="840"/>
      <c r="D141" s="967"/>
      <c r="E141" s="840"/>
      <c r="F141" s="840"/>
      <c r="G141" s="840"/>
      <c r="H141" s="840"/>
      <c r="I141" s="840"/>
      <c r="J141" s="840"/>
      <c r="K141" s="840"/>
      <c r="L141" s="840"/>
      <c r="M141" s="840"/>
      <c r="N141" s="840"/>
      <c r="O141" s="840"/>
      <c r="P141" s="840"/>
      <c r="Q141" s="840"/>
      <c r="R141" s="840"/>
      <c r="S141" s="840"/>
      <c r="T141" s="840"/>
      <c r="U141" s="840"/>
      <c r="V141" s="840"/>
      <c r="W141" s="840"/>
      <c r="X141" s="840"/>
      <c r="Y141" s="840"/>
      <c r="Z141" s="840"/>
    </row>
    <row r="142" ht="15.75" customHeight="1">
      <c r="A142" s="840"/>
      <c r="B142" s="840"/>
      <c r="C142" s="840"/>
      <c r="D142" s="967"/>
      <c r="E142" s="840"/>
      <c r="F142" s="840"/>
      <c r="G142" s="840"/>
      <c r="H142" s="840"/>
      <c r="I142" s="840"/>
      <c r="J142" s="840"/>
      <c r="K142" s="840"/>
      <c r="L142" s="840"/>
      <c r="M142" s="840"/>
      <c r="N142" s="840"/>
      <c r="O142" s="840"/>
      <c r="P142" s="840"/>
      <c r="Q142" s="840"/>
      <c r="R142" s="840"/>
      <c r="S142" s="840"/>
      <c r="T142" s="840"/>
      <c r="U142" s="840"/>
      <c r="V142" s="840"/>
      <c r="W142" s="840"/>
      <c r="X142" s="840"/>
      <c r="Y142" s="840"/>
      <c r="Z142" s="840"/>
    </row>
    <row r="143" ht="15.75" customHeight="1">
      <c r="A143" s="840"/>
      <c r="B143" s="840"/>
      <c r="C143" s="840"/>
      <c r="D143" s="967"/>
      <c r="E143" s="840"/>
      <c r="F143" s="840"/>
      <c r="G143" s="840"/>
      <c r="H143" s="840"/>
      <c r="I143" s="840"/>
      <c r="J143" s="840"/>
      <c r="K143" s="840"/>
      <c r="L143" s="840"/>
      <c r="M143" s="840"/>
      <c r="N143" s="840"/>
      <c r="O143" s="840"/>
      <c r="P143" s="840"/>
      <c r="Q143" s="840"/>
      <c r="R143" s="840"/>
      <c r="S143" s="840"/>
      <c r="T143" s="840"/>
      <c r="U143" s="840"/>
      <c r="V143" s="840"/>
      <c r="W143" s="840"/>
      <c r="X143" s="840"/>
      <c r="Y143" s="840"/>
      <c r="Z143" s="840"/>
    </row>
    <row r="144" ht="15.75" customHeight="1">
      <c r="A144" s="840"/>
      <c r="B144" s="840"/>
      <c r="C144" s="840"/>
      <c r="D144" s="967"/>
      <c r="E144" s="840"/>
      <c r="F144" s="840"/>
      <c r="G144" s="840"/>
      <c r="H144" s="840"/>
      <c r="I144" s="840"/>
      <c r="J144" s="840"/>
      <c r="K144" s="840"/>
      <c r="L144" s="840"/>
      <c r="M144" s="840"/>
      <c r="N144" s="840"/>
      <c r="O144" s="840"/>
      <c r="P144" s="840"/>
      <c r="Q144" s="840"/>
      <c r="R144" s="840"/>
      <c r="S144" s="840"/>
      <c r="T144" s="840"/>
      <c r="U144" s="840"/>
      <c r="V144" s="840"/>
      <c r="W144" s="840"/>
      <c r="X144" s="840"/>
      <c r="Y144" s="840"/>
      <c r="Z144" s="840"/>
    </row>
    <row r="145" ht="15.75" customHeight="1">
      <c r="A145" s="840"/>
      <c r="B145" s="840"/>
      <c r="C145" s="840"/>
      <c r="D145" s="967"/>
      <c r="E145" s="840"/>
      <c r="F145" s="840"/>
      <c r="G145" s="840"/>
      <c r="H145" s="840"/>
      <c r="I145" s="840"/>
      <c r="J145" s="840"/>
      <c r="K145" s="840"/>
      <c r="L145" s="840"/>
      <c r="M145" s="840"/>
      <c r="N145" s="840"/>
      <c r="O145" s="840"/>
      <c r="P145" s="840"/>
      <c r="Q145" s="840"/>
      <c r="R145" s="840"/>
      <c r="S145" s="840"/>
      <c r="T145" s="840"/>
      <c r="U145" s="840"/>
      <c r="V145" s="840"/>
      <c r="W145" s="840"/>
      <c r="X145" s="840"/>
      <c r="Y145" s="840"/>
      <c r="Z145" s="840"/>
    </row>
    <row r="146" ht="15.75" customHeight="1">
      <c r="A146" s="840"/>
      <c r="B146" s="840"/>
      <c r="C146" s="840"/>
      <c r="D146" s="967"/>
      <c r="E146" s="840"/>
      <c r="F146" s="840"/>
      <c r="G146" s="840"/>
      <c r="H146" s="840"/>
      <c r="I146" s="840"/>
      <c r="J146" s="840"/>
      <c r="K146" s="840"/>
      <c r="L146" s="840"/>
      <c r="M146" s="840"/>
      <c r="N146" s="840"/>
      <c r="O146" s="840"/>
      <c r="P146" s="840"/>
      <c r="Q146" s="840"/>
      <c r="R146" s="840"/>
      <c r="S146" s="840"/>
      <c r="T146" s="840"/>
      <c r="U146" s="840"/>
      <c r="V146" s="840"/>
      <c r="W146" s="840"/>
      <c r="X146" s="840"/>
      <c r="Y146" s="840"/>
      <c r="Z146" s="840"/>
    </row>
    <row r="147" ht="15.75" customHeight="1">
      <c r="A147" s="840"/>
      <c r="B147" s="840"/>
      <c r="C147" s="840"/>
      <c r="D147" s="967"/>
      <c r="E147" s="840"/>
      <c r="F147" s="840"/>
      <c r="G147" s="840"/>
      <c r="H147" s="840"/>
      <c r="I147" s="840"/>
      <c r="J147" s="840"/>
      <c r="K147" s="840"/>
      <c r="L147" s="840"/>
      <c r="M147" s="840"/>
      <c r="N147" s="840"/>
      <c r="O147" s="840"/>
      <c r="P147" s="840"/>
      <c r="Q147" s="840"/>
      <c r="R147" s="840"/>
      <c r="S147" s="840"/>
      <c r="T147" s="840"/>
      <c r="U147" s="840"/>
      <c r="V147" s="840"/>
      <c r="W147" s="840"/>
      <c r="X147" s="840"/>
      <c r="Y147" s="840"/>
      <c r="Z147" s="840"/>
    </row>
    <row r="148" ht="15.75" customHeight="1">
      <c r="A148" s="840"/>
      <c r="B148" s="840"/>
      <c r="C148" s="840"/>
      <c r="D148" s="967"/>
      <c r="E148" s="840"/>
      <c r="F148" s="840"/>
      <c r="G148" s="840"/>
      <c r="H148" s="840"/>
      <c r="I148" s="840"/>
      <c r="J148" s="840"/>
      <c r="K148" s="840"/>
      <c r="L148" s="840"/>
      <c r="M148" s="840"/>
      <c r="N148" s="840"/>
      <c r="O148" s="840"/>
      <c r="P148" s="840"/>
      <c r="Q148" s="840"/>
      <c r="R148" s="840"/>
      <c r="S148" s="840"/>
      <c r="T148" s="840"/>
      <c r="U148" s="840"/>
      <c r="V148" s="840"/>
      <c r="W148" s="840"/>
      <c r="X148" s="840"/>
      <c r="Y148" s="840"/>
      <c r="Z148" s="840"/>
    </row>
    <row r="149" ht="15.75" customHeight="1">
      <c r="A149" s="840"/>
      <c r="B149" s="840"/>
      <c r="C149" s="840"/>
      <c r="D149" s="967"/>
      <c r="E149" s="840"/>
      <c r="F149" s="840"/>
      <c r="G149" s="840"/>
      <c r="H149" s="840"/>
      <c r="I149" s="840"/>
      <c r="J149" s="840"/>
      <c r="K149" s="840"/>
      <c r="L149" s="840"/>
      <c r="M149" s="840"/>
      <c r="N149" s="840"/>
      <c r="O149" s="840"/>
      <c r="P149" s="840"/>
      <c r="Q149" s="840"/>
      <c r="R149" s="840"/>
      <c r="S149" s="840"/>
      <c r="T149" s="840"/>
      <c r="U149" s="840"/>
      <c r="V149" s="840"/>
      <c r="W149" s="840"/>
      <c r="X149" s="840"/>
      <c r="Y149" s="840"/>
      <c r="Z149" s="840"/>
    </row>
    <row r="150" ht="15.75" customHeight="1">
      <c r="A150" s="840"/>
      <c r="B150" s="840"/>
      <c r="C150" s="840"/>
      <c r="D150" s="967"/>
      <c r="E150" s="840"/>
      <c r="F150" s="840"/>
      <c r="G150" s="840"/>
      <c r="H150" s="840"/>
      <c r="I150" s="840"/>
      <c r="J150" s="840"/>
      <c r="K150" s="840"/>
      <c r="L150" s="840"/>
      <c r="M150" s="840"/>
      <c r="N150" s="840"/>
      <c r="O150" s="840"/>
      <c r="P150" s="840"/>
      <c r="Q150" s="840"/>
      <c r="R150" s="840"/>
      <c r="S150" s="840"/>
      <c r="T150" s="840"/>
      <c r="U150" s="840"/>
      <c r="V150" s="840"/>
      <c r="W150" s="840"/>
      <c r="X150" s="840"/>
      <c r="Y150" s="840"/>
      <c r="Z150" s="840"/>
    </row>
    <row r="151" ht="15.75" customHeight="1">
      <c r="A151" s="840"/>
      <c r="B151" s="840"/>
      <c r="C151" s="840"/>
      <c r="D151" s="967"/>
      <c r="E151" s="840"/>
      <c r="F151" s="840"/>
      <c r="G151" s="840"/>
      <c r="H151" s="840"/>
      <c r="I151" s="840"/>
      <c r="J151" s="840"/>
      <c r="K151" s="840"/>
      <c r="L151" s="840"/>
      <c r="M151" s="840"/>
      <c r="N151" s="840"/>
      <c r="O151" s="840"/>
      <c r="P151" s="840"/>
      <c r="Q151" s="840"/>
      <c r="R151" s="840"/>
      <c r="S151" s="840"/>
      <c r="T151" s="840"/>
      <c r="U151" s="840"/>
      <c r="V151" s="840"/>
      <c r="W151" s="840"/>
      <c r="X151" s="840"/>
      <c r="Y151" s="840"/>
      <c r="Z151" s="840"/>
    </row>
    <row r="152" ht="15.75" customHeight="1">
      <c r="A152" s="840"/>
      <c r="B152" s="840"/>
      <c r="C152" s="840"/>
      <c r="D152" s="967"/>
      <c r="E152" s="840"/>
      <c r="F152" s="840"/>
      <c r="G152" s="840"/>
      <c r="H152" s="840"/>
      <c r="I152" s="840"/>
      <c r="J152" s="840"/>
      <c r="K152" s="840"/>
      <c r="L152" s="840"/>
      <c r="M152" s="840"/>
      <c r="N152" s="840"/>
      <c r="O152" s="840"/>
      <c r="P152" s="840"/>
      <c r="Q152" s="840"/>
      <c r="R152" s="840"/>
      <c r="S152" s="840"/>
      <c r="T152" s="840"/>
      <c r="U152" s="840"/>
      <c r="V152" s="840"/>
      <c r="W152" s="840"/>
      <c r="X152" s="840"/>
      <c r="Y152" s="840"/>
      <c r="Z152" s="840"/>
    </row>
    <row r="153" ht="15.75" customHeight="1">
      <c r="A153" s="840"/>
      <c r="B153" s="840"/>
      <c r="C153" s="840"/>
      <c r="D153" s="967"/>
      <c r="E153" s="840"/>
      <c r="F153" s="840"/>
      <c r="G153" s="840"/>
      <c r="H153" s="840"/>
      <c r="I153" s="840"/>
      <c r="J153" s="840"/>
      <c r="K153" s="840"/>
      <c r="L153" s="840"/>
      <c r="M153" s="840"/>
      <c r="N153" s="840"/>
      <c r="O153" s="840"/>
      <c r="P153" s="840"/>
      <c r="Q153" s="840"/>
      <c r="R153" s="840"/>
      <c r="S153" s="840"/>
      <c r="T153" s="840"/>
      <c r="U153" s="840"/>
      <c r="V153" s="840"/>
      <c r="W153" s="840"/>
      <c r="X153" s="840"/>
      <c r="Y153" s="840"/>
      <c r="Z153" s="840"/>
    </row>
    <row r="154" ht="15.75" customHeight="1">
      <c r="A154" s="840"/>
      <c r="B154" s="840"/>
      <c r="C154" s="840"/>
      <c r="D154" s="967"/>
      <c r="E154" s="840"/>
      <c r="F154" s="840"/>
      <c r="G154" s="840"/>
      <c r="H154" s="840"/>
      <c r="I154" s="840"/>
      <c r="J154" s="840"/>
      <c r="K154" s="840"/>
      <c r="L154" s="840"/>
      <c r="M154" s="840"/>
      <c r="N154" s="840"/>
      <c r="O154" s="840"/>
      <c r="P154" s="840"/>
      <c r="Q154" s="840"/>
      <c r="R154" s="840"/>
      <c r="S154" s="840"/>
      <c r="T154" s="840"/>
      <c r="U154" s="840"/>
      <c r="V154" s="840"/>
      <c r="W154" s="840"/>
      <c r="X154" s="840"/>
      <c r="Y154" s="840"/>
      <c r="Z154" s="840"/>
    </row>
    <row r="155" ht="15.75" customHeight="1">
      <c r="A155" s="840"/>
      <c r="B155" s="840"/>
      <c r="C155" s="840"/>
      <c r="D155" s="967"/>
      <c r="E155" s="840"/>
      <c r="F155" s="840"/>
      <c r="G155" s="840"/>
      <c r="H155" s="840"/>
      <c r="I155" s="840"/>
      <c r="J155" s="840"/>
      <c r="K155" s="840"/>
      <c r="L155" s="840"/>
      <c r="M155" s="840"/>
      <c r="N155" s="840"/>
      <c r="O155" s="840"/>
      <c r="P155" s="840"/>
      <c r="Q155" s="840"/>
      <c r="R155" s="840"/>
      <c r="S155" s="840"/>
      <c r="T155" s="840"/>
      <c r="U155" s="840"/>
      <c r="V155" s="840"/>
      <c r="W155" s="840"/>
      <c r="X155" s="840"/>
      <c r="Y155" s="840"/>
      <c r="Z155" s="840"/>
    </row>
    <row r="156" ht="15.75" customHeight="1">
      <c r="A156" s="840"/>
      <c r="B156" s="840"/>
      <c r="C156" s="840"/>
      <c r="D156" s="967"/>
      <c r="E156" s="840"/>
      <c r="F156" s="840"/>
      <c r="G156" s="840"/>
      <c r="H156" s="840"/>
      <c r="I156" s="840"/>
      <c r="J156" s="840"/>
      <c r="K156" s="840"/>
      <c r="L156" s="840"/>
      <c r="M156" s="840"/>
      <c r="N156" s="840"/>
      <c r="O156" s="840"/>
      <c r="P156" s="840"/>
      <c r="Q156" s="840"/>
      <c r="R156" s="840"/>
      <c r="S156" s="840"/>
      <c r="T156" s="840"/>
      <c r="U156" s="840"/>
      <c r="V156" s="840"/>
      <c r="W156" s="840"/>
      <c r="X156" s="840"/>
      <c r="Y156" s="840"/>
      <c r="Z156" s="840"/>
    </row>
    <row r="157" ht="15.75" customHeight="1">
      <c r="A157" s="840"/>
      <c r="B157" s="840"/>
      <c r="C157" s="840"/>
      <c r="D157" s="967"/>
      <c r="E157" s="840"/>
      <c r="F157" s="840"/>
      <c r="G157" s="840"/>
      <c r="H157" s="840"/>
      <c r="I157" s="840"/>
      <c r="J157" s="840"/>
      <c r="K157" s="840"/>
      <c r="L157" s="840"/>
      <c r="M157" s="840"/>
      <c r="N157" s="840"/>
      <c r="O157" s="840"/>
      <c r="P157" s="840"/>
      <c r="Q157" s="840"/>
      <c r="R157" s="840"/>
      <c r="S157" s="840"/>
      <c r="T157" s="840"/>
      <c r="U157" s="840"/>
      <c r="V157" s="840"/>
      <c r="W157" s="840"/>
      <c r="X157" s="840"/>
      <c r="Y157" s="840"/>
      <c r="Z157" s="840"/>
    </row>
    <row r="158" ht="15.75" customHeight="1">
      <c r="A158" s="840"/>
      <c r="B158" s="840"/>
      <c r="C158" s="840"/>
      <c r="D158" s="967"/>
      <c r="E158" s="840"/>
      <c r="F158" s="840"/>
      <c r="G158" s="840"/>
      <c r="H158" s="840"/>
      <c r="I158" s="840"/>
      <c r="J158" s="840"/>
      <c r="K158" s="840"/>
      <c r="L158" s="840"/>
      <c r="M158" s="840"/>
      <c r="N158" s="840"/>
      <c r="O158" s="840"/>
      <c r="P158" s="840"/>
      <c r="Q158" s="840"/>
      <c r="R158" s="840"/>
      <c r="S158" s="840"/>
      <c r="T158" s="840"/>
      <c r="U158" s="840"/>
      <c r="V158" s="840"/>
      <c r="W158" s="840"/>
      <c r="X158" s="840"/>
      <c r="Y158" s="840"/>
      <c r="Z158" s="840"/>
    </row>
    <row r="159" ht="15.75" customHeight="1">
      <c r="A159" s="840"/>
      <c r="B159" s="840"/>
      <c r="C159" s="840"/>
      <c r="D159" s="967"/>
      <c r="E159" s="840"/>
      <c r="F159" s="840"/>
      <c r="G159" s="840"/>
      <c r="H159" s="840"/>
      <c r="I159" s="840"/>
      <c r="J159" s="840"/>
      <c r="K159" s="840"/>
      <c r="L159" s="840"/>
      <c r="M159" s="840"/>
      <c r="N159" s="840"/>
      <c r="O159" s="840"/>
      <c r="P159" s="840"/>
      <c r="Q159" s="840"/>
      <c r="R159" s="840"/>
      <c r="S159" s="840"/>
      <c r="T159" s="840"/>
      <c r="U159" s="840"/>
      <c r="V159" s="840"/>
      <c r="W159" s="840"/>
      <c r="X159" s="840"/>
      <c r="Y159" s="840"/>
      <c r="Z159" s="840"/>
    </row>
    <row r="160" ht="15.75" customHeight="1">
      <c r="A160" s="840"/>
      <c r="B160" s="840"/>
      <c r="C160" s="840"/>
      <c r="D160" s="967"/>
      <c r="E160" s="840"/>
      <c r="F160" s="840"/>
      <c r="G160" s="840"/>
      <c r="H160" s="840"/>
      <c r="I160" s="840"/>
      <c r="J160" s="840"/>
      <c r="K160" s="840"/>
      <c r="L160" s="840"/>
      <c r="M160" s="840"/>
      <c r="N160" s="840"/>
      <c r="O160" s="840"/>
      <c r="P160" s="840"/>
      <c r="Q160" s="840"/>
      <c r="R160" s="840"/>
      <c r="S160" s="840"/>
      <c r="T160" s="840"/>
      <c r="U160" s="840"/>
      <c r="V160" s="840"/>
      <c r="W160" s="840"/>
      <c r="X160" s="840"/>
      <c r="Y160" s="840"/>
      <c r="Z160" s="840"/>
    </row>
    <row r="161" ht="15.75" customHeight="1">
      <c r="A161" s="840"/>
      <c r="B161" s="840"/>
      <c r="C161" s="840"/>
      <c r="D161" s="967"/>
      <c r="E161" s="840"/>
      <c r="F161" s="840"/>
      <c r="G161" s="840"/>
      <c r="H161" s="840"/>
      <c r="I161" s="840"/>
      <c r="J161" s="840"/>
      <c r="K161" s="840"/>
      <c r="L161" s="840"/>
      <c r="M161" s="840"/>
      <c r="N161" s="840"/>
      <c r="O161" s="840"/>
      <c r="P161" s="840"/>
      <c r="Q161" s="840"/>
      <c r="R161" s="840"/>
      <c r="S161" s="840"/>
      <c r="T161" s="840"/>
      <c r="U161" s="840"/>
      <c r="V161" s="840"/>
      <c r="W161" s="840"/>
      <c r="X161" s="840"/>
      <c r="Y161" s="840"/>
      <c r="Z161" s="840"/>
    </row>
    <row r="162" ht="15.75" customHeight="1">
      <c r="A162" s="840"/>
      <c r="B162" s="840"/>
      <c r="C162" s="840"/>
      <c r="D162" s="967"/>
      <c r="E162" s="840"/>
      <c r="F162" s="840"/>
      <c r="G162" s="840"/>
      <c r="H162" s="840"/>
      <c r="I162" s="840"/>
      <c r="J162" s="840"/>
      <c r="K162" s="840"/>
      <c r="L162" s="840"/>
      <c r="M162" s="840"/>
      <c r="N162" s="840"/>
      <c r="O162" s="840"/>
      <c r="P162" s="840"/>
      <c r="Q162" s="840"/>
      <c r="R162" s="840"/>
      <c r="S162" s="840"/>
      <c r="T162" s="840"/>
      <c r="U162" s="840"/>
      <c r="V162" s="840"/>
      <c r="W162" s="840"/>
      <c r="X162" s="840"/>
      <c r="Y162" s="840"/>
      <c r="Z162" s="840"/>
    </row>
    <row r="163" ht="15.75" customHeight="1">
      <c r="A163" s="840"/>
      <c r="B163" s="840"/>
      <c r="C163" s="840"/>
      <c r="D163" s="967"/>
      <c r="E163" s="840"/>
      <c r="F163" s="840"/>
      <c r="G163" s="840"/>
      <c r="H163" s="840"/>
      <c r="I163" s="840"/>
      <c r="J163" s="840"/>
      <c r="K163" s="840"/>
      <c r="L163" s="840"/>
      <c r="M163" s="840"/>
      <c r="N163" s="840"/>
      <c r="O163" s="840"/>
      <c r="P163" s="840"/>
      <c r="Q163" s="840"/>
      <c r="R163" s="840"/>
      <c r="S163" s="840"/>
      <c r="T163" s="840"/>
      <c r="U163" s="840"/>
      <c r="V163" s="840"/>
      <c r="W163" s="840"/>
      <c r="X163" s="840"/>
      <c r="Y163" s="840"/>
      <c r="Z163" s="840"/>
    </row>
    <row r="164" ht="15.75" customHeight="1">
      <c r="A164" s="840"/>
      <c r="B164" s="840"/>
      <c r="C164" s="840"/>
      <c r="D164" s="967"/>
      <c r="E164" s="840"/>
      <c r="F164" s="840"/>
      <c r="G164" s="840"/>
      <c r="H164" s="840"/>
      <c r="I164" s="840"/>
      <c r="J164" s="840"/>
      <c r="K164" s="840"/>
      <c r="L164" s="840"/>
      <c r="M164" s="840"/>
      <c r="N164" s="840"/>
      <c r="O164" s="840"/>
      <c r="P164" s="840"/>
      <c r="Q164" s="840"/>
      <c r="R164" s="840"/>
      <c r="S164" s="840"/>
      <c r="T164" s="840"/>
      <c r="U164" s="840"/>
      <c r="V164" s="840"/>
      <c r="W164" s="840"/>
      <c r="X164" s="840"/>
      <c r="Y164" s="840"/>
      <c r="Z164" s="840"/>
    </row>
    <row r="165" ht="15.75" customHeight="1">
      <c r="A165" s="840"/>
      <c r="B165" s="840"/>
      <c r="C165" s="840"/>
      <c r="D165" s="967"/>
      <c r="E165" s="840"/>
      <c r="F165" s="840"/>
      <c r="G165" s="840"/>
      <c r="H165" s="840"/>
      <c r="I165" s="840"/>
      <c r="J165" s="840"/>
      <c r="K165" s="840"/>
      <c r="L165" s="840"/>
      <c r="M165" s="840"/>
      <c r="N165" s="840"/>
      <c r="O165" s="840"/>
      <c r="P165" s="840"/>
      <c r="Q165" s="840"/>
      <c r="R165" s="840"/>
      <c r="S165" s="840"/>
      <c r="T165" s="840"/>
      <c r="U165" s="840"/>
      <c r="V165" s="840"/>
      <c r="W165" s="840"/>
      <c r="X165" s="840"/>
      <c r="Y165" s="840"/>
      <c r="Z165" s="840"/>
    </row>
    <row r="166" ht="15.75" customHeight="1">
      <c r="A166" s="840"/>
      <c r="B166" s="840"/>
      <c r="C166" s="840"/>
      <c r="D166" s="967"/>
      <c r="E166" s="840"/>
      <c r="F166" s="840"/>
      <c r="G166" s="840"/>
      <c r="H166" s="840"/>
      <c r="I166" s="840"/>
      <c r="J166" s="840"/>
      <c r="K166" s="840"/>
      <c r="L166" s="840"/>
      <c r="M166" s="840"/>
      <c r="N166" s="840"/>
      <c r="O166" s="840"/>
      <c r="P166" s="840"/>
      <c r="Q166" s="840"/>
      <c r="R166" s="840"/>
      <c r="S166" s="840"/>
      <c r="T166" s="840"/>
      <c r="U166" s="840"/>
      <c r="V166" s="840"/>
      <c r="W166" s="840"/>
      <c r="X166" s="840"/>
      <c r="Y166" s="840"/>
      <c r="Z166" s="840"/>
    </row>
    <row r="167" ht="15.75" customHeight="1">
      <c r="A167" s="840"/>
      <c r="B167" s="840"/>
      <c r="C167" s="840"/>
      <c r="D167" s="967"/>
      <c r="E167" s="840"/>
      <c r="F167" s="840"/>
      <c r="G167" s="840"/>
      <c r="H167" s="840"/>
      <c r="I167" s="840"/>
      <c r="J167" s="840"/>
      <c r="K167" s="840"/>
      <c r="L167" s="840"/>
      <c r="M167" s="840"/>
      <c r="N167" s="840"/>
      <c r="O167" s="840"/>
      <c r="P167" s="840"/>
      <c r="Q167" s="840"/>
      <c r="R167" s="840"/>
      <c r="S167" s="840"/>
      <c r="T167" s="840"/>
      <c r="U167" s="840"/>
      <c r="V167" s="840"/>
      <c r="W167" s="840"/>
      <c r="X167" s="840"/>
      <c r="Y167" s="840"/>
      <c r="Z167" s="840"/>
    </row>
    <row r="168" ht="15.75" customHeight="1">
      <c r="A168" s="840"/>
      <c r="B168" s="840"/>
      <c r="C168" s="840"/>
      <c r="D168" s="967"/>
      <c r="E168" s="840"/>
      <c r="F168" s="840"/>
      <c r="G168" s="840"/>
      <c r="H168" s="840"/>
      <c r="I168" s="840"/>
      <c r="J168" s="840"/>
      <c r="K168" s="840"/>
      <c r="L168" s="840"/>
      <c r="M168" s="840"/>
      <c r="N168" s="840"/>
      <c r="O168" s="840"/>
      <c r="P168" s="840"/>
      <c r="Q168" s="840"/>
      <c r="R168" s="840"/>
      <c r="S168" s="840"/>
      <c r="T168" s="840"/>
      <c r="U168" s="840"/>
      <c r="V168" s="840"/>
      <c r="W168" s="840"/>
      <c r="X168" s="840"/>
      <c r="Y168" s="840"/>
      <c r="Z168" s="840"/>
    </row>
    <row r="169" ht="15.75" customHeight="1">
      <c r="A169" s="840"/>
      <c r="B169" s="840"/>
      <c r="C169" s="840"/>
      <c r="D169" s="967"/>
      <c r="E169" s="840"/>
      <c r="F169" s="840"/>
      <c r="G169" s="840"/>
      <c r="H169" s="840"/>
      <c r="I169" s="840"/>
      <c r="J169" s="840"/>
      <c r="K169" s="840"/>
      <c r="L169" s="840"/>
      <c r="M169" s="840"/>
      <c r="N169" s="840"/>
      <c r="O169" s="840"/>
      <c r="P169" s="840"/>
      <c r="Q169" s="840"/>
      <c r="R169" s="840"/>
      <c r="S169" s="840"/>
      <c r="T169" s="840"/>
      <c r="U169" s="840"/>
      <c r="V169" s="840"/>
      <c r="W169" s="840"/>
      <c r="X169" s="840"/>
      <c r="Y169" s="840"/>
      <c r="Z169" s="840"/>
    </row>
    <row r="170" ht="15.75" customHeight="1">
      <c r="A170" s="840"/>
      <c r="B170" s="840"/>
      <c r="C170" s="840"/>
      <c r="D170" s="967"/>
      <c r="E170" s="840"/>
      <c r="F170" s="840"/>
      <c r="G170" s="840"/>
      <c r="H170" s="840"/>
      <c r="I170" s="840"/>
      <c r="J170" s="840"/>
      <c r="K170" s="840"/>
      <c r="L170" s="840"/>
      <c r="M170" s="840"/>
      <c r="N170" s="840"/>
      <c r="O170" s="840"/>
      <c r="P170" s="840"/>
      <c r="Q170" s="840"/>
      <c r="R170" s="840"/>
      <c r="S170" s="840"/>
      <c r="T170" s="840"/>
      <c r="U170" s="840"/>
      <c r="V170" s="840"/>
      <c r="W170" s="840"/>
      <c r="X170" s="840"/>
      <c r="Y170" s="840"/>
      <c r="Z170" s="840"/>
    </row>
    <row r="171" ht="15.75" customHeight="1">
      <c r="A171" s="840"/>
      <c r="B171" s="840"/>
      <c r="C171" s="840"/>
      <c r="D171" s="967"/>
      <c r="E171" s="840"/>
      <c r="F171" s="840"/>
      <c r="G171" s="840"/>
      <c r="H171" s="840"/>
      <c r="I171" s="840"/>
      <c r="J171" s="840"/>
      <c r="K171" s="840"/>
      <c r="L171" s="840"/>
      <c r="M171" s="840"/>
      <c r="N171" s="840"/>
      <c r="O171" s="840"/>
      <c r="P171" s="840"/>
      <c r="Q171" s="840"/>
      <c r="R171" s="840"/>
      <c r="S171" s="840"/>
      <c r="T171" s="840"/>
      <c r="U171" s="840"/>
      <c r="V171" s="840"/>
      <c r="W171" s="840"/>
      <c r="X171" s="840"/>
      <c r="Y171" s="840"/>
      <c r="Z171" s="840"/>
    </row>
    <row r="172" ht="15.75" customHeight="1">
      <c r="A172" s="840"/>
      <c r="B172" s="840"/>
      <c r="C172" s="840"/>
      <c r="D172" s="967"/>
      <c r="E172" s="840"/>
      <c r="F172" s="840"/>
      <c r="G172" s="840"/>
      <c r="H172" s="840"/>
      <c r="I172" s="840"/>
      <c r="J172" s="840"/>
      <c r="K172" s="840"/>
      <c r="L172" s="840"/>
      <c r="M172" s="840"/>
      <c r="N172" s="840"/>
      <c r="O172" s="840"/>
      <c r="P172" s="840"/>
      <c r="Q172" s="840"/>
      <c r="R172" s="840"/>
      <c r="S172" s="840"/>
      <c r="T172" s="840"/>
      <c r="U172" s="840"/>
      <c r="V172" s="840"/>
      <c r="W172" s="840"/>
      <c r="X172" s="840"/>
      <c r="Y172" s="840"/>
      <c r="Z172" s="840"/>
    </row>
    <row r="173" ht="15.75" customHeight="1">
      <c r="A173" s="840"/>
      <c r="B173" s="840"/>
      <c r="C173" s="840"/>
      <c r="D173" s="967"/>
      <c r="E173" s="840"/>
      <c r="F173" s="840"/>
      <c r="G173" s="840"/>
      <c r="H173" s="840"/>
      <c r="I173" s="840"/>
      <c r="J173" s="840"/>
      <c r="K173" s="840"/>
      <c r="L173" s="840"/>
      <c r="M173" s="840"/>
      <c r="N173" s="840"/>
      <c r="O173" s="840"/>
      <c r="P173" s="840"/>
      <c r="Q173" s="840"/>
      <c r="R173" s="840"/>
      <c r="S173" s="840"/>
      <c r="T173" s="840"/>
      <c r="U173" s="840"/>
      <c r="V173" s="840"/>
      <c r="W173" s="840"/>
      <c r="X173" s="840"/>
      <c r="Y173" s="840"/>
      <c r="Z173" s="840"/>
    </row>
    <row r="174" ht="15.75" customHeight="1">
      <c r="A174" s="840"/>
      <c r="B174" s="840"/>
      <c r="C174" s="840"/>
      <c r="D174" s="967"/>
      <c r="E174" s="840"/>
      <c r="F174" s="840"/>
      <c r="G174" s="840"/>
      <c r="H174" s="840"/>
      <c r="I174" s="840"/>
      <c r="J174" s="840"/>
      <c r="K174" s="840"/>
      <c r="L174" s="840"/>
      <c r="M174" s="840"/>
      <c r="N174" s="840"/>
      <c r="O174" s="840"/>
      <c r="P174" s="840"/>
      <c r="Q174" s="840"/>
      <c r="R174" s="840"/>
      <c r="S174" s="840"/>
      <c r="T174" s="840"/>
      <c r="U174" s="840"/>
      <c r="V174" s="840"/>
      <c r="W174" s="840"/>
      <c r="X174" s="840"/>
      <c r="Y174" s="840"/>
      <c r="Z174" s="840"/>
    </row>
    <row r="175" ht="15.75" customHeight="1">
      <c r="A175" s="840"/>
      <c r="B175" s="840"/>
      <c r="C175" s="840"/>
      <c r="D175" s="967"/>
      <c r="E175" s="840"/>
      <c r="F175" s="840"/>
      <c r="G175" s="840"/>
      <c r="H175" s="840"/>
      <c r="I175" s="840"/>
      <c r="J175" s="840"/>
      <c r="K175" s="840"/>
      <c r="L175" s="840"/>
      <c r="M175" s="840"/>
      <c r="N175" s="840"/>
      <c r="O175" s="840"/>
      <c r="P175" s="840"/>
      <c r="Q175" s="840"/>
      <c r="R175" s="840"/>
      <c r="S175" s="840"/>
      <c r="T175" s="840"/>
      <c r="U175" s="840"/>
      <c r="V175" s="840"/>
      <c r="W175" s="840"/>
      <c r="X175" s="840"/>
      <c r="Y175" s="840"/>
      <c r="Z175" s="840"/>
    </row>
    <row r="176" ht="15.75" customHeight="1">
      <c r="A176" s="840"/>
      <c r="B176" s="840"/>
      <c r="C176" s="840"/>
      <c r="D176" s="967"/>
      <c r="E176" s="840"/>
      <c r="F176" s="840"/>
      <c r="G176" s="840"/>
      <c r="H176" s="840"/>
      <c r="I176" s="840"/>
      <c r="J176" s="840"/>
      <c r="K176" s="840"/>
      <c r="L176" s="840"/>
      <c r="M176" s="840"/>
      <c r="N176" s="840"/>
      <c r="O176" s="840"/>
      <c r="P176" s="840"/>
      <c r="Q176" s="840"/>
      <c r="R176" s="840"/>
      <c r="S176" s="840"/>
      <c r="T176" s="840"/>
      <c r="U176" s="840"/>
      <c r="V176" s="840"/>
      <c r="W176" s="840"/>
      <c r="X176" s="840"/>
      <c r="Y176" s="840"/>
      <c r="Z176" s="840"/>
    </row>
    <row r="177" ht="15.75" customHeight="1">
      <c r="A177" s="840"/>
      <c r="B177" s="840"/>
      <c r="C177" s="840"/>
      <c r="D177" s="967"/>
      <c r="E177" s="840"/>
      <c r="F177" s="840"/>
      <c r="G177" s="840"/>
      <c r="H177" s="840"/>
      <c r="I177" s="840"/>
      <c r="J177" s="840"/>
      <c r="K177" s="840"/>
      <c r="L177" s="840"/>
      <c r="M177" s="840"/>
      <c r="N177" s="840"/>
      <c r="O177" s="840"/>
      <c r="P177" s="840"/>
      <c r="Q177" s="840"/>
      <c r="R177" s="840"/>
      <c r="S177" s="840"/>
      <c r="T177" s="840"/>
      <c r="U177" s="840"/>
      <c r="V177" s="840"/>
      <c r="W177" s="840"/>
      <c r="X177" s="840"/>
      <c r="Y177" s="840"/>
      <c r="Z177" s="840"/>
    </row>
    <row r="178" ht="15.75" customHeight="1">
      <c r="A178" s="840"/>
      <c r="B178" s="840"/>
      <c r="C178" s="840"/>
      <c r="D178" s="967"/>
      <c r="E178" s="840"/>
      <c r="F178" s="840"/>
      <c r="G178" s="840"/>
      <c r="H178" s="840"/>
      <c r="I178" s="840"/>
      <c r="J178" s="840"/>
      <c r="K178" s="840"/>
      <c r="L178" s="840"/>
      <c r="M178" s="840"/>
      <c r="N178" s="840"/>
      <c r="O178" s="840"/>
      <c r="P178" s="840"/>
      <c r="Q178" s="840"/>
      <c r="R178" s="840"/>
      <c r="S178" s="840"/>
      <c r="T178" s="840"/>
      <c r="U178" s="840"/>
      <c r="V178" s="840"/>
      <c r="W178" s="840"/>
      <c r="X178" s="840"/>
      <c r="Y178" s="840"/>
      <c r="Z178" s="840"/>
    </row>
    <row r="179" ht="15.75" customHeight="1">
      <c r="A179" s="840"/>
      <c r="B179" s="840"/>
      <c r="C179" s="840"/>
      <c r="D179" s="967"/>
      <c r="E179" s="840"/>
      <c r="F179" s="840"/>
      <c r="G179" s="840"/>
      <c r="H179" s="840"/>
      <c r="I179" s="840"/>
      <c r="J179" s="840"/>
      <c r="K179" s="840"/>
      <c r="L179" s="840"/>
      <c r="M179" s="840"/>
      <c r="N179" s="840"/>
      <c r="O179" s="840"/>
      <c r="P179" s="840"/>
      <c r="Q179" s="840"/>
      <c r="R179" s="840"/>
      <c r="S179" s="840"/>
      <c r="T179" s="840"/>
      <c r="U179" s="840"/>
      <c r="V179" s="840"/>
      <c r="W179" s="840"/>
      <c r="X179" s="840"/>
      <c r="Y179" s="840"/>
      <c r="Z179" s="840"/>
    </row>
    <row r="180" ht="15.75" customHeight="1">
      <c r="A180" s="840"/>
      <c r="B180" s="840"/>
      <c r="C180" s="840"/>
      <c r="D180" s="967"/>
      <c r="E180" s="840"/>
      <c r="F180" s="840"/>
      <c r="G180" s="840"/>
      <c r="H180" s="840"/>
      <c r="I180" s="840"/>
      <c r="J180" s="840"/>
      <c r="K180" s="840"/>
      <c r="L180" s="840"/>
      <c r="M180" s="840"/>
      <c r="N180" s="840"/>
      <c r="O180" s="840"/>
      <c r="P180" s="840"/>
      <c r="Q180" s="840"/>
      <c r="R180" s="840"/>
      <c r="S180" s="840"/>
      <c r="T180" s="840"/>
      <c r="U180" s="840"/>
      <c r="V180" s="840"/>
      <c r="W180" s="840"/>
      <c r="X180" s="840"/>
      <c r="Y180" s="840"/>
      <c r="Z180" s="840"/>
    </row>
    <row r="181" ht="15.75" customHeight="1">
      <c r="A181" s="840"/>
      <c r="B181" s="840"/>
      <c r="C181" s="840"/>
      <c r="D181" s="967"/>
      <c r="E181" s="840"/>
      <c r="F181" s="840"/>
      <c r="G181" s="840"/>
      <c r="H181" s="840"/>
      <c r="I181" s="840"/>
      <c r="J181" s="840"/>
      <c r="K181" s="840"/>
      <c r="L181" s="840"/>
      <c r="M181" s="840"/>
      <c r="N181" s="840"/>
      <c r="O181" s="840"/>
      <c r="P181" s="840"/>
      <c r="Q181" s="840"/>
      <c r="R181" s="840"/>
      <c r="S181" s="840"/>
      <c r="T181" s="840"/>
      <c r="U181" s="840"/>
      <c r="V181" s="840"/>
      <c r="W181" s="840"/>
      <c r="X181" s="840"/>
      <c r="Y181" s="840"/>
      <c r="Z181" s="840"/>
    </row>
    <row r="182" ht="15.75" customHeight="1">
      <c r="A182" s="840"/>
      <c r="B182" s="840"/>
      <c r="C182" s="840"/>
      <c r="D182" s="967"/>
      <c r="E182" s="840"/>
      <c r="F182" s="840"/>
      <c r="G182" s="840"/>
      <c r="H182" s="840"/>
      <c r="I182" s="840"/>
      <c r="J182" s="840"/>
      <c r="K182" s="840"/>
      <c r="L182" s="840"/>
      <c r="M182" s="840"/>
      <c r="N182" s="840"/>
      <c r="O182" s="840"/>
      <c r="P182" s="840"/>
      <c r="Q182" s="840"/>
      <c r="R182" s="840"/>
      <c r="S182" s="840"/>
      <c r="T182" s="840"/>
      <c r="U182" s="840"/>
      <c r="V182" s="840"/>
      <c r="W182" s="840"/>
      <c r="X182" s="840"/>
      <c r="Y182" s="840"/>
      <c r="Z182" s="840"/>
    </row>
    <row r="183" ht="15.75" customHeight="1">
      <c r="A183" s="840"/>
      <c r="B183" s="840"/>
      <c r="C183" s="840"/>
      <c r="D183" s="967"/>
      <c r="E183" s="840"/>
      <c r="F183" s="840"/>
      <c r="G183" s="840"/>
      <c r="H183" s="840"/>
      <c r="I183" s="840"/>
      <c r="J183" s="840"/>
      <c r="K183" s="840"/>
      <c r="L183" s="840"/>
      <c r="M183" s="840"/>
      <c r="N183" s="840"/>
      <c r="O183" s="840"/>
      <c r="P183" s="840"/>
      <c r="Q183" s="840"/>
      <c r="R183" s="840"/>
      <c r="S183" s="840"/>
      <c r="T183" s="840"/>
      <c r="U183" s="840"/>
      <c r="V183" s="840"/>
      <c r="W183" s="840"/>
      <c r="X183" s="840"/>
      <c r="Y183" s="840"/>
      <c r="Z183" s="840"/>
    </row>
    <row r="184" ht="15.75" customHeight="1">
      <c r="A184" s="840"/>
      <c r="B184" s="840"/>
      <c r="C184" s="840"/>
      <c r="D184" s="967"/>
      <c r="E184" s="840"/>
      <c r="F184" s="840"/>
      <c r="G184" s="840"/>
      <c r="H184" s="840"/>
      <c r="I184" s="840"/>
      <c r="J184" s="840"/>
      <c r="K184" s="840"/>
      <c r="L184" s="840"/>
      <c r="M184" s="840"/>
      <c r="N184" s="840"/>
      <c r="O184" s="840"/>
      <c r="P184" s="840"/>
      <c r="Q184" s="840"/>
      <c r="R184" s="840"/>
      <c r="S184" s="840"/>
      <c r="T184" s="840"/>
      <c r="U184" s="840"/>
      <c r="V184" s="840"/>
      <c r="W184" s="840"/>
      <c r="X184" s="840"/>
      <c r="Y184" s="840"/>
      <c r="Z184" s="840"/>
    </row>
    <row r="185" ht="15.75" customHeight="1">
      <c r="A185" s="840"/>
      <c r="B185" s="840"/>
      <c r="C185" s="840"/>
      <c r="D185" s="967"/>
      <c r="E185" s="840"/>
      <c r="F185" s="840"/>
      <c r="G185" s="840"/>
      <c r="H185" s="840"/>
      <c r="I185" s="840"/>
      <c r="J185" s="840"/>
      <c r="K185" s="840"/>
      <c r="L185" s="840"/>
      <c r="M185" s="840"/>
      <c r="N185" s="840"/>
      <c r="O185" s="840"/>
      <c r="P185" s="840"/>
      <c r="Q185" s="840"/>
      <c r="R185" s="840"/>
      <c r="S185" s="840"/>
      <c r="T185" s="840"/>
      <c r="U185" s="840"/>
      <c r="V185" s="840"/>
      <c r="W185" s="840"/>
      <c r="X185" s="840"/>
      <c r="Y185" s="840"/>
      <c r="Z185" s="840"/>
    </row>
    <row r="186" ht="15.75" customHeight="1">
      <c r="A186" s="840"/>
      <c r="B186" s="840"/>
      <c r="C186" s="840"/>
      <c r="D186" s="967"/>
      <c r="E186" s="840"/>
      <c r="F186" s="840"/>
      <c r="G186" s="840"/>
      <c r="H186" s="840"/>
      <c r="I186" s="840"/>
      <c r="J186" s="840"/>
      <c r="K186" s="840"/>
      <c r="L186" s="840"/>
      <c r="M186" s="840"/>
      <c r="N186" s="840"/>
      <c r="O186" s="840"/>
      <c r="P186" s="840"/>
      <c r="Q186" s="840"/>
      <c r="R186" s="840"/>
      <c r="S186" s="840"/>
      <c r="T186" s="840"/>
      <c r="U186" s="840"/>
      <c r="V186" s="840"/>
      <c r="W186" s="840"/>
      <c r="X186" s="840"/>
      <c r="Y186" s="840"/>
      <c r="Z186" s="840"/>
    </row>
    <row r="187" ht="15.75" customHeight="1">
      <c r="A187" s="840"/>
      <c r="B187" s="840"/>
      <c r="C187" s="840"/>
      <c r="D187" s="967"/>
      <c r="E187" s="840"/>
      <c r="F187" s="840"/>
      <c r="G187" s="840"/>
      <c r="H187" s="840"/>
      <c r="I187" s="840"/>
      <c r="J187" s="840"/>
      <c r="K187" s="840"/>
      <c r="L187" s="840"/>
      <c r="M187" s="840"/>
      <c r="N187" s="840"/>
      <c r="O187" s="840"/>
      <c r="P187" s="840"/>
      <c r="Q187" s="840"/>
      <c r="R187" s="840"/>
      <c r="S187" s="840"/>
      <c r="T187" s="840"/>
      <c r="U187" s="840"/>
      <c r="V187" s="840"/>
      <c r="W187" s="840"/>
      <c r="X187" s="840"/>
      <c r="Y187" s="840"/>
      <c r="Z187" s="840"/>
    </row>
    <row r="188" ht="15.75" customHeight="1">
      <c r="A188" s="840"/>
      <c r="B188" s="840"/>
      <c r="C188" s="840"/>
      <c r="D188" s="967"/>
      <c r="E188" s="840"/>
      <c r="F188" s="840"/>
      <c r="G188" s="840"/>
      <c r="H188" s="840"/>
      <c r="I188" s="840"/>
      <c r="J188" s="840"/>
      <c r="K188" s="840"/>
      <c r="L188" s="840"/>
      <c r="M188" s="840"/>
      <c r="N188" s="840"/>
      <c r="O188" s="840"/>
      <c r="P188" s="840"/>
      <c r="Q188" s="840"/>
      <c r="R188" s="840"/>
      <c r="S188" s="840"/>
      <c r="T188" s="840"/>
      <c r="U188" s="840"/>
      <c r="V188" s="840"/>
      <c r="W188" s="840"/>
      <c r="X188" s="840"/>
      <c r="Y188" s="840"/>
      <c r="Z188" s="840"/>
    </row>
    <row r="189" ht="15.75" customHeight="1">
      <c r="A189" s="840"/>
      <c r="B189" s="840"/>
      <c r="C189" s="840"/>
      <c r="D189" s="967"/>
      <c r="E189" s="840"/>
      <c r="F189" s="840"/>
      <c r="G189" s="840"/>
      <c r="H189" s="840"/>
      <c r="I189" s="840"/>
      <c r="J189" s="840"/>
      <c r="K189" s="840"/>
      <c r="L189" s="840"/>
      <c r="M189" s="840"/>
      <c r="N189" s="840"/>
      <c r="O189" s="840"/>
      <c r="P189" s="840"/>
      <c r="Q189" s="840"/>
      <c r="R189" s="840"/>
      <c r="S189" s="840"/>
      <c r="T189" s="840"/>
      <c r="U189" s="840"/>
      <c r="V189" s="840"/>
      <c r="W189" s="840"/>
      <c r="X189" s="840"/>
      <c r="Y189" s="840"/>
      <c r="Z189" s="840"/>
    </row>
    <row r="190" ht="15.75" customHeight="1">
      <c r="A190" s="840"/>
      <c r="B190" s="840"/>
      <c r="C190" s="840"/>
      <c r="D190" s="967"/>
      <c r="E190" s="840"/>
      <c r="F190" s="840"/>
      <c r="G190" s="840"/>
      <c r="H190" s="840"/>
      <c r="I190" s="840"/>
      <c r="J190" s="840"/>
      <c r="K190" s="840"/>
      <c r="L190" s="840"/>
      <c r="M190" s="840"/>
      <c r="N190" s="840"/>
      <c r="O190" s="840"/>
      <c r="P190" s="840"/>
      <c r="Q190" s="840"/>
      <c r="R190" s="840"/>
      <c r="S190" s="840"/>
      <c r="T190" s="840"/>
      <c r="U190" s="840"/>
      <c r="V190" s="840"/>
      <c r="W190" s="840"/>
      <c r="X190" s="840"/>
      <c r="Y190" s="840"/>
      <c r="Z190" s="840"/>
    </row>
    <row r="191" ht="15.75" customHeight="1">
      <c r="A191" s="840"/>
      <c r="B191" s="840"/>
      <c r="C191" s="840"/>
      <c r="D191" s="967"/>
      <c r="E191" s="840"/>
      <c r="F191" s="840"/>
      <c r="G191" s="840"/>
      <c r="H191" s="840"/>
      <c r="I191" s="840"/>
      <c r="J191" s="840"/>
      <c r="K191" s="840"/>
      <c r="L191" s="840"/>
      <c r="M191" s="840"/>
      <c r="N191" s="840"/>
      <c r="O191" s="840"/>
      <c r="P191" s="840"/>
      <c r="Q191" s="840"/>
      <c r="R191" s="840"/>
      <c r="S191" s="840"/>
      <c r="T191" s="840"/>
      <c r="U191" s="840"/>
      <c r="V191" s="840"/>
      <c r="W191" s="840"/>
      <c r="X191" s="840"/>
      <c r="Y191" s="840"/>
      <c r="Z191" s="840"/>
    </row>
    <row r="192" ht="15.75" customHeight="1">
      <c r="A192" s="840"/>
      <c r="B192" s="840"/>
      <c r="C192" s="840"/>
      <c r="D192" s="967"/>
      <c r="E192" s="840"/>
      <c r="F192" s="840"/>
      <c r="G192" s="840"/>
      <c r="H192" s="840"/>
      <c r="I192" s="840"/>
      <c r="J192" s="840"/>
      <c r="K192" s="840"/>
      <c r="L192" s="840"/>
      <c r="M192" s="840"/>
      <c r="N192" s="840"/>
      <c r="O192" s="840"/>
      <c r="P192" s="840"/>
      <c r="Q192" s="840"/>
      <c r="R192" s="840"/>
      <c r="S192" s="840"/>
      <c r="T192" s="840"/>
      <c r="U192" s="840"/>
      <c r="V192" s="840"/>
      <c r="W192" s="840"/>
      <c r="X192" s="840"/>
      <c r="Y192" s="840"/>
      <c r="Z192" s="840"/>
    </row>
    <row r="193" ht="15.75" customHeight="1">
      <c r="A193" s="840"/>
      <c r="B193" s="840"/>
      <c r="C193" s="840"/>
      <c r="D193" s="967"/>
      <c r="E193" s="840"/>
      <c r="F193" s="840"/>
      <c r="G193" s="840"/>
      <c r="H193" s="840"/>
      <c r="I193" s="840"/>
      <c r="J193" s="840"/>
      <c r="K193" s="840"/>
      <c r="L193" s="840"/>
      <c r="M193" s="840"/>
      <c r="N193" s="840"/>
      <c r="O193" s="840"/>
      <c r="P193" s="840"/>
      <c r="Q193" s="840"/>
      <c r="R193" s="840"/>
      <c r="S193" s="840"/>
      <c r="T193" s="840"/>
      <c r="U193" s="840"/>
      <c r="V193" s="840"/>
      <c r="W193" s="840"/>
      <c r="X193" s="840"/>
      <c r="Y193" s="840"/>
      <c r="Z193" s="840"/>
    </row>
    <row r="194" ht="15.75" customHeight="1">
      <c r="A194" s="840"/>
      <c r="B194" s="840"/>
      <c r="C194" s="840"/>
      <c r="D194" s="967"/>
      <c r="E194" s="840"/>
      <c r="F194" s="840"/>
      <c r="G194" s="840"/>
      <c r="H194" s="840"/>
      <c r="I194" s="840"/>
      <c r="J194" s="840"/>
      <c r="K194" s="840"/>
      <c r="L194" s="840"/>
      <c r="M194" s="840"/>
      <c r="N194" s="840"/>
      <c r="O194" s="840"/>
      <c r="P194" s="840"/>
      <c r="Q194" s="840"/>
      <c r="R194" s="840"/>
      <c r="S194" s="840"/>
      <c r="T194" s="840"/>
      <c r="U194" s="840"/>
      <c r="V194" s="840"/>
      <c r="W194" s="840"/>
      <c r="X194" s="840"/>
      <c r="Y194" s="840"/>
      <c r="Z194" s="840"/>
    </row>
    <row r="195" ht="15.75" customHeight="1">
      <c r="A195" s="840"/>
      <c r="B195" s="840"/>
      <c r="C195" s="840"/>
      <c r="D195" s="967"/>
      <c r="E195" s="840"/>
      <c r="F195" s="840"/>
      <c r="G195" s="840"/>
      <c r="H195" s="840"/>
      <c r="I195" s="840"/>
      <c r="J195" s="840"/>
      <c r="K195" s="840"/>
      <c r="L195" s="840"/>
      <c r="M195" s="840"/>
      <c r="N195" s="840"/>
      <c r="O195" s="840"/>
      <c r="P195" s="840"/>
      <c r="Q195" s="840"/>
      <c r="R195" s="840"/>
      <c r="S195" s="840"/>
      <c r="T195" s="840"/>
      <c r="U195" s="840"/>
      <c r="V195" s="840"/>
      <c r="W195" s="840"/>
      <c r="X195" s="840"/>
      <c r="Y195" s="840"/>
      <c r="Z195" s="840"/>
    </row>
    <row r="196" ht="15.75" customHeight="1">
      <c r="A196" s="840"/>
      <c r="B196" s="840"/>
      <c r="C196" s="840"/>
      <c r="D196" s="967"/>
      <c r="E196" s="840"/>
      <c r="F196" s="840"/>
      <c r="G196" s="840"/>
      <c r="H196" s="840"/>
      <c r="I196" s="840"/>
      <c r="J196" s="840"/>
      <c r="K196" s="840"/>
      <c r="L196" s="840"/>
      <c r="M196" s="840"/>
      <c r="N196" s="840"/>
      <c r="O196" s="840"/>
      <c r="P196" s="840"/>
      <c r="Q196" s="840"/>
      <c r="R196" s="840"/>
      <c r="S196" s="840"/>
      <c r="T196" s="840"/>
      <c r="U196" s="840"/>
      <c r="V196" s="840"/>
      <c r="W196" s="840"/>
      <c r="X196" s="840"/>
      <c r="Y196" s="840"/>
      <c r="Z196" s="840"/>
    </row>
    <row r="197" ht="15.75" customHeight="1">
      <c r="A197" s="840"/>
      <c r="B197" s="840"/>
      <c r="C197" s="840"/>
      <c r="D197" s="967"/>
      <c r="E197" s="840"/>
      <c r="F197" s="840"/>
      <c r="G197" s="840"/>
      <c r="H197" s="840"/>
      <c r="I197" s="840"/>
      <c r="J197" s="840"/>
      <c r="K197" s="840"/>
      <c r="L197" s="840"/>
      <c r="M197" s="840"/>
      <c r="N197" s="840"/>
      <c r="O197" s="840"/>
      <c r="P197" s="840"/>
      <c r="Q197" s="840"/>
      <c r="R197" s="840"/>
      <c r="S197" s="840"/>
      <c r="T197" s="840"/>
      <c r="U197" s="840"/>
      <c r="V197" s="840"/>
      <c r="W197" s="840"/>
      <c r="X197" s="840"/>
      <c r="Y197" s="840"/>
      <c r="Z197" s="840"/>
    </row>
    <row r="198" ht="15.75" customHeight="1">
      <c r="A198" s="840"/>
      <c r="B198" s="840"/>
      <c r="C198" s="840"/>
      <c r="D198" s="967"/>
      <c r="E198" s="840"/>
      <c r="F198" s="840"/>
      <c r="G198" s="840"/>
      <c r="H198" s="840"/>
      <c r="I198" s="840"/>
      <c r="J198" s="840"/>
      <c r="K198" s="840"/>
      <c r="L198" s="840"/>
      <c r="M198" s="840"/>
      <c r="N198" s="840"/>
      <c r="O198" s="840"/>
      <c r="P198" s="840"/>
      <c r="Q198" s="840"/>
      <c r="R198" s="840"/>
      <c r="S198" s="840"/>
      <c r="T198" s="840"/>
      <c r="U198" s="840"/>
      <c r="V198" s="840"/>
      <c r="W198" s="840"/>
      <c r="X198" s="840"/>
      <c r="Y198" s="840"/>
      <c r="Z198" s="840"/>
    </row>
    <row r="199" ht="15.75" customHeight="1">
      <c r="A199" s="840"/>
      <c r="B199" s="840"/>
      <c r="C199" s="840"/>
      <c r="D199" s="967"/>
      <c r="E199" s="840"/>
      <c r="F199" s="840"/>
      <c r="G199" s="840"/>
      <c r="H199" s="840"/>
      <c r="I199" s="840"/>
      <c r="J199" s="840"/>
      <c r="K199" s="840"/>
      <c r="L199" s="840"/>
      <c r="M199" s="840"/>
      <c r="N199" s="840"/>
      <c r="O199" s="840"/>
      <c r="P199" s="840"/>
      <c r="Q199" s="840"/>
      <c r="R199" s="840"/>
      <c r="S199" s="840"/>
      <c r="T199" s="840"/>
      <c r="U199" s="840"/>
      <c r="V199" s="840"/>
      <c r="W199" s="840"/>
      <c r="X199" s="840"/>
      <c r="Y199" s="840"/>
      <c r="Z199" s="840"/>
    </row>
    <row r="200" ht="15.75" customHeight="1">
      <c r="A200" s="840"/>
      <c r="B200" s="840"/>
      <c r="C200" s="840"/>
      <c r="D200" s="967"/>
      <c r="E200" s="840"/>
      <c r="F200" s="840"/>
      <c r="G200" s="840"/>
      <c r="H200" s="840"/>
      <c r="I200" s="840"/>
      <c r="J200" s="840"/>
      <c r="K200" s="840"/>
      <c r="L200" s="840"/>
      <c r="M200" s="840"/>
      <c r="N200" s="840"/>
      <c r="O200" s="840"/>
      <c r="P200" s="840"/>
      <c r="Q200" s="840"/>
      <c r="R200" s="840"/>
      <c r="S200" s="840"/>
      <c r="T200" s="840"/>
      <c r="U200" s="840"/>
      <c r="V200" s="840"/>
      <c r="W200" s="840"/>
      <c r="X200" s="840"/>
      <c r="Y200" s="840"/>
      <c r="Z200" s="840"/>
    </row>
    <row r="201" ht="15.75" customHeight="1">
      <c r="A201" s="840"/>
      <c r="B201" s="840"/>
      <c r="C201" s="840"/>
      <c r="D201" s="967"/>
      <c r="E201" s="840"/>
      <c r="F201" s="840"/>
      <c r="G201" s="840"/>
      <c r="H201" s="840"/>
      <c r="I201" s="840"/>
      <c r="J201" s="840"/>
      <c r="K201" s="840"/>
      <c r="L201" s="840"/>
      <c r="M201" s="840"/>
      <c r="N201" s="840"/>
      <c r="O201" s="840"/>
      <c r="P201" s="840"/>
      <c r="Q201" s="840"/>
      <c r="R201" s="840"/>
      <c r="S201" s="840"/>
      <c r="T201" s="840"/>
      <c r="U201" s="840"/>
      <c r="V201" s="840"/>
      <c r="W201" s="840"/>
      <c r="X201" s="840"/>
      <c r="Y201" s="840"/>
      <c r="Z201" s="840"/>
    </row>
    <row r="202" ht="15.75" customHeight="1">
      <c r="A202" s="840"/>
      <c r="B202" s="840"/>
      <c r="C202" s="840"/>
      <c r="D202" s="967"/>
      <c r="E202" s="840"/>
      <c r="F202" s="840"/>
      <c r="G202" s="840"/>
      <c r="H202" s="840"/>
      <c r="I202" s="840"/>
      <c r="J202" s="840"/>
      <c r="K202" s="840"/>
      <c r="L202" s="840"/>
      <c r="M202" s="840"/>
      <c r="N202" s="840"/>
      <c r="O202" s="840"/>
      <c r="P202" s="840"/>
      <c r="Q202" s="840"/>
      <c r="R202" s="840"/>
      <c r="S202" s="840"/>
      <c r="T202" s="840"/>
      <c r="U202" s="840"/>
      <c r="V202" s="840"/>
      <c r="W202" s="840"/>
      <c r="X202" s="840"/>
      <c r="Y202" s="840"/>
      <c r="Z202" s="840"/>
    </row>
    <row r="203" ht="15.75" customHeight="1">
      <c r="A203" s="840"/>
      <c r="B203" s="840"/>
      <c r="C203" s="840"/>
      <c r="D203" s="967"/>
      <c r="E203" s="840"/>
      <c r="F203" s="840"/>
      <c r="G203" s="840"/>
      <c r="H203" s="840"/>
      <c r="I203" s="840"/>
      <c r="J203" s="840"/>
      <c r="K203" s="840"/>
      <c r="L203" s="840"/>
      <c r="M203" s="840"/>
      <c r="N203" s="840"/>
      <c r="O203" s="840"/>
      <c r="P203" s="840"/>
      <c r="Q203" s="840"/>
      <c r="R203" s="840"/>
      <c r="S203" s="840"/>
      <c r="T203" s="840"/>
      <c r="U203" s="840"/>
      <c r="V203" s="840"/>
      <c r="W203" s="840"/>
      <c r="X203" s="840"/>
      <c r="Y203" s="840"/>
      <c r="Z203" s="840"/>
    </row>
    <row r="204" ht="15.75" customHeight="1">
      <c r="A204" s="840"/>
      <c r="B204" s="840"/>
      <c r="C204" s="840"/>
      <c r="D204" s="967"/>
      <c r="E204" s="840"/>
      <c r="F204" s="840"/>
      <c r="G204" s="840"/>
      <c r="H204" s="840"/>
      <c r="I204" s="840"/>
      <c r="J204" s="840"/>
      <c r="K204" s="840"/>
      <c r="L204" s="840"/>
      <c r="M204" s="840"/>
      <c r="N204" s="840"/>
      <c r="O204" s="840"/>
      <c r="P204" s="840"/>
      <c r="Q204" s="840"/>
      <c r="R204" s="840"/>
      <c r="S204" s="840"/>
      <c r="T204" s="840"/>
      <c r="U204" s="840"/>
      <c r="V204" s="840"/>
      <c r="W204" s="840"/>
      <c r="X204" s="840"/>
      <c r="Y204" s="840"/>
      <c r="Z204" s="840"/>
    </row>
    <row r="205" ht="15.75" customHeight="1">
      <c r="A205" s="840"/>
      <c r="B205" s="840"/>
      <c r="C205" s="840"/>
      <c r="D205" s="967"/>
      <c r="E205" s="840"/>
      <c r="F205" s="840"/>
      <c r="G205" s="840"/>
      <c r="H205" s="840"/>
      <c r="I205" s="840"/>
      <c r="J205" s="840"/>
      <c r="K205" s="840"/>
      <c r="L205" s="840"/>
      <c r="M205" s="840"/>
      <c r="N205" s="840"/>
      <c r="O205" s="840"/>
      <c r="P205" s="840"/>
      <c r="Q205" s="840"/>
      <c r="R205" s="840"/>
      <c r="S205" s="840"/>
      <c r="T205" s="840"/>
      <c r="U205" s="840"/>
      <c r="V205" s="840"/>
      <c r="W205" s="840"/>
      <c r="X205" s="840"/>
      <c r="Y205" s="840"/>
      <c r="Z205" s="840"/>
    </row>
    <row r="206" ht="15.75" customHeight="1">
      <c r="A206" s="840"/>
      <c r="B206" s="840"/>
      <c r="C206" s="840"/>
      <c r="D206" s="967"/>
      <c r="E206" s="840"/>
      <c r="F206" s="840"/>
      <c r="G206" s="840"/>
      <c r="H206" s="840"/>
      <c r="I206" s="840"/>
      <c r="J206" s="840"/>
      <c r="K206" s="840"/>
      <c r="L206" s="840"/>
      <c r="M206" s="840"/>
      <c r="N206" s="840"/>
      <c r="O206" s="840"/>
      <c r="P206" s="840"/>
      <c r="Q206" s="840"/>
      <c r="R206" s="840"/>
      <c r="S206" s="840"/>
      <c r="T206" s="840"/>
      <c r="U206" s="840"/>
      <c r="V206" s="840"/>
      <c r="W206" s="840"/>
      <c r="X206" s="840"/>
      <c r="Y206" s="840"/>
      <c r="Z206" s="840"/>
    </row>
    <row r="207" ht="15.75" customHeight="1">
      <c r="A207" s="840"/>
      <c r="B207" s="840"/>
      <c r="C207" s="840"/>
      <c r="D207" s="967"/>
      <c r="E207" s="840"/>
      <c r="F207" s="840"/>
      <c r="G207" s="840"/>
      <c r="H207" s="840"/>
      <c r="I207" s="840"/>
      <c r="J207" s="840"/>
      <c r="K207" s="840"/>
      <c r="L207" s="840"/>
      <c r="M207" s="840"/>
      <c r="N207" s="840"/>
      <c r="O207" s="840"/>
      <c r="P207" s="840"/>
      <c r="Q207" s="840"/>
      <c r="R207" s="840"/>
      <c r="S207" s="840"/>
      <c r="T207" s="840"/>
      <c r="U207" s="840"/>
      <c r="V207" s="840"/>
      <c r="W207" s="840"/>
      <c r="X207" s="840"/>
      <c r="Y207" s="840"/>
      <c r="Z207" s="840"/>
    </row>
    <row r="208" ht="15.75" customHeight="1">
      <c r="A208" s="840"/>
      <c r="B208" s="840"/>
      <c r="C208" s="840"/>
      <c r="D208" s="967"/>
      <c r="E208" s="840"/>
      <c r="F208" s="840"/>
      <c r="G208" s="840"/>
      <c r="H208" s="840"/>
      <c r="I208" s="840"/>
      <c r="J208" s="840"/>
      <c r="K208" s="840"/>
      <c r="L208" s="840"/>
      <c r="M208" s="840"/>
      <c r="N208" s="840"/>
      <c r="O208" s="840"/>
      <c r="P208" s="840"/>
      <c r="Q208" s="840"/>
      <c r="R208" s="840"/>
      <c r="S208" s="840"/>
      <c r="T208" s="840"/>
      <c r="U208" s="840"/>
      <c r="V208" s="840"/>
      <c r="W208" s="840"/>
      <c r="X208" s="840"/>
      <c r="Y208" s="840"/>
      <c r="Z208" s="840"/>
    </row>
    <row r="209" ht="15.75" customHeight="1">
      <c r="A209" s="840"/>
      <c r="B209" s="840"/>
      <c r="C209" s="840"/>
      <c r="D209" s="967"/>
      <c r="E209" s="840"/>
      <c r="F209" s="840"/>
      <c r="G209" s="840"/>
      <c r="H209" s="840"/>
      <c r="I209" s="840"/>
      <c r="J209" s="840"/>
      <c r="K209" s="840"/>
      <c r="L209" s="840"/>
      <c r="M209" s="840"/>
      <c r="N209" s="840"/>
      <c r="O209" s="840"/>
      <c r="P209" s="840"/>
      <c r="Q209" s="840"/>
      <c r="R209" s="840"/>
      <c r="S209" s="840"/>
      <c r="T209" s="840"/>
      <c r="U209" s="840"/>
      <c r="V209" s="840"/>
      <c r="W209" s="840"/>
      <c r="X209" s="840"/>
      <c r="Y209" s="840"/>
      <c r="Z209" s="840"/>
    </row>
    <row r="210" ht="15.75" customHeight="1">
      <c r="A210" s="840"/>
      <c r="B210" s="840"/>
      <c r="C210" s="840"/>
      <c r="D210" s="967"/>
      <c r="E210" s="840"/>
      <c r="F210" s="840"/>
      <c r="G210" s="840"/>
      <c r="H210" s="840"/>
      <c r="I210" s="840"/>
      <c r="J210" s="840"/>
      <c r="K210" s="840"/>
      <c r="L210" s="840"/>
      <c r="M210" s="840"/>
      <c r="N210" s="840"/>
      <c r="O210" s="840"/>
      <c r="P210" s="840"/>
      <c r="Q210" s="840"/>
      <c r="R210" s="840"/>
      <c r="S210" s="840"/>
      <c r="T210" s="840"/>
      <c r="U210" s="840"/>
      <c r="V210" s="840"/>
      <c r="W210" s="840"/>
      <c r="X210" s="840"/>
      <c r="Y210" s="840"/>
      <c r="Z210" s="840"/>
    </row>
    <row r="211" ht="15.75" customHeight="1">
      <c r="A211" s="840"/>
      <c r="B211" s="840"/>
      <c r="C211" s="840"/>
      <c r="D211" s="967"/>
      <c r="E211" s="840"/>
      <c r="F211" s="840"/>
      <c r="G211" s="840"/>
      <c r="H211" s="840"/>
      <c r="I211" s="840"/>
      <c r="J211" s="840"/>
      <c r="K211" s="840"/>
      <c r="L211" s="840"/>
      <c r="M211" s="840"/>
      <c r="N211" s="840"/>
      <c r="O211" s="840"/>
      <c r="P211" s="840"/>
      <c r="Q211" s="840"/>
      <c r="R211" s="840"/>
      <c r="S211" s="840"/>
      <c r="T211" s="840"/>
      <c r="U211" s="840"/>
      <c r="V211" s="840"/>
      <c r="W211" s="840"/>
      <c r="X211" s="840"/>
      <c r="Y211" s="840"/>
      <c r="Z211" s="840"/>
    </row>
    <row r="212" ht="15.75" customHeight="1">
      <c r="A212" s="840"/>
      <c r="B212" s="840"/>
      <c r="C212" s="840"/>
      <c r="D212" s="967"/>
      <c r="E212" s="840"/>
      <c r="F212" s="840"/>
      <c r="G212" s="840"/>
      <c r="H212" s="840"/>
      <c r="I212" s="840"/>
      <c r="J212" s="840"/>
      <c r="K212" s="840"/>
      <c r="L212" s="840"/>
      <c r="M212" s="840"/>
      <c r="N212" s="840"/>
      <c r="O212" s="840"/>
      <c r="P212" s="840"/>
      <c r="Q212" s="840"/>
      <c r="R212" s="840"/>
      <c r="S212" s="840"/>
      <c r="T212" s="840"/>
      <c r="U212" s="840"/>
      <c r="V212" s="840"/>
      <c r="W212" s="840"/>
      <c r="X212" s="840"/>
      <c r="Y212" s="840"/>
      <c r="Z212" s="840"/>
    </row>
    <row r="213" ht="15.75" customHeight="1">
      <c r="A213" s="840"/>
      <c r="B213" s="840"/>
      <c r="C213" s="840"/>
      <c r="D213" s="967"/>
      <c r="E213" s="840"/>
      <c r="F213" s="840"/>
      <c r="G213" s="840"/>
      <c r="H213" s="840"/>
      <c r="I213" s="840"/>
      <c r="J213" s="840"/>
      <c r="K213" s="840"/>
      <c r="L213" s="840"/>
      <c r="M213" s="840"/>
      <c r="N213" s="840"/>
      <c r="O213" s="840"/>
      <c r="P213" s="840"/>
      <c r="Q213" s="840"/>
      <c r="R213" s="840"/>
      <c r="S213" s="840"/>
      <c r="T213" s="840"/>
      <c r="U213" s="840"/>
      <c r="V213" s="840"/>
      <c r="W213" s="840"/>
      <c r="X213" s="840"/>
      <c r="Y213" s="840"/>
      <c r="Z213" s="840"/>
    </row>
    <row r="214" ht="15.75" customHeight="1">
      <c r="A214" s="840"/>
      <c r="B214" s="840"/>
      <c r="C214" s="840"/>
      <c r="D214" s="967"/>
      <c r="E214" s="840"/>
      <c r="F214" s="840"/>
      <c r="G214" s="840"/>
      <c r="H214" s="840"/>
      <c r="I214" s="840"/>
      <c r="J214" s="840"/>
      <c r="K214" s="840"/>
      <c r="L214" s="840"/>
      <c r="M214" s="840"/>
      <c r="N214" s="840"/>
      <c r="O214" s="840"/>
      <c r="P214" s="840"/>
      <c r="Q214" s="840"/>
      <c r="R214" s="840"/>
      <c r="S214" s="840"/>
      <c r="T214" s="840"/>
      <c r="U214" s="840"/>
      <c r="V214" s="840"/>
      <c r="W214" s="840"/>
      <c r="X214" s="840"/>
      <c r="Y214" s="840"/>
      <c r="Z214" s="840"/>
    </row>
    <row r="215" ht="15.75" customHeight="1">
      <c r="A215" s="840"/>
      <c r="B215" s="840"/>
      <c r="C215" s="840"/>
      <c r="D215" s="967"/>
      <c r="E215" s="840"/>
      <c r="F215" s="840"/>
      <c r="G215" s="840"/>
      <c r="H215" s="840"/>
      <c r="I215" s="840"/>
      <c r="J215" s="840"/>
      <c r="K215" s="840"/>
      <c r="L215" s="840"/>
      <c r="M215" s="840"/>
      <c r="N215" s="840"/>
      <c r="O215" s="840"/>
      <c r="P215" s="840"/>
      <c r="Q215" s="840"/>
      <c r="R215" s="840"/>
      <c r="S215" s="840"/>
      <c r="T215" s="840"/>
      <c r="U215" s="840"/>
      <c r="V215" s="840"/>
      <c r="W215" s="840"/>
      <c r="X215" s="840"/>
      <c r="Y215" s="840"/>
      <c r="Z215" s="840"/>
    </row>
    <row r="216" ht="15.75" customHeight="1">
      <c r="A216" s="840"/>
      <c r="B216" s="840"/>
      <c r="C216" s="840"/>
      <c r="D216" s="967"/>
      <c r="E216" s="840"/>
      <c r="F216" s="840"/>
      <c r="G216" s="840"/>
      <c r="H216" s="840"/>
      <c r="I216" s="840"/>
      <c r="J216" s="840"/>
      <c r="K216" s="840"/>
      <c r="L216" s="840"/>
      <c r="M216" s="840"/>
      <c r="N216" s="840"/>
      <c r="O216" s="840"/>
      <c r="P216" s="840"/>
      <c r="Q216" s="840"/>
      <c r="R216" s="840"/>
      <c r="S216" s="840"/>
      <c r="T216" s="840"/>
      <c r="U216" s="840"/>
      <c r="V216" s="840"/>
      <c r="W216" s="840"/>
      <c r="X216" s="840"/>
      <c r="Y216" s="840"/>
      <c r="Z216" s="840"/>
    </row>
    <row r="217" ht="15.75" customHeight="1">
      <c r="A217" s="840"/>
      <c r="B217" s="840"/>
      <c r="C217" s="840"/>
      <c r="D217" s="967"/>
      <c r="E217" s="840"/>
      <c r="F217" s="840"/>
      <c r="G217" s="840"/>
      <c r="H217" s="840"/>
      <c r="I217" s="840"/>
      <c r="J217" s="840"/>
      <c r="K217" s="840"/>
      <c r="L217" s="840"/>
      <c r="M217" s="840"/>
      <c r="N217" s="840"/>
      <c r="O217" s="840"/>
      <c r="P217" s="840"/>
      <c r="Q217" s="840"/>
      <c r="R217" s="840"/>
      <c r="S217" s="840"/>
      <c r="T217" s="840"/>
      <c r="U217" s="840"/>
      <c r="V217" s="840"/>
      <c r="W217" s="840"/>
      <c r="X217" s="840"/>
      <c r="Y217" s="840"/>
      <c r="Z217" s="840"/>
    </row>
    <row r="218" ht="15.75" customHeight="1">
      <c r="A218" s="840"/>
      <c r="B218" s="840"/>
      <c r="C218" s="840"/>
      <c r="D218" s="967"/>
      <c r="E218" s="840"/>
      <c r="F218" s="840"/>
      <c r="G218" s="840"/>
      <c r="H218" s="840"/>
      <c r="I218" s="840"/>
      <c r="J218" s="840"/>
      <c r="K218" s="840"/>
      <c r="L218" s="840"/>
      <c r="M218" s="840"/>
      <c r="N218" s="840"/>
      <c r="O218" s="840"/>
      <c r="P218" s="840"/>
      <c r="Q218" s="840"/>
      <c r="R218" s="840"/>
      <c r="S218" s="840"/>
      <c r="T218" s="840"/>
      <c r="U218" s="840"/>
      <c r="V218" s="840"/>
      <c r="W218" s="840"/>
      <c r="X218" s="840"/>
      <c r="Y218" s="840"/>
      <c r="Z218" s="840"/>
    </row>
    <row r="219" ht="15.75" customHeight="1">
      <c r="A219" s="840"/>
      <c r="B219" s="840"/>
      <c r="C219" s="840"/>
      <c r="D219" s="967"/>
      <c r="E219" s="840"/>
      <c r="F219" s="840"/>
      <c r="G219" s="840"/>
      <c r="H219" s="840"/>
      <c r="I219" s="840"/>
      <c r="J219" s="840"/>
      <c r="K219" s="840"/>
      <c r="L219" s="840"/>
      <c r="M219" s="840"/>
      <c r="N219" s="840"/>
      <c r="O219" s="840"/>
      <c r="P219" s="840"/>
      <c r="Q219" s="840"/>
      <c r="R219" s="840"/>
      <c r="S219" s="840"/>
      <c r="T219" s="840"/>
      <c r="U219" s="840"/>
      <c r="V219" s="840"/>
      <c r="W219" s="840"/>
      <c r="X219" s="840"/>
      <c r="Y219" s="840"/>
      <c r="Z219" s="840"/>
    </row>
    <row r="220" ht="15.75" customHeight="1">
      <c r="A220" s="840"/>
      <c r="B220" s="840"/>
      <c r="C220" s="840"/>
      <c r="D220" s="967"/>
      <c r="E220" s="840"/>
      <c r="F220" s="840"/>
      <c r="G220" s="840"/>
      <c r="H220" s="840"/>
      <c r="I220" s="840"/>
      <c r="J220" s="840"/>
      <c r="K220" s="840"/>
      <c r="L220" s="840"/>
      <c r="M220" s="840"/>
      <c r="N220" s="840"/>
      <c r="O220" s="840"/>
      <c r="P220" s="840"/>
      <c r="Q220" s="840"/>
      <c r="R220" s="840"/>
      <c r="S220" s="840"/>
      <c r="T220" s="840"/>
      <c r="U220" s="840"/>
      <c r="V220" s="840"/>
      <c r="W220" s="840"/>
      <c r="X220" s="840"/>
      <c r="Y220" s="840"/>
      <c r="Z220" s="840"/>
    </row>
    <row r="221" ht="15.75" customHeight="1">
      <c r="A221" s="840"/>
      <c r="B221" s="840"/>
      <c r="C221" s="840"/>
      <c r="D221" s="967"/>
      <c r="E221" s="840"/>
      <c r="F221" s="840"/>
      <c r="G221" s="840"/>
      <c r="H221" s="840"/>
      <c r="I221" s="840"/>
      <c r="J221" s="840"/>
      <c r="K221" s="840"/>
      <c r="L221" s="840"/>
      <c r="M221" s="840"/>
      <c r="N221" s="840"/>
      <c r="O221" s="840"/>
      <c r="P221" s="840"/>
      <c r="Q221" s="840"/>
      <c r="R221" s="840"/>
      <c r="S221" s="840"/>
      <c r="T221" s="840"/>
      <c r="U221" s="840"/>
      <c r="V221" s="840"/>
      <c r="W221" s="840"/>
      <c r="X221" s="840"/>
      <c r="Y221" s="840"/>
      <c r="Z221" s="840"/>
    </row>
    <row r="222" ht="15.75" customHeight="1">
      <c r="A222" s="840"/>
      <c r="B222" s="840"/>
      <c r="C222" s="840"/>
      <c r="D222" s="967"/>
      <c r="E222" s="840"/>
      <c r="F222" s="840"/>
      <c r="G222" s="840"/>
      <c r="H222" s="840"/>
      <c r="I222" s="840"/>
      <c r="J222" s="840"/>
      <c r="K222" s="840"/>
      <c r="L222" s="840"/>
      <c r="M222" s="840"/>
      <c r="N222" s="840"/>
      <c r="O222" s="840"/>
      <c r="P222" s="840"/>
      <c r="Q222" s="840"/>
      <c r="R222" s="840"/>
      <c r="S222" s="840"/>
      <c r="T222" s="840"/>
      <c r="U222" s="840"/>
      <c r="V222" s="840"/>
      <c r="W222" s="840"/>
      <c r="X222" s="840"/>
      <c r="Y222" s="840"/>
      <c r="Z222" s="840"/>
    </row>
    <row r="223" ht="15.75" customHeight="1">
      <c r="A223" s="840"/>
      <c r="B223" s="840"/>
      <c r="C223" s="840"/>
      <c r="D223" s="967"/>
      <c r="E223" s="840"/>
      <c r="F223" s="840"/>
      <c r="G223" s="840"/>
      <c r="H223" s="840"/>
      <c r="I223" s="840"/>
      <c r="J223" s="840"/>
      <c r="K223" s="840"/>
      <c r="L223" s="840"/>
      <c r="M223" s="840"/>
      <c r="N223" s="840"/>
      <c r="O223" s="840"/>
      <c r="P223" s="840"/>
      <c r="Q223" s="840"/>
      <c r="R223" s="840"/>
      <c r="S223" s="840"/>
      <c r="T223" s="840"/>
      <c r="U223" s="840"/>
      <c r="V223" s="840"/>
      <c r="W223" s="840"/>
      <c r="X223" s="840"/>
      <c r="Y223" s="840"/>
      <c r="Z223" s="840"/>
    </row>
    <row r="224" ht="15.75" customHeight="1">
      <c r="A224" s="840"/>
      <c r="B224" s="840"/>
      <c r="C224" s="840"/>
      <c r="D224" s="967"/>
      <c r="E224" s="840"/>
      <c r="F224" s="840"/>
      <c r="G224" s="840"/>
      <c r="H224" s="840"/>
      <c r="I224" s="840"/>
      <c r="J224" s="840"/>
      <c r="K224" s="840"/>
      <c r="L224" s="840"/>
      <c r="M224" s="840"/>
      <c r="N224" s="840"/>
      <c r="O224" s="840"/>
      <c r="P224" s="840"/>
      <c r="Q224" s="840"/>
      <c r="R224" s="840"/>
      <c r="S224" s="840"/>
      <c r="T224" s="840"/>
      <c r="U224" s="840"/>
      <c r="V224" s="840"/>
      <c r="W224" s="840"/>
      <c r="X224" s="840"/>
      <c r="Y224" s="840"/>
      <c r="Z224" s="840"/>
    </row>
    <row r="225" ht="15.75" customHeight="1">
      <c r="A225" s="840"/>
      <c r="B225" s="840"/>
      <c r="C225" s="840"/>
      <c r="D225" s="967"/>
      <c r="E225" s="840"/>
      <c r="F225" s="840"/>
      <c r="G225" s="840"/>
      <c r="H225" s="840"/>
      <c r="I225" s="840"/>
      <c r="J225" s="840"/>
      <c r="K225" s="840"/>
      <c r="L225" s="840"/>
      <c r="M225" s="840"/>
      <c r="N225" s="840"/>
      <c r="O225" s="840"/>
      <c r="P225" s="840"/>
      <c r="Q225" s="840"/>
      <c r="R225" s="840"/>
      <c r="S225" s="840"/>
      <c r="T225" s="840"/>
      <c r="U225" s="840"/>
      <c r="V225" s="840"/>
      <c r="W225" s="840"/>
      <c r="X225" s="840"/>
      <c r="Y225" s="840"/>
      <c r="Z225" s="840"/>
    </row>
    <row r="226" ht="15.75" customHeight="1">
      <c r="A226" s="840"/>
      <c r="B226" s="840"/>
      <c r="C226" s="840"/>
      <c r="D226" s="967"/>
      <c r="E226" s="840"/>
      <c r="F226" s="840"/>
      <c r="G226" s="840"/>
      <c r="H226" s="840"/>
      <c r="I226" s="840"/>
      <c r="J226" s="840"/>
      <c r="K226" s="840"/>
      <c r="L226" s="840"/>
      <c r="M226" s="840"/>
      <c r="N226" s="840"/>
      <c r="O226" s="840"/>
      <c r="P226" s="840"/>
      <c r="Q226" s="840"/>
      <c r="R226" s="840"/>
      <c r="S226" s="840"/>
      <c r="T226" s="840"/>
      <c r="U226" s="840"/>
      <c r="V226" s="840"/>
      <c r="W226" s="840"/>
      <c r="X226" s="840"/>
      <c r="Y226" s="840"/>
      <c r="Z226" s="840"/>
    </row>
    <row r="227" ht="15.75" customHeight="1">
      <c r="A227" s="840"/>
      <c r="B227" s="840"/>
      <c r="C227" s="840"/>
      <c r="D227" s="967"/>
      <c r="E227" s="840"/>
      <c r="F227" s="840"/>
      <c r="G227" s="840"/>
      <c r="H227" s="840"/>
      <c r="I227" s="840"/>
      <c r="J227" s="840"/>
      <c r="K227" s="840"/>
      <c r="L227" s="840"/>
      <c r="M227" s="840"/>
      <c r="N227" s="840"/>
      <c r="O227" s="840"/>
      <c r="P227" s="840"/>
      <c r="Q227" s="840"/>
      <c r="R227" s="840"/>
      <c r="S227" s="840"/>
      <c r="T227" s="840"/>
      <c r="U227" s="840"/>
      <c r="V227" s="840"/>
      <c r="W227" s="840"/>
      <c r="X227" s="840"/>
      <c r="Y227" s="840"/>
      <c r="Z227" s="840"/>
    </row>
    <row r="228" ht="15.75" customHeight="1">
      <c r="A228" s="840"/>
      <c r="B228" s="840"/>
      <c r="C228" s="840"/>
      <c r="D228" s="967"/>
      <c r="E228" s="840"/>
      <c r="F228" s="840"/>
      <c r="G228" s="840"/>
      <c r="H228" s="840"/>
      <c r="I228" s="840"/>
      <c r="J228" s="840"/>
      <c r="K228" s="840"/>
      <c r="L228" s="840"/>
      <c r="M228" s="840"/>
      <c r="N228" s="840"/>
      <c r="O228" s="840"/>
      <c r="P228" s="840"/>
      <c r="Q228" s="840"/>
      <c r="R228" s="840"/>
      <c r="S228" s="840"/>
      <c r="T228" s="840"/>
      <c r="U228" s="840"/>
      <c r="V228" s="840"/>
      <c r="W228" s="840"/>
      <c r="X228" s="840"/>
      <c r="Y228" s="840"/>
      <c r="Z228" s="840"/>
    </row>
    <row r="229" ht="15.75" customHeight="1">
      <c r="A229" s="840"/>
      <c r="B229" s="840"/>
      <c r="C229" s="840"/>
      <c r="D229" s="967"/>
      <c r="E229" s="840"/>
      <c r="F229" s="840"/>
      <c r="G229" s="840"/>
      <c r="H229" s="840"/>
      <c r="I229" s="840"/>
      <c r="J229" s="840"/>
      <c r="K229" s="840"/>
      <c r="L229" s="840"/>
      <c r="M229" s="840"/>
      <c r="N229" s="840"/>
      <c r="O229" s="840"/>
      <c r="P229" s="840"/>
      <c r="Q229" s="840"/>
      <c r="R229" s="840"/>
      <c r="S229" s="840"/>
      <c r="T229" s="840"/>
      <c r="U229" s="840"/>
      <c r="V229" s="840"/>
      <c r="W229" s="840"/>
      <c r="X229" s="840"/>
      <c r="Y229" s="840"/>
      <c r="Z229" s="840"/>
    </row>
    <row r="230" ht="15.75" customHeight="1">
      <c r="A230" s="840"/>
      <c r="B230" s="840"/>
      <c r="C230" s="840"/>
      <c r="D230" s="967"/>
      <c r="E230" s="840"/>
      <c r="F230" s="840"/>
      <c r="G230" s="840"/>
      <c r="H230" s="840"/>
      <c r="I230" s="840"/>
      <c r="J230" s="840"/>
      <c r="K230" s="840"/>
      <c r="L230" s="840"/>
      <c r="M230" s="840"/>
      <c r="N230" s="840"/>
      <c r="O230" s="840"/>
      <c r="P230" s="840"/>
      <c r="Q230" s="840"/>
      <c r="R230" s="840"/>
      <c r="S230" s="840"/>
      <c r="T230" s="840"/>
      <c r="U230" s="840"/>
      <c r="V230" s="840"/>
      <c r="W230" s="840"/>
      <c r="X230" s="840"/>
      <c r="Y230" s="840"/>
      <c r="Z230" s="840"/>
    </row>
    <row r="231" ht="15.75" customHeight="1">
      <c r="A231" s="840"/>
      <c r="B231" s="840"/>
      <c r="C231" s="840"/>
      <c r="D231" s="967"/>
      <c r="E231" s="840"/>
      <c r="F231" s="840"/>
      <c r="G231" s="840"/>
      <c r="H231" s="840"/>
      <c r="I231" s="840"/>
      <c r="J231" s="840"/>
      <c r="K231" s="840"/>
      <c r="L231" s="840"/>
      <c r="M231" s="840"/>
      <c r="N231" s="840"/>
      <c r="O231" s="840"/>
      <c r="P231" s="840"/>
      <c r="Q231" s="840"/>
      <c r="R231" s="840"/>
      <c r="S231" s="840"/>
      <c r="T231" s="840"/>
      <c r="U231" s="840"/>
      <c r="V231" s="840"/>
      <c r="W231" s="840"/>
      <c r="X231" s="840"/>
      <c r="Y231" s="840"/>
      <c r="Z231" s="840"/>
    </row>
    <row r="232" ht="15.75" customHeight="1">
      <c r="A232" s="840"/>
      <c r="B232" s="840"/>
      <c r="C232" s="840"/>
      <c r="D232" s="967"/>
      <c r="E232" s="840"/>
      <c r="F232" s="840"/>
      <c r="G232" s="840"/>
      <c r="H232" s="840"/>
      <c r="I232" s="840"/>
      <c r="J232" s="840"/>
      <c r="K232" s="840"/>
      <c r="L232" s="840"/>
      <c r="M232" s="840"/>
      <c r="N232" s="840"/>
      <c r="O232" s="840"/>
      <c r="P232" s="840"/>
      <c r="Q232" s="840"/>
      <c r="R232" s="840"/>
      <c r="S232" s="840"/>
      <c r="T232" s="840"/>
      <c r="U232" s="840"/>
      <c r="V232" s="840"/>
      <c r="W232" s="840"/>
      <c r="X232" s="840"/>
      <c r="Y232" s="840"/>
      <c r="Z232" s="840"/>
    </row>
    <row r="233" ht="15.75" customHeight="1">
      <c r="A233" s="840"/>
      <c r="B233" s="840"/>
      <c r="C233" s="840"/>
      <c r="D233" s="967"/>
      <c r="E233" s="840"/>
      <c r="F233" s="840"/>
      <c r="G233" s="840"/>
      <c r="H233" s="840"/>
      <c r="I233" s="840"/>
      <c r="J233" s="840"/>
      <c r="K233" s="840"/>
      <c r="L233" s="840"/>
      <c r="M233" s="840"/>
      <c r="N233" s="840"/>
      <c r="O233" s="840"/>
      <c r="P233" s="840"/>
      <c r="Q233" s="840"/>
      <c r="R233" s="840"/>
      <c r="S233" s="840"/>
      <c r="T233" s="840"/>
      <c r="U233" s="840"/>
      <c r="V233" s="840"/>
      <c r="W233" s="840"/>
      <c r="X233" s="840"/>
      <c r="Y233" s="840"/>
      <c r="Z233" s="840"/>
    </row>
    <row r="234" ht="15.75" customHeight="1">
      <c r="A234" s="840"/>
      <c r="B234" s="840"/>
      <c r="C234" s="840"/>
      <c r="D234" s="967"/>
      <c r="E234" s="840"/>
      <c r="F234" s="840"/>
      <c r="G234" s="840"/>
      <c r="H234" s="840"/>
      <c r="I234" s="840"/>
      <c r="J234" s="840"/>
      <c r="K234" s="840"/>
      <c r="L234" s="840"/>
      <c r="M234" s="840"/>
      <c r="N234" s="840"/>
      <c r="O234" s="840"/>
      <c r="P234" s="840"/>
      <c r="Q234" s="840"/>
      <c r="R234" s="840"/>
      <c r="S234" s="840"/>
      <c r="T234" s="840"/>
      <c r="U234" s="840"/>
      <c r="V234" s="840"/>
      <c r="W234" s="840"/>
      <c r="X234" s="840"/>
      <c r="Y234" s="840"/>
      <c r="Z234" s="840"/>
    </row>
    <row r="235" ht="15.75" customHeight="1">
      <c r="A235" s="840"/>
      <c r="B235" s="840"/>
      <c r="C235" s="840"/>
      <c r="D235" s="967"/>
      <c r="E235" s="840"/>
      <c r="F235" s="840"/>
      <c r="G235" s="840"/>
      <c r="H235" s="840"/>
      <c r="I235" s="840"/>
      <c r="J235" s="840"/>
      <c r="K235" s="840"/>
      <c r="L235" s="840"/>
      <c r="M235" s="840"/>
      <c r="N235" s="840"/>
      <c r="O235" s="840"/>
      <c r="P235" s="840"/>
      <c r="Q235" s="840"/>
      <c r="R235" s="840"/>
      <c r="S235" s="840"/>
      <c r="T235" s="840"/>
      <c r="U235" s="840"/>
      <c r="V235" s="840"/>
      <c r="W235" s="840"/>
      <c r="X235" s="840"/>
      <c r="Y235" s="840"/>
      <c r="Z235" s="840"/>
    </row>
    <row r="236" ht="15.75" customHeight="1">
      <c r="A236" s="840"/>
      <c r="B236" s="840"/>
      <c r="C236" s="840"/>
      <c r="D236" s="967"/>
      <c r="E236" s="840"/>
      <c r="F236" s="840"/>
      <c r="G236" s="840"/>
      <c r="H236" s="840"/>
      <c r="I236" s="840"/>
      <c r="J236" s="840"/>
      <c r="K236" s="840"/>
      <c r="L236" s="840"/>
      <c r="M236" s="840"/>
      <c r="N236" s="840"/>
      <c r="O236" s="840"/>
      <c r="P236" s="840"/>
      <c r="Q236" s="840"/>
      <c r="R236" s="840"/>
      <c r="S236" s="840"/>
      <c r="T236" s="840"/>
      <c r="U236" s="840"/>
      <c r="V236" s="840"/>
      <c r="W236" s="840"/>
      <c r="X236" s="840"/>
      <c r="Y236" s="840"/>
      <c r="Z236" s="840"/>
    </row>
    <row r="237" ht="15.75" customHeight="1">
      <c r="A237" s="840"/>
      <c r="B237" s="840"/>
      <c r="C237" s="840"/>
      <c r="D237" s="967"/>
      <c r="E237" s="840"/>
      <c r="F237" s="840"/>
      <c r="G237" s="840"/>
      <c r="H237" s="840"/>
      <c r="I237" s="840"/>
      <c r="J237" s="840"/>
      <c r="K237" s="840"/>
      <c r="L237" s="840"/>
      <c r="M237" s="840"/>
      <c r="N237" s="840"/>
      <c r="O237" s="840"/>
      <c r="P237" s="840"/>
      <c r="Q237" s="840"/>
      <c r="R237" s="840"/>
      <c r="S237" s="840"/>
      <c r="T237" s="840"/>
      <c r="U237" s="840"/>
      <c r="V237" s="840"/>
      <c r="W237" s="840"/>
      <c r="X237" s="840"/>
      <c r="Y237" s="840"/>
      <c r="Z237" s="840"/>
    </row>
    <row r="238" ht="15.75" customHeight="1">
      <c r="A238" s="840"/>
      <c r="B238" s="840"/>
      <c r="C238" s="840"/>
      <c r="D238" s="967"/>
      <c r="E238" s="840"/>
      <c r="F238" s="840"/>
      <c r="G238" s="840"/>
      <c r="H238" s="840"/>
      <c r="I238" s="840"/>
      <c r="J238" s="840"/>
      <c r="K238" s="840"/>
      <c r="L238" s="840"/>
      <c r="M238" s="840"/>
      <c r="N238" s="840"/>
      <c r="O238" s="840"/>
      <c r="P238" s="840"/>
      <c r="Q238" s="840"/>
      <c r="R238" s="840"/>
      <c r="S238" s="840"/>
      <c r="T238" s="840"/>
      <c r="U238" s="840"/>
      <c r="V238" s="840"/>
      <c r="W238" s="840"/>
      <c r="X238" s="840"/>
      <c r="Y238" s="840"/>
      <c r="Z238" s="840"/>
    </row>
    <row r="239" ht="15.75" customHeight="1">
      <c r="A239" s="840"/>
      <c r="B239" s="840"/>
      <c r="C239" s="840"/>
      <c r="D239" s="967"/>
      <c r="E239" s="840"/>
      <c r="F239" s="840"/>
      <c r="G239" s="840"/>
      <c r="H239" s="840"/>
      <c r="I239" s="840"/>
      <c r="J239" s="840"/>
      <c r="K239" s="840"/>
      <c r="L239" s="840"/>
      <c r="M239" s="840"/>
      <c r="N239" s="840"/>
      <c r="O239" s="840"/>
      <c r="P239" s="840"/>
      <c r="Q239" s="840"/>
      <c r="R239" s="840"/>
      <c r="S239" s="840"/>
      <c r="T239" s="840"/>
      <c r="U239" s="840"/>
      <c r="V239" s="840"/>
      <c r="W239" s="840"/>
      <c r="X239" s="840"/>
      <c r="Y239" s="840"/>
      <c r="Z239" s="840"/>
    </row>
    <row r="240" ht="15.75" customHeight="1">
      <c r="A240" s="840"/>
      <c r="B240" s="840"/>
      <c r="C240" s="840"/>
      <c r="D240" s="967"/>
      <c r="E240" s="840"/>
      <c r="F240" s="840"/>
      <c r="G240" s="840"/>
      <c r="H240" s="840"/>
      <c r="I240" s="840"/>
      <c r="J240" s="840"/>
      <c r="K240" s="840"/>
      <c r="L240" s="840"/>
      <c r="M240" s="840"/>
      <c r="N240" s="840"/>
      <c r="O240" s="840"/>
      <c r="P240" s="840"/>
      <c r="Q240" s="840"/>
      <c r="R240" s="840"/>
      <c r="S240" s="840"/>
      <c r="T240" s="840"/>
      <c r="U240" s="840"/>
      <c r="V240" s="840"/>
      <c r="W240" s="840"/>
      <c r="X240" s="840"/>
      <c r="Y240" s="840"/>
      <c r="Z240" s="840"/>
    </row>
    <row r="241" ht="15.75" customHeight="1">
      <c r="A241" s="840"/>
      <c r="B241" s="840"/>
      <c r="C241" s="840"/>
      <c r="D241" s="967"/>
      <c r="E241" s="840"/>
      <c r="F241" s="840"/>
      <c r="G241" s="840"/>
      <c r="H241" s="840"/>
      <c r="I241" s="840"/>
      <c r="J241" s="840"/>
      <c r="K241" s="840"/>
      <c r="L241" s="840"/>
      <c r="M241" s="840"/>
      <c r="N241" s="840"/>
      <c r="O241" s="840"/>
      <c r="P241" s="840"/>
      <c r="Q241" s="840"/>
      <c r="R241" s="840"/>
      <c r="S241" s="840"/>
      <c r="T241" s="840"/>
      <c r="U241" s="840"/>
      <c r="V241" s="840"/>
      <c r="W241" s="840"/>
      <c r="X241" s="840"/>
      <c r="Y241" s="840"/>
      <c r="Z241" s="840"/>
    </row>
    <row r="242" ht="15.75" customHeight="1">
      <c r="A242" s="840"/>
      <c r="B242" s="840"/>
      <c r="C242" s="840"/>
      <c r="D242" s="967"/>
      <c r="E242" s="840"/>
      <c r="F242" s="840"/>
      <c r="G242" s="840"/>
      <c r="H242" s="840"/>
      <c r="I242" s="840"/>
      <c r="J242" s="840"/>
      <c r="K242" s="840"/>
      <c r="L242" s="840"/>
      <c r="M242" s="840"/>
      <c r="N242" s="840"/>
      <c r="O242" s="840"/>
      <c r="P242" s="840"/>
      <c r="Q242" s="840"/>
      <c r="R242" s="840"/>
      <c r="S242" s="840"/>
      <c r="T242" s="840"/>
      <c r="U242" s="840"/>
      <c r="V242" s="840"/>
      <c r="W242" s="840"/>
      <c r="X242" s="840"/>
      <c r="Y242" s="840"/>
      <c r="Z242" s="840"/>
    </row>
    <row r="243" ht="15.75" customHeight="1">
      <c r="A243" s="840"/>
      <c r="B243" s="840"/>
      <c r="C243" s="840"/>
      <c r="D243" s="967"/>
      <c r="E243" s="840"/>
      <c r="F243" s="840"/>
      <c r="G243" s="840"/>
      <c r="H243" s="840"/>
      <c r="I243" s="840"/>
      <c r="J243" s="840"/>
      <c r="K243" s="840"/>
      <c r="L243" s="840"/>
      <c r="M243" s="840"/>
      <c r="N243" s="840"/>
      <c r="O243" s="840"/>
      <c r="P243" s="840"/>
      <c r="Q243" s="840"/>
      <c r="R243" s="840"/>
      <c r="S243" s="840"/>
      <c r="T243" s="840"/>
      <c r="U243" s="840"/>
      <c r="V243" s="840"/>
      <c r="W243" s="840"/>
      <c r="X243" s="840"/>
      <c r="Y243" s="840"/>
      <c r="Z243" s="840"/>
    </row>
    <row r="244" ht="15.75" customHeight="1">
      <c r="A244" s="840"/>
      <c r="B244" s="840"/>
      <c r="C244" s="840"/>
      <c r="D244" s="967"/>
      <c r="E244" s="840"/>
      <c r="F244" s="840"/>
      <c r="G244" s="840"/>
      <c r="H244" s="840"/>
      <c r="I244" s="840"/>
      <c r="J244" s="840"/>
      <c r="K244" s="840"/>
      <c r="L244" s="840"/>
      <c r="M244" s="840"/>
      <c r="N244" s="840"/>
      <c r="O244" s="840"/>
      <c r="P244" s="840"/>
      <c r="Q244" s="840"/>
      <c r="R244" s="840"/>
      <c r="S244" s="840"/>
      <c r="T244" s="840"/>
      <c r="U244" s="840"/>
      <c r="V244" s="840"/>
      <c r="W244" s="840"/>
      <c r="X244" s="840"/>
      <c r="Y244" s="840"/>
      <c r="Z244" s="840"/>
    </row>
    <row r="245" ht="15.75" customHeight="1">
      <c r="A245" s="840"/>
      <c r="B245" s="840"/>
      <c r="C245" s="840"/>
      <c r="D245" s="967"/>
      <c r="E245" s="840"/>
      <c r="F245" s="840"/>
      <c r="G245" s="840"/>
      <c r="H245" s="840"/>
      <c r="I245" s="840"/>
      <c r="J245" s="840"/>
      <c r="K245" s="840"/>
      <c r="L245" s="840"/>
      <c r="M245" s="840"/>
      <c r="N245" s="840"/>
      <c r="O245" s="840"/>
      <c r="P245" s="840"/>
      <c r="Q245" s="840"/>
      <c r="R245" s="840"/>
      <c r="S245" s="840"/>
      <c r="T245" s="840"/>
      <c r="U245" s="840"/>
      <c r="V245" s="840"/>
      <c r="W245" s="840"/>
      <c r="X245" s="840"/>
      <c r="Y245" s="840"/>
      <c r="Z245" s="84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D22"/>
    <mergeCell ref="A24:D24"/>
    <mergeCell ref="A25:D25"/>
    <mergeCell ref="A29:D29"/>
    <mergeCell ref="A31:D31"/>
    <mergeCell ref="A33:D33"/>
    <mergeCell ref="A2:D2"/>
    <mergeCell ref="A3:D3"/>
    <mergeCell ref="A9:D9"/>
    <mergeCell ref="A13:D13"/>
    <mergeCell ref="A17:D17"/>
    <mergeCell ref="A18:D18"/>
    <mergeCell ref="A20:D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71"/>
    <col customWidth="1" min="2" max="2" width="20.71"/>
    <col customWidth="1" min="3" max="3" width="21.86"/>
    <col customWidth="1" min="4" max="4" width="13.71"/>
    <col customWidth="1" min="5" max="5" width="29.14"/>
    <col customWidth="1" min="6" max="6" width="8.43"/>
    <col customWidth="1" min="7" max="7" width="9.86"/>
    <col customWidth="1" min="8" max="8" width="8.43"/>
    <col customWidth="1" min="9" max="10" width="7.29"/>
    <col customWidth="1" min="11" max="11" width="7.14"/>
  </cols>
  <sheetData>
    <row r="1" ht="25.5" customHeight="1">
      <c r="A1" s="239"/>
      <c r="C1" s="239"/>
      <c r="D1" s="239"/>
      <c r="E1" s="240"/>
      <c r="F1" s="265"/>
      <c r="G1" s="243"/>
      <c r="H1" s="275"/>
      <c r="I1" s="247"/>
      <c r="J1" s="239"/>
      <c r="K1" s="239"/>
      <c r="L1" s="592"/>
      <c r="M1" s="592"/>
      <c r="N1" s="592"/>
      <c r="O1" s="592"/>
    </row>
    <row r="2" ht="25.5" customHeight="1">
      <c r="A2" s="75" t="s">
        <v>1012</v>
      </c>
      <c r="B2" s="75" t="s">
        <v>2382</v>
      </c>
      <c r="C2" s="75" t="s">
        <v>1014</v>
      </c>
      <c r="D2" s="75" t="s">
        <v>2383</v>
      </c>
      <c r="E2" s="75" t="s">
        <v>1015</v>
      </c>
      <c r="F2" s="249" t="s">
        <v>96</v>
      </c>
      <c r="G2" s="250" t="s">
        <v>465</v>
      </c>
      <c r="H2" s="251" t="s">
        <v>99</v>
      </c>
      <c r="I2" s="252" t="s">
        <v>100</v>
      </c>
      <c r="J2" s="75" t="s">
        <v>466</v>
      </c>
      <c r="K2" s="75" t="s">
        <v>102</v>
      </c>
      <c r="L2" s="592"/>
      <c r="M2" s="592"/>
      <c r="N2" s="592"/>
      <c r="O2" s="592"/>
    </row>
    <row r="3" ht="61.5" customHeight="1">
      <c r="A3" s="968" t="s">
        <v>220</v>
      </c>
      <c r="B3" s="638" t="s">
        <v>2384</v>
      </c>
      <c r="C3" s="638" t="s">
        <v>2385</v>
      </c>
      <c r="D3" s="969" t="s">
        <v>2386</v>
      </c>
      <c r="E3" s="968" t="s">
        <v>2387</v>
      </c>
      <c r="F3" s="733">
        <v>320.0</v>
      </c>
      <c r="G3" s="734">
        <v>289.0</v>
      </c>
      <c r="H3" s="734">
        <v>79.15</v>
      </c>
      <c r="I3" s="970">
        <f t="shared" ref="I3:I4" si="1">H3/G3</f>
        <v>0.2738754325</v>
      </c>
      <c r="J3" s="971">
        <f t="shared" ref="J3:J4" si="2">G3-H3</f>
        <v>209.85</v>
      </c>
      <c r="K3" s="972">
        <f t="shared" ref="K3:K4" si="3">G3/H3-1</f>
        <v>2.651295009</v>
      </c>
      <c r="L3" s="592"/>
      <c r="M3" s="592"/>
      <c r="N3" s="592"/>
      <c r="O3" s="592"/>
    </row>
    <row r="4" ht="58.5" customHeight="1">
      <c r="A4" s="973" t="s">
        <v>220</v>
      </c>
      <c r="B4" s="740" t="s">
        <v>2388</v>
      </c>
      <c r="C4" s="740" t="s">
        <v>2389</v>
      </c>
      <c r="E4" s="257" t="s">
        <v>2390</v>
      </c>
      <c r="F4" s="258">
        <v>350.0</v>
      </c>
      <c r="G4" s="162">
        <v>289.0</v>
      </c>
      <c r="H4" s="162">
        <v>84.96</v>
      </c>
      <c r="I4" s="974">
        <f t="shared" si="1"/>
        <v>0.2939792388</v>
      </c>
      <c r="J4" s="975">
        <f t="shared" si="2"/>
        <v>204.04</v>
      </c>
      <c r="K4" s="976">
        <f t="shared" si="3"/>
        <v>2.401600753</v>
      </c>
      <c r="L4" s="592"/>
      <c r="M4" s="592"/>
      <c r="N4" s="592"/>
      <c r="O4" s="592"/>
    </row>
    <row r="5" ht="27.0" customHeight="1">
      <c r="A5" s="614"/>
      <c r="B5" s="615" t="s">
        <v>2391</v>
      </c>
      <c r="C5" s="86"/>
      <c r="D5" s="86"/>
      <c r="E5" s="614"/>
      <c r="F5" s="616"/>
      <c r="G5" s="695"/>
      <c r="H5" s="618"/>
      <c r="I5" s="647"/>
      <c r="J5" s="614"/>
      <c r="K5" s="614"/>
      <c r="L5" s="592" t="s">
        <v>2392</v>
      </c>
      <c r="M5" s="592" t="s">
        <v>2367</v>
      </c>
      <c r="N5" s="592" t="s">
        <v>2393</v>
      </c>
      <c r="O5" s="592" t="s">
        <v>2394</v>
      </c>
    </row>
    <row r="6" ht="51.0" customHeight="1" outlineLevel="1">
      <c r="A6" s="973">
        <v>1.0</v>
      </c>
      <c r="B6" s="977" t="s">
        <v>2395</v>
      </c>
      <c r="C6" s="977"/>
      <c r="D6" s="91"/>
      <c r="E6" s="977"/>
      <c r="F6" s="978">
        <v>150.0</v>
      </c>
      <c r="G6" s="979">
        <v>139.0</v>
      </c>
      <c r="H6" s="273"/>
      <c r="I6" s="974">
        <f t="shared" ref="I6:I17" si="4">H6/G6</f>
        <v>0</v>
      </c>
      <c r="J6" s="975">
        <f t="shared" ref="J6:J17" si="5">G6-H6</f>
        <v>139</v>
      </c>
      <c r="K6" s="976" t="str">
        <f t="shared" ref="K6:K17" si="6">G6/H6-1</f>
        <v>#DIV/0!</v>
      </c>
      <c r="L6" s="732" t="s">
        <v>2396</v>
      </c>
      <c r="M6" s="980">
        <f>H6+H9+H39+H15</f>
        <v>20.12</v>
      </c>
      <c r="N6" s="981">
        <v>299.0</v>
      </c>
      <c r="O6" s="974">
        <f t="shared" ref="O6:O7" si="7">M6/N6</f>
        <v>0.0672909699</v>
      </c>
    </row>
    <row r="7" ht="58.5" customHeight="1" outlineLevel="1">
      <c r="A7" s="257">
        <v>2.0</v>
      </c>
      <c r="B7" s="740" t="s">
        <v>2397</v>
      </c>
      <c r="C7" s="740"/>
      <c r="D7" s="982"/>
      <c r="E7" s="257"/>
      <c r="F7" s="983">
        <v>150.0</v>
      </c>
      <c r="G7" s="979">
        <v>139.0</v>
      </c>
      <c r="H7" s="984"/>
      <c r="I7" s="974">
        <f t="shared" si="4"/>
        <v>0</v>
      </c>
      <c r="J7" s="975">
        <f t="shared" si="5"/>
        <v>139</v>
      </c>
      <c r="K7" s="976" t="str">
        <f t="shared" si="6"/>
        <v>#DIV/0!</v>
      </c>
      <c r="L7" s="732" t="s">
        <v>2398</v>
      </c>
      <c r="M7" s="980">
        <f>H9+H13+H15+H39</f>
        <v>20.12</v>
      </c>
      <c r="N7" s="981">
        <v>359.0</v>
      </c>
      <c r="O7" s="974">
        <f t="shared" si="7"/>
        <v>0.05604456825</v>
      </c>
    </row>
    <row r="8" ht="75.75" customHeight="1" outlineLevel="1">
      <c r="A8" s="973">
        <v>3.0</v>
      </c>
      <c r="B8" s="740" t="s">
        <v>2399</v>
      </c>
      <c r="C8" s="740"/>
      <c r="D8" s="982"/>
      <c r="E8" s="257"/>
      <c r="F8" s="662">
        <v>150.0</v>
      </c>
      <c r="G8" s="979">
        <v>139.0</v>
      </c>
      <c r="H8" s="273"/>
      <c r="I8" s="974">
        <f t="shared" si="4"/>
        <v>0</v>
      </c>
      <c r="J8" s="975">
        <f t="shared" si="5"/>
        <v>139</v>
      </c>
      <c r="K8" s="976" t="str">
        <f t="shared" si="6"/>
        <v>#DIV/0!</v>
      </c>
      <c r="L8" s="732"/>
      <c r="M8" s="732"/>
      <c r="N8" s="732"/>
      <c r="O8" s="974"/>
    </row>
    <row r="9" ht="75.75" customHeight="1" outlineLevel="1">
      <c r="A9" s="973">
        <v>3.0</v>
      </c>
      <c r="B9" s="740" t="s">
        <v>2400</v>
      </c>
      <c r="C9" s="740"/>
      <c r="D9" s="982"/>
      <c r="E9" s="257"/>
      <c r="F9" s="662">
        <v>250.0</v>
      </c>
      <c r="G9" s="979">
        <v>149.0</v>
      </c>
      <c r="H9" s="273"/>
      <c r="I9" s="974">
        <f t="shared" si="4"/>
        <v>0</v>
      </c>
      <c r="J9" s="975">
        <f t="shared" si="5"/>
        <v>149</v>
      </c>
      <c r="K9" s="976" t="str">
        <f t="shared" si="6"/>
        <v>#DIV/0!</v>
      </c>
      <c r="L9" s="732" t="s">
        <v>2401</v>
      </c>
      <c r="M9" s="985">
        <f>H6+H9+H13+H15+H39</f>
        <v>20.12</v>
      </c>
      <c r="N9" s="732">
        <v>499.0</v>
      </c>
      <c r="O9" s="974">
        <f>M9/N9</f>
        <v>0.04032064128</v>
      </c>
    </row>
    <row r="10" ht="25.5" customHeight="1" outlineLevel="1">
      <c r="A10" s="973">
        <v>4.0</v>
      </c>
      <c r="B10" s="740" t="s">
        <v>2402</v>
      </c>
      <c r="C10" s="740" t="s">
        <v>2403</v>
      </c>
      <c r="D10" s="98"/>
      <c r="E10" s="257"/>
      <c r="F10" s="258">
        <v>250.0</v>
      </c>
      <c r="G10" s="979">
        <v>149.0</v>
      </c>
      <c r="H10" s="162"/>
      <c r="I10" s="974">
        <f t="shared" si="4"/>
        <v>0</v>
      </c>
      <c r="J10" s="975">
        <f t="shared" si="5"/>
        <v>149</v>
      </c>
      <c r="K10" s="976" t="str">
        <f t="shared" si="6"/>
        <v>#DIV/0!</v>
      </c>
      <c r="L10" s="981"/>
      <c r="M10" s="981"/>
      <c r="N10" s="981"/>
      <c r="O10" s="981"/>
    </row>
    <row r="11" ht="41.25" customHeight="1" outlineLevel="1">
      <c r="A11" s="257">
        <v>5.0</v>
      </c>
      <c r="B11" s="740" t="s">
        <v>2404</v>
      </c>
      <c r="C11" s="87"/>
      <c r="D11" s="91"/>
      <c r="E11" s="257"/>
      <c r="F11" s="258">
        <v>250.0</v>
      </c>
      <c r="G11" s="979">
        <v>199.0</v>
      </c>
      <c r="H11" s="162"/>
      <c r="I11" s="974">
        <f t="shared" si="4"/>
        <v>0</v>
      </c>
      <c r="J11" s="975">
        <f t="shared" si="5"/>
        <v>199</v>
      </c>
      <c r="K11" s="976" t="str">
        <f t="shared" si="6"/>
        <v>#DIV/0!</v>
      </c>
      <c r="L11" s="981"/>
      <c r="M11" s="981"/>
      <c r="N11" s="981"/>
      <c r="O11" s="981"/>
    </row>
    <row r="12" outlineLevel="1">
      <c r="A12" s="973">
        <v>6.0</v>
      </c>
      <c r="B12" s="740" t="s">
        <v>2405</v>
      </c>
      <c r="C12" s="740"/>
      <c r="D12" s="87"/>
      <c r="E12" s="257"/>
      <c r="F12" s="258">
        <v>250.0</v>
      </c>
      <c r="G12" s="979">
        <v>199.0</v>
      </c>
      <c r="H12" s="162"/>
      <c r="I12" s="974">
        <f t="shared" si="4"/>
        <v>0</v>
      </c>
      <c r="J12" s="975">
        <f t="shared" si="5"/>
        <v>199</v>
      </c>
      <c r="K12" s="976" t="str">
        <f t="shared" si="6"/>
        <v>#DIV/0!</v>
      </c>
      <c r="L12" s="981"/>
      <c r="M12" s="981"/>
      <c r="N12" s="981"/>
      <c r="O12" s="981"/>
    </row>
    <row r="13" ht="25.5" customHeight="1" outlineLevel="1">
      <c r="A13" s="257">
        <v>7.0</v>
      </c>
      <c r="B13" s="740" t="s">
        <v>2406</v>
      </c>
      <c r="C13" s="740"/>
      <c r="D13" s="91"/>
      <c r="E13" s="257"/>
      <c r="F13" s="258">
        <v>250.0</v>
      </c>
      <c r="G13" s="979">
        <v>199.0</v>
      </c>
      <c r="H13" s="162"/>
      <c r="I13" s="974">
        <f t="shared" si="4"/>
        <v>0</v>
      </c>
      <c r="J13" s="975">
        <f t="shared" si="5"/>
        <v>199</v>
      </c>
      <c r="K13" s="976" t="str">
        <f t="shared" si="6"/>
        <v>#DIV/0!</v>
      </c>
      <c r="L13" s="981"/>
      <c r="M13" s="981"/>
      <c r="N13" s="981"/>
      <c r="O13" s="981"/>
    </row>
    <row r="14" ht="41.25" customHeight="1" outlineLevel="1">
      <c r="A14" s="973">
        <v>11.0</v>
      </c>
      <c r="B14" s="986" t="s">
        <v>2407</v>
      </c>
      <c r="C14" s="87" t="s">
        <v>2408</v>
      </c>
      <c r="D14" s="87"/>
      <c r="E14" s="257" t="s">
        <v>2409</v>
      </c>
      <c r="F14" s="258"/>
      <c r="G14" s="162">
        <v>159.0</v>
      </c>
      <c r="H14" s="162"/>
      <c r="I14" s="974">
        <f t="shared" si="4"/>
        <v>0</v>
      </c>
      <c r="J14" s="975">
        <f t="shared" si="5"/>
        <v>159</v>
      </c>
      <c r="K14" s="976" t="str">
        <f t="shared" si="6"/>
        <v>#DIV/0!</v>
      </c>
      <c r="L14" s="981"/>
      <c r="M14" s="981"/>
      <c r="N14" s="981"/>
      <c r="O14" s="981"/>
    </row>
    <row r="15" ht="25.5" customHeight="1" outlineLevel="1">
      <c r="A15" s="257">
        <v>8.0</v>
      </c>
      <c r="B15" s="740" t="s">
        <v>2410</v>
      </c>
      <c r="C15" s="740" t="s">
        <v>2410</v>
      </c>
      <c r="D15" s="91"/>
      <c r="E15" s="257"/>
      <c r="F15" s="258"/>
      <c r="G15" s="162">
        <v>20.0</v>
      </c>
      <c r="H15" s="162">
        <v>3.58</v>
      </c>
      <c r="I15" s="974">
        <f t="shared" si="4"/>
        <v>0.179</v>
      </c>
      <c r="J15" s="975">
        <f t="shared" si="5"/>
        <v>16.42</v>
      </c>
      <c r="K15" s="976">
        <f t="shared" si="6"/>
        <v>4.586592179</v>
      </c>
      <c r="L15" s="981"/>
      <c r="M15" s="981"/>
      <c r="N15" s="981"/>
      <c r="O15" s="981"/>
    </row>
    <row r="16" ht="41.25" customHeight="1" outlineLevel="1">
      <c r="A16" s="973">
        <v>9.0</v>
      </c>
      <c r="B16" s="986" t="s">
        <v>2411</v>
      </c>
      <c r="C16" s="986" t="s">
        <v>2412</v>
      </c>
      <c r="D16" s="87"/>
      <c r="E16" s="257"/>
      <c r="F16" s="258"/>
      <c r="G16" s="162">
        <v>149.0</v>
      </c>
      <c r="H16" s="162">
        <v>24.77</v>
      </c>
      <c r="I16" s="974">
        <f t="shared" si="4"/>
        <v>0.1662416107</v>
      </c>
      <c r="J16" s="975">
        <f t="shared" si="5"/>
        <v>124.23</v>
      </c>
      <c r="K16" s="976">
        <f t="shared" si="6"/>
        <v>5.015341138</v>
      </c>
      <c r="L16" s="981"/>
      <c r="M16" s="981"/>
      <c r="N16" s="981"/>
      <c r="O16" s="981"/>
    </row>
    <row r="17" ht="41.25" customHeight="1" outlineLevel="1">
      <c r="A17" s="257">
        <v>10.0</v>
      </c>
      <c r="B17" s="181" t="s">
        <v>2413</v>
      </c>
      <c r="C17" s="87" t="s">
        <v>2414</v>
      </c>
      <c r="D17" s="87"/>
      <c r="E17" s="87" t="s">
        <v>2415</v>
      </c>
      <c r="F17" s="258">
        <v>20.0</v>
      </c>
      <c r="G17" s="162">
        <v>39.0</v>
      </c>
      <c r="H17" s="162">
        <v>8.0</v>
      </c>
      <c r="I17" s="974">
        <f t="shared" si="4"/>
        <v>0.2051282051</v>
      </c>
      <c r="J17" s="975">
        <f t="shared" si="5"/>
        <v>31</v>
      </c>
      <c r="K17" s="976">
        <f t="shared" si="6"/>
        <v>3.875</v>
      </c>
      <c r="L17" s="979"/>
      <c r="M17" s="981"/>
      <c r="N17" s="981"/>
      <c r="O17" s="981"/>
    </row>
    <row r="18" ht="27.0" customHeight="1">
      <c r="A18" s="614"/>
      <c r="B18" s="615" t="s">
        <v>2416</v>
      </c>
      <c r="C18" s="86"/>
      <c r="D18" s="86"/>
      <c r="E18" s="614"/>
      <c r="F18" s="616"/>
      <c r="G18" s="695"/>
      <c r="H18" s="618"/>
      <c r="I18" s="614"/>
      <c r="J18" s="614"/>
      <c r="K18" s="614"/>
      <c r="L18" s="592" t="s">
        <v>2392</v>
      </c>
      <c r="M18" s="592" t="s">
        <v>2367</v>
      </c>
      <c r="N18" s="592" t="s">
        <v>2417</v>
      </c>
      <c r="O18" s="592" t="s">
        <v>2394</v>
      </c>
    </row>
    <row r="19" ht="58.5" customHeight="1" outlineLevel="1">
      <c r="A19" s="973">
        <v>1.0</v>
      </c>
      <c r="B19" s="740" t="s">
        <v>2418</v>
      </c>
      <c r="C19" s="740"/>
      <c r="D19" s="981"/>
      <c r="E19" s="977"/>
      <c r="F19" s="258">
        <v>150.0</v>
      </c>
      <c r="G19" s="979">
        <v>139.0</v>
      </c>
      <c r="H19" s="162"/>
      <c r="I19" s="974">
        <f t="shared" ref="I19:I30" si="8">H19/G19</f>
        <v>0</v>
      </c>
      <c r="J19" s="975">
        <f t="shared" ref="J19:J30" si="9">G19-H19</f>
        <v>139</v>
      </c>
      <c r="K19" s="976" t="str">
        <f t="shared" ref="K19:K30" si="10">G19/H19-1</f>
        <v>#DIV/0!</v>
      </c>
      <c r="L19" s="981"/>
      <c r="M19" s="981"/>
      <c r="N19" s="981"/>
      <c r="O19" s="981"/>
    </row>
    <row r="20" outlineLevel="1">
      <c r="A20" s="257">
        <v>2.0</v>
      </c>
      <c r="B20" s="740" t="s">
        <v>2419</v>
      </c>
      <c r="C20" s="740"/>
      <c r="D20" s="981"/>
      <c r="E20" s="977"/>
      <c r="F20" s="258">
        <v>150.0</v>
      </c>
      <c r="G20" s="979">
        <v>139.0</v>
      </c>
      <c r="H20" s="162"/>
      <c r="I20" s="974">
        <f t="shared" si="8"/>
        <v>0</v>
      </c>
      <c r="J20" s="975">
        <f t="shared" si="9"/>
        <v>139</v>
      </c>
      <c r="K20" s="976" t="str">
        <f t="shared" si="10"/>
        <v>#DIV/0!</v>
      </c>
      <c r="L20" s="981"/>
      <c r="M20" s="981"/>
      <c r="N20" s="981"/>
      <c r="O20" s="981"/>
    </row>
    <row r="21" ht="26.25" customHeight="1" outlineLevel="1">
      <c r="A21" s="973"/>
      <c r="B21" s="740" t="s">
        <v>2420</v>
      </c>
      <c r="C21" s="740"/>
      <c r="D21" s="982"/>
      <c r="E21" s="257"/>
      <c r="F21" s="662">
        <v>150.0</v>
      </c>
      <c r="G21" s="979">
        <v>139.0</v>
      </c>
      <c r="H21" s="273"/>
      <c r="I21" s="974">
        <f t="shared" si="8"/>
        <v>0</v>
      </c>
      <c r="J21" s="975">
        <f t="shared" si="9"/>
        <v>139</v>
      </c>
      <c r="K21" s="976" t="str">
        <f t="shared" si="10"/>
        <v>#DIV/0!</v>
      </c>
      <c r="L21" s="981"/>
      <c r="M21" s="981"/>
      <c r="N21" s="981"/>
      <c r="O21" s="981"/>
    </row>
    <row r="22" ht="26.25" customHeight="1" outlineLevel="1">
      <c r="A22" s="973">
        <v>3.0</v>
      </c>
      <c r="B22" s="740" t="s">
        <v>2400</v>
      </c>
      <c r="C22" s="740"/>
      <c r="D22" s="982"/>
      <c r="E22" s="257"/>
      <c r="F22" s="662">
        <v>250.0</v>
      </c>
      <c r="G22" s="979">
        <v>149.0</v>
      </c>
      <c r="H22" s="273"/>
      <c r="I22" s="974">
        <f t="shared" si="8"/>
        <v>0</v>
      </c>
      <c r="J22" s="975">
        <f t="shared" si="9"/>
        <v>149</v>
      </c>
      <c r="K22" s="976" t="str">
        <f t="shared" si="10"/>
        <v>#DIV/0!</v>
      </c>
      <c r="L22" s="981"/>
      <c r="M22" s="981"/>
      <c r="N22" s="981"/>
      <c r="O22" s="981"/>
    </row>
    <row r="23" ht="15.75" customHeight="1" outlineLevel="1">
      <c r="A23" s="973">
        <v>4.0</v>
      </c>
      <c r="B23" s="740" t="s">
        <v>2402</v>
      </c>
      <c r="C23" s="740" t="s">
        <v>2403</v>
      </c>
      <c r="D23" s="981"/>
      <c r="E23" s="257"/>
      <c r="F23" s="258">
        <v>250.0</v>
      </c>
      <c r="G23" s="979">
        <v>149.0</v>
      </c>
      <c r="H23" s="162"/>
      <c r="I23" s="974">
        <f t="shared" si="8"/>
        <v>0</v>
      </c>
      <c r="J23" s="975">
        <f t="shared" si="9"/>
        <v>149</v>
      </c>
      <c r="K23" s="976" t="str">
        <f t="shared" si="10"/>
        <v>#DIV/0!</v>
      </c>
      <c r="L23" s="981"/>
      <c r="M23" s="981"/>
      <c r="N23" s="981"/>
      <c r="O23" s="981"/>
    </row>
    <row r="24" ht="15.75" customHeight="1" outlineLevel="1">
      <c r="A24" s="257">
        <v>5.0</v>
      </c>
      <c r="B24" s="740" t="s">
        <v>2421</v>
      </c>
      <c r="C24" s="740"/>
      <c r="D24" s="981"/>
      <c r="E24" s="257"/>
      <c r="F24" s="258">
        <v>250.0</v>
      </c>
      <c r="G24" s="979">
        <v>199.0</v>
      </c>
      <c r="H24" s="162"/>
      <c r="I24" s="974">
        <f t="shared" si="8"/>
        <v>0</v>
      </c>
      <c r="J24" s="975">
        <f t="shared" si="9"/>
        <v>199</v>
      </c>
      <c r="K24" s="976" t="str">
        <f t="shared" si="10"/>
        <v>#DIV/0!</v>
      </c>
      <c r="L24" s="981"/>
      <c r="M24" s="981"/>
      <c r="N24" s="981"/>
      <c r="O24" s="981"/>
    </row>
    <row r="25" ht="15.75" customHeight="1" outlineLevel="1">
      <c r="A25" s="973">
        <v>6.0</v>
      </c>
      <c r="B25" s="740" t="s">
        <v>2422</v>
      </c>
      <c r="C25" s="740"/>
      <c r="D25" s="981"/>
      <c r="E25" s="257"/>
      <c r="F25" s="258">
        <v>250.0</v>
      </c>
      <c r="G25" s="979">
        <v>199.0</v>
      </c>
      <c r="H25" s="162"/>
      <c r="I25" s="974">
        <f t="shared" si="8"/>
        <v>0</v>
      </c>
      <c r="J25" s="975">
        <f t="shared" si="9"/>
        <v>199</v>
      </c>
      <c r="K25" s="976" t="str">
        <f t="shared" si="10"/>
        <v>#DIV/0!</v>
      </c>
      <c r="L25" s="981"/>
      <c r="M25" s="981"/>
      <c r="N25" s="981"/>
      <c r="O25" s="981"/>
    </row>
    <row r="26" ht="46.5" customHeight="1" outlineLevel="1">
      <c r="A26" s="973">
        <v>7.0</v>
      </c>
      <c r="B26" s="740" t="s">
        <v>2423</v>
      </c>
      <c r="C26" s="740"/>
      <c r="D26" s="987"/>
      <c r="E26" s="257"/>
      <c r="F26" s="258">
        <v>250.0</v>
      </c>
      <c r="G26" s="979">
        <v>199.0</v>
      </c>
      <c r="H26" s="162"/>
      <c r="I26" s="974">
        <f t="shared" si="8"/>
        <v>0</v>
      </c>
      <c r="J26" s="975">
        <f t="shared" si="9"/>
        <v>199</v>
      </c>
      <c r="K26" s="976" t="str">
        <f t="shared" si="10"/>
        <v>#DIV/0!</v>
      </c>
      <c r="L26" s="981"/>
      <c r="M26" s="981"/>
      <c r="N26" s="981"/>
      <c r="O26" s="981"/>
    </row>
    <row r="27" ht="15.75" customHeight="1" outlineLevel="1">
      <c r="A27" s="973">
        <v>8.0</v>
      </c>
      <c r="B27" s="740" t="s">
        <v>2410</v>
      </c>
      <c r="C27" s="740" t="s">
        <v>2410</v>
      </c>
      <c r="D27" s="91"/>
      <c r="E27" s="257"/>
      <c r="F27" s="258"/>
      <c r="G27" s="162">
        <v>20.0</v>
      </c>
      <c r="H27" s="162">
        <v>3.58</v>
      </c>
      <c r="I27" s="974">
        <f t="shared" si="8"/>
        <v>0.179</v>
      </c>
      <c r="J27" s="975">
        <f t="shared" si="9"/>
        <v>16.42</v>
      </c>
      <c r="K27" s="976">
        <f t="shared" si="10"/>
        <v>4.586592179</v>
      </c>
      <c r="L27" s="981"/>
      <c r="M27" s="981"/>
      <c r="N27" s="981"/>
      <c r="O27" s="981"/>
    </row>
    <row r="28" ht="15.75" customHeight="1" outlineLevel="1">
      <c r="A28" s="257">
        <v>9.0</v>
      </c>
      <c r="B28" s="740" t="s">
        <v>2411</v>
      </c>
      <c r="C28" s="986" t="s">
        <v>2412</v>
      </c>
      <c r="D28" s="87"/>
      <c r="E28" s="257"/>
      <c r="F28" s="258"/>
      <c r="G28" s="162">
        <v>119.0</v>
      </c>
      <c r="H28" s="162">
        <v>24.77</v>
      </c>
      <c r="I28" s="974">
        <f t="shared" si="8"/>
        <v>0.2081512605</v>
      </c>
      <c r="J28" s="975">
        <f t="shared" si="9"/>
        <v>94.23</v>
      </c>
      <c r="K28" s="976">
        <f t="shared" si="10"/>
        <v>3.804198627</v>
      </c>
      <c r="L28" s="981"/>
      <c r="M28" s="981"/>
      <c r="N28" s="981"/>
      <c r="O28" s="981"/>
    </row>
    <row r="29" ht="15.75" customHeight="1">
      <c r="A29" s="257">
        <v>10.0</v>
      </c>
      <c r="B29" s="181" t="s">
        <v>2413</v>
      </c>
      <c r="C29" s="87" t="s">
        <v>2415</v>
      </c>
      <c r="D29" s="87"/>
      <c r="E29" s="181"/>
      <c r="F29" s="258">
        <v>20.0</v>
      </c>
      <c r="G29" s="162">
        <v>39.0</v>
      </c>
      <c r="H29" s="162">
        <v>8.0</v>
      </c>
      <c r="I29" s="974">
        <f t="shared" si="8"/>
        <v>0.2051282051</v>
      </c>
      <c r="J29" s="975">
        <f t="shared" si="9"/>
        <v>31</v>
      </c>
      <c r="K29" s="976">
        <f t="shared" si="10"/>
        <v>3.875</v>
      </c>
      <c r="L29" s="981"/>
      <c r="M29" s="981"/>
      <c r="N29" s="981"/>
      <c r="O29" s="981"/>
    </row>
    <row r="30" ht="15.75" customHeight="1">
      <c r="A30" s="257">
        <v>11.0</v>
      </c>
      <c r="B30" s="986" t="s">
        <v>2407</v>
      </c>
      <c r="C30" s="87" t="s">
        <v>2408</v>
      </c>
      <c r="D30" s="87"/>
      <c r="E30" s="257" t="s">
        <v>2409</v>
      </c>
      <c r="F30" s="258"/>
      <c r="G30" s="162">
        <v>159.0</v>
      </c>
      <c r="H30" s="162"/>
      <c r="I30" s="974">
        <f t="shared" si="8"/>
        <v>0</v>
      </c>
      <c r="J30" s="975">
        <f t="shared" si="9"/>
        <v>159</v>
      </c>
      <c r="K30" s="976" t="str">
        <f t="shared" si="10"/>
        <v>#DIV/0!</v>
      </c>
      <c r="L30" s="981"/>
      <c r="M30" s="981"/>
      <c r="N30" s="981"/>
      <c r="O30" s="981"/>
    </row>
    <row r="31" ht="15.75" customHeight="1">
      <c r="A31" s="842"/>
      <c r="B31" s="418" t="s">
        <v>2424</v>
      </c>
      <c r="C31" s="290"/>
      <c r="D31" s="290"/>
      <c r="E31" s="290"/>
      <c r="F31" s="910"/>
      <c r="G31" s="298"/>
      <c r="H31" s="908"/>
      <c r="I31" s="297"/>
      <c r="J31" s="326"/>
      <c r="K31" s="297"/>
      <c r="L31" s="981"/>
      <c r="M31" s="981"/>
      <c r="N31" s="981"/>
      <c r="O31" s="981"/>
    </row>
    <row r="32" ht="15.75" customHeight="1">
      <c r="A32" s="842"/>
      <c r="B32" s="418" t="s">
        <v>2425</v>
      </c>
      <c r="C32" s="290"/>
      <c r="D32" s="290"/>
      <c r="E32" s="290"/>
      <c r="F32" s="910"/>
      <c r="G32" s="298"/>
      <c r="H32" s="908"/>
      <c r="I32" s="297"/>
      <c r="J32" s="326"/>
      <c r="K32" s="297"/>
      <c r="L32" s="981"/>
      <c r="M32" s="981"/>
      <c r="N32" s="981"/>
      <c r="O32" s="981"/>
    </row>
    <row r="33" ht="15.75" customHeight="1">
      <c r="A33" s="988"/>
      <c r="B33" s="595" t="s">
        <v>2426</v>
      </c>
      <c r="C33" s="595" t="s">
        <v>2426</v>
      </c>
      <c r="D33" s="595"/>
      <c r="E33" s="595"/>
      <c r="F33" s="983" t="s">
        <v>2427</v>
      </c>
      <c r="G33" s="989">
        <v>99.0</v>
      </c>
      <c r="H33" s="990">
        <v>20.0</v>
      </c>
      <c r="I33" s="974">
        <f t="shared" ref="I33:I34" si="11">H33/G33</f>
        <v>0.202020202</v>
      </c>
      <c r="J33" s="975">
        <f t="shared" ref="J33:J34" si="12">G33-H33</f>
        <v>79</v>
      </c>
      <c r="K33" s="976">
        <f t="shared" ref="K33:K34" si="13">G33/H33-1</f>
        <v>3.95</v>
      </c>
      <c r="L33" s="981"/>
      <c r="M33" s="981"/>
      <c r="N33" s="981"/>
      <c r="O33" s="981"/>
    </row>
    <row r="34" ht="15.75" customHeight="1">
      <c r="A34" s="988"/>
      <c r="B34" s="595" t="s">
        <v>2428</v>
      </c>
      <c r="C34" s="595" t="s">
        <v>2428</v>
      </c>
      <c r="D34" s="595"/>
      <c r="E34" s="595"/>
      <c r="F34" s="983" t="s">
        <v>2429</v>
      </c>
      <c r="G34" s="989">
        <v>129.0</v>
      </c>
      <c r="H34" s="990">
        <v>33.28</v>
      </c>
      <c r="I34" s="974">
        <f t="shared" si="11"/>
        <v>0.2579844961</v>
      </c>
      <c r="J34" s="975">
        <f t="shared" si="12"/>
        <v>95.72</v>
      </c>
      <c r="K34" s="976">
        <f t="shared" si="13"/>
        <v>2.876201923</v>
      </c>
      <c r="L34" s="981"/>
      <c r="M34" s="981"/>
      <c r="N34" s="981"/>
      <c r="O34" s="981"/>
    </row>
    <row r="35" ht="15.75" customHeight="1">
      <c r="A35" s="842"/>
      <c r="B35" s="418" t="s">
        <v>2430</v>
      </c>
      <c r="C35" s="290"/>
      <c r="D35" s="290"/>
      <c r="E35" s="290"/>
      <c r="F35" s="991"/>
      <c r="G35" s="992"/>
      <c r="H35" s="993"/>
      <c r="I35" s="994"/>
      <c r="J35" s="995"/>
      <c r="K35" s="994"/>
      <c r="L35" s="981"/>
      <c r="M35" s="981"/>
      <c r="N35" s="981"/>
      <c r="O35" s="981"/>
    </row>
    <row r="36" ht="15.75" customHeight="1">
      <c r="A36" s="988"/>
      <c r="B36" s="595" t="s">
        <v>518</v>
      </c>
      <c r="C36" s="595" t="s">
        <v>2431</v>
      </c>
      <c r="D36" s="595"/>
      <c r="E36" s="969"/>
      <c r="F36" s="983">
        <v>400.0</v>
      </c>
      <c r="G36" s="989">
        <v>99.0</v>
      </c>
      <c r="H36" s="990">
        <v>13.07</v>
      </c>
      <c r="I36" s="974">
        <f t="shared" ref="I36:I37" si="14">H36/G36</f>
        <v>0.132020202</v>
      </c>
      <c r="J36" s="975">
        <f t="shared" ref="J36:J37" si="15">G36-H36</f>
        <v>85.93</v>
      </c>
      <c r="K36" s="976">
        <f t="shared" ref="K36:K37" si="16">G36/H36-1</f>
        <v>6.574598317</v>
      </c>
      <c r="L36" s="592"/>
      <c r="M36" s="592"/>
      <c r="N36" s="592"/>
      <c r="O36" s="592"/>
    </row>
    <row r="37" ht="15.75" customHeight="1">
      <c r="A37" s="988"/>
      <c r="B37" s="595" t="s">
        <v>524</v>
      </c>
      <c r="C37" s="595" t="s">
        <v>2432</v>
      </c>
      <c r="D37" s="595"/>
      <c r="E37" s="969"/>
      <c r="F37" s="983">
        <v>400.0</v>
      </c>
      <c r="G37" s="989">
        <v>99.0</v>
      </c>
      <c r="H37" s="990">
        <v>13.07</v>
      </c>
      <c r="I37" s="974">
        <f t="shared" si="14"/>
        <v>0.132020202</v>
      </c>
      <c r="J37" s="975">
        <f t="shared" si="15"/>
        <v>85.93</v>
      </c>
      <c r="K37" s="976">
        <f t="shared" si="16"/>
        <v>6.574598317</v>
      </c>
      <c r="L37" s="592"/>
      <c r="M37" s="592"/>
      <c r="N37" s="592"/>
      <c r="O37" s="592"/>
    </row>
    <row r="38" ht="15.75" customHeight="1">
      <c r="A38" s="304"/>
      <c r="B38" s="996" t="s">
        <v>2433</v>
      </c>
      <c r="C38" s="997"/>
      <c r="D38" s="997"/>
      <c r="E38" s="997"/>
      <c r="F38" s="991"/>
      <c r="G38" s="995"/>
      <c r="H38" s="993"/>
      <c r="I38" s="994"/>
      <c r="J38" s="995"/>
      <c r="K38" s="994"/>
      <c r="L38" s="592"/>
      <c r="M38" s="592"/>
      <c r="N38" s="592"/>
      <c r="O38" s="592"/>
    </row>
    <row r="39" ht="15.75" customHeight="1">
      <c r="A39" s="285"/>
      <c r="B39" s="969" t="s">
        <v>2434</v>
      </c>
      <c r="C39" s="969" t="s">
        <v>2434</v>
      </c>
      <c r="D39" s="969"/>
      <c r="E39" s="969"/>
      <c r="F39" s="983" t="s">
        <v>2429</v>
      </c>
      <c r="G39" s="998">
        <v>69.0</v>
      </c>
      <c r="H39" s="990">
        <v>16.54</v>
      </c>
      <c r="I39" s="974">
        <f t="shared" ref="I39:I40" si="17">H39/G39</f>
        <v>0.2397101449</v>
      </c>
      <c r="J39" s="975">
        <f t="shared" ref="J39:J40" si="18">G39-H39</f>
        <v>52.46</v>
      </c>
      <c r="K39" s="976">
        <f t="shared" ref="K39:K40" si="19">G39/H39-1</f>
        <v>3.171704958</v>
      </c>
      <c r="L39" s="592"/>
      <c r="M39" s="592"/>
      <c r="N39" s="592"/>
      <c r="O39" s="592"/>
    </row>
    <row r="40" ht="15.75" customHeight="1">
      <c r="A40" s="285"/>
      <c r="B40" s="969" t="s">
        <v>2435</v>
      </c>
      <c r="C40" s="969" t="s">
        <v>2435</v>
      </c>
      <c r="D40" s="969"/>
      <c r="E40" s="969"/>
      <c r="F40" s="983" t="s">
        <v>901</v>
      </c>
      <c r="G40" s="998">
        <v>169.0</v>
      </c>
      <c r="H40" s="990">
        <v>34.03</v>
      </c>
      <c r="I40" s="974">
        <f t="shared" si="17"/>
        <v>0.2013609467</v>
      </c>
      <c r="J40" s="975">
        <f t="shared" si="18"/>
        <v>134.97</v>
      </c>
      <c r="K40" s="976">
        <f t="shared" si="19"/>
        <v>3.966206289</v>
      </c>
      <c r="L40" s="592"/>
      <c r="M40" s="592"/>
      <c r="N40" s="592"/>
      <c r="O40" s="592"/>
    </row>
    <row r="41" ht="15.75" customHeight="1">
      <c r="A41" s="304"/>
      <c r="B41" s="594" t="s">
        <v>2436</v>
      </c>
      <c r="C41" s="421" t="s">
        <v>1627</v>
      </c>
      <c r="D41" s="421"/>
      <c r="E41" s="421"/>
      <c r="F41" s="910"/>
      <c r="G41" s="326"/>
      <c r="H41" s="908"/>
      <c r="I41" s="297">
        <f>AVERAGE(I42:I43)</f>
        <v>0.2481481481</v>
      </c>
      <c r="J41" s="326"/>
      <c r="K41" s="297"/>
      <c r="L41" s="592"/>
      <c r="M41" s="592"/>
      <c r="N41" s="592"/>
      <c r="O41" s="592"/>
    </row>
    <row r="42" ht="15.75" customHeight="1">
      <c r="A42" s="845">
        <v>9.0</v>
      </c>
      <c r="B42" s="606" t="s">
        <v>1626</v>
      </c>
      <c r="C42" s="606" t="s">
        <v>1627</v>
      </c>
      <c r="D42" s="606"/>
      <c r="E42" s="606"/>
      <c r="F42" s="607" t="s">
        <v>2437</v>
      </c>
      <c r="G42" s="319">
        <v>189.0</v>
      </c>
      <c r="H42" s="608">
        <f t="shared" ref="H42:H43" si="20">23.45*2</f>
        <v>46.9</v>
      </c>
      <c r="I42" s="569">
        <f t="shared" ref="I42:I43" si="21">H42/G42</f>
        <v>0.2481481481</v>
      </c>
      <c r="J42" s="315">
        <f t="shared" ref="J42:J43" si="22">G42-H42</f>
        <v>142.1</v>
      </c>
      <c r="K42" s="316">
        <f t="shared" ref="K42:K43" si="23">G42/H42-1</f>
        <v>3.029850746</v>
      </c>
      <c r="L42" s="592"/>
      <c r="M42" s="592"/>
      <c r="N42" s="592"/>
      <c r="O42" s="592"/>
    </row>
    <row r="43" ht="15.75" customHeight="1">
      <c r="A43" s="845">
        <v>10.0</v>
      </c>
      <c r="B43" s="606" t="s">
        <v>1635</v>
      </c>
      <c r="C43" s="606" t="s">
        <v>1627</v>
      </c>
      <c r="D43" s="606"/>
      <c r="E43" s="606"/>
      <c r="F43" s="607" t="s">
        <v>2437</v>
      </c>
      <c r="G43" s="319">
        <v>189.0</v>
      </c>
      <c r="H43" s="608">
        <f t="shared" si="20"/>
        <v>46.9</v>
      </c>
      <c r="I43" s="569">
        <f t="shared" si="21"/>
        <v>0.2481481481</v>
      </c>
      <c r="J43" s="315">
        <f t="shared" si="22"/>
        <v>142.1</v>
      </c>
      <c r="K43" s="316">
        <f t="shared" si="23"/>
        <v>3.029850746</v>
      </c>
      <c r="L43" s="592"/>
      <c r="M43" s="592"/>
      <c r="N43" s="592"/>
      <c r="O43" s="592"/>
    </row>
    <row r="44" ht="15.75" customHeight="1">
      <c r="A44" s="285"/>
      <c r="B44" s="595"/>
      <c r="C44" s="595"/>
      <c r="D44" s="595"/>
      <c r="E44" s="595"/>
      <c r="F44" s="596"/>
      <c r="G44" s="319"/>
      <c r="H44" s="345"/>
      <c r="I44" s="332"/>
      <c r="J44" s="319"/>
      <c r="K44" s="332"/>
      <c r="L44" s="592"/>
      <c r="M44" s="592"/>
      <c r="N44" s="592"/>
      <c r="O44" s="592"/>
    </row>
    <row r="45" ht="15.75" customHeight="1">
      <c r="A45" s="285"/>
      <c r="B45" s="595"/>
      <c r="C45" s="595"/>
      <c r="D45" s="595"/>
      <c r="E45" s="595"/>
      <c r="F45" s="596"/>
      <c r="G45" s="319"/>
      <c r="H45" s="345"/>
      <c r="I45" s="332"/>
      <c r="J45" s="319"/>
      <c r="K45" s="332"/>
      <c r="L45" s="592"/>
      <c r="M45" s="592"/>
      <c r="N45" s="592"/>
      <c r="O45" s="592"/>
    </row>
    <row r="46" ht="15.75" customHeight="1">
      <c r="A46" s="981"/>
      <c r="B46" s="344"/>
      <c r="C46" s="981"/>
      <c r="D46" s="981"/>
      <c r="E46" s="981"/>
      <c r="F46" s="981"/>
      <c r="G46" s="981"/>
      <c r="H46" s="981"/>
      <c r="I46" s="981"/>
      <c r="J46" s="981"/>
      <c r="K46" s="981"/>
      <c r="L46" s="592"/>
      <c r="M46" s="592"/>
      <c r="N46" s="592"/>
      <c r="O46" s="592"/>
    </row>
    <row r="47" ht="15.75" customHeight="1">
      <c r="A47" s="592"/>
      <c r="B47" s="999"/>
      <c r="C47" s="592"/>
      <c r="D47" s="592"/>
      <c r="E47" s="592"/>
      <c r="F47" s="592"/>
      <c r="G47" s="592"/>
      <c r="H47" s="592"/>
      <c r="I47" s="592"/>
      <c r="J47" s="592"/>
      <c r="K47" s="592"/>
      <c r="L47" s="592"/>
      <c r="M47" s="592"/>
      <c r="N47" s="592"/>
      <c r="O47" s="592"/>
    </row>
    <row r="48" ht="15.75" customHeight="1">
      <c r="A48" s="592"/>
      <c r="B48" s="999"/>
      <c r="C48" s="592"/>
      <c r="D48" s="592"/>
      <c r="E48" s="592"/>
      <c r="F48" s="592"/>
      <c r="G48" s="592"/>
      <c r="H48" s="592"/>
      <c r="I48" s="592"/>
      <c r="J48" s="592"/>
      <c r="K48" s="592"/>
      <c r="L48" s="592"/>
      <c r="M48" s="592"/>
      <c r="N48" s="592"/>
      <c r="O48" s="592"/>
    </row>
    <row r="49" ht="15.75" customHeight="1">
      <c r="A49" s="592"/>
      <c r="B49" s="999"/>
      <c r="C49" s="592"/>
      <c r="D49" s="592"/>
      <c r="E49" s="592"/>
      <c r="F49" s="592"/>
      <c r="G49" s="592"/>
      <c r="H49" s="592"/>
      <c r="I49" s="592"/>
      <c r="J49" s="592"/>
      <c r="K49" s="592"/>
      <c r="L49" s="592"/>
      <c r="M49" s="592"/>
      <c r="N49" s="592"/>
      <c r="O49" s="592"/>
    </row>
    <row r="50" ht="15.75" customHeight="1">
      <c r="A50" s="592"/>
      <c r="B50" s="999"/>
      <c r="C50" s="592"/>
      <c r="D50" s="592"/>
      <c r="E50" s="592"/>
      <c r="F50" s="592"/>
      <c r="G50" s="592"/>
      <c r="H50" s="592"/>
      <c r="I50" s="592"/>
      <c r="J50" s="592"/>
      <c r="K50" s="592"/>
      <c r="L50" s="592"/>
      <c r="M50" s="592"/>
      <c r="N50" s="592"/>
      <c r="O50" s="592"/>
    </row>
    <row r="51" ht="15.75" customHeight="1">
      <c r="A51" s="592"/>
      <c r="B51" s="999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</row>
    <row r="52" ht="15.75" customHeight="1">
      <c r="A52" s="592"/>
      <c r="B52" s="999"/>
      <c r="C52" s="592"/>
      <c r="D52" s="592"/>
      <c r="E52" s="592"/>
      <c r="F52" s="592"/>
      <c r="G52" s="592"/>
      <c r="H52" s="592"/>
      <c r="I52" s="592"/>
      <c r="J52" s="592"/>
      <c r="K52" s="592"/>
      <c r="L52" s="592"/>
      <c r="M52" s="592"/>
      <c r="N52" s="592"/>
      <c r="O52" s="592"/>
    </row>
    <row r="53" ht="15.75" customHeight="1">
      <c r="A53" s="592"/>
      <c r="B53" s="999"/>
      <c r="C53" s="592"/>
      <c r="D53" s="592"/>
      <c r="E53" s="592"/>
      <c r="F53" s="592"/>
      <c r="G53" s="592"/>
      <c r="H53" s="592"/>
      <c r="I53" s="592"/>
      <c r="J53" s="592"/>
      <c r="K53" s="592"/>
      <c r="L53" s="592"/>
      <c r="M53" s="592"/>
      <c r="N53" s="592"/>
      <c r="O53" s="592"/>
    </row>
    <row r="54" ht="15.75" customHeight="1">
      <c r="A54" s="592"/>
      <c r="B54" s="999"/>
      <c r="C54" s="592"/>
      <c r="D54" s="592"/>
      <c r="E54" s="592"/>
      <c r="F54" s="592"/>
      <c r="G54" s="592"/>
      <c r="H54" s="592"/>
      <c r="I54" s="592"/>
      <c r="J54" s="592"/>
      <c r="K54" s="592"/>
      <c r="L54" s="592"/>
      <c r="M54" s="592"/>
      <c r="N54" s="592"/>
      <c r="O54" s="592"/>
    </row>
    <row r="55" ht="15.75" customHeight="1">
      <c r="A55" s="592"/>
      <c r="B55" s="592"/>
      <c r="C55" s="592"/>
      <c r="D55" s="592"/>
      <c r="E55" s="592"/>
      <c r="F55" s="592"/>
      <c r="G55" s="592"/>
      <c r="H55" s="592"/>
      <c r="I55" s="592"/>
      <c r="J55" s="592"/>
      <c r="K55" s="592"/>
      <c r="L55" s="592"/>
      <c r="M55" s="592"/>
      <c r="N55" s="592"/>
      <c r="O55" s="592"/>
    </row>
    <row r="56" ht="15.75" customHeight="1">
      <c r="A56" s="592"/>
      <c r="B56" s="592"/>
      <c r="C56" s="592"/>
      <c r="D56" s="592"/>
      <c r="E56" s="592"/>
      <c r="F56" s="592"/>
      <c r="G56" s="592"/>
      <c r="H56" s="592"/>
      <c r="I56" s="592"/>
      <c r="J56" s="592"/>
      <c r="K56" s="592"/>
      <c r="L56" s="592"/>
      <c r="M56" s="592"/>
      <c r="N56" s="592"/>
      <c r="O56" s="592"/>
    </row>
    <row r="57" ht="15.75" customHeight="1">
      <c r="A57" s="592"/>
      <c r="B57" s="592"/>
      <c r="C57" s="592"/>
      <c r="D57" s="592"/>
      <c r="E57" s="592"/>
      <c r="F57" s="592"/>
      <c r="G57" s="592"/>
      <c r="H57" s="592"/>
      <c r="I57" s="592"/>
      <c r="J57" s="592"/>
      <c r="K57" s="592"/>
      <c r="L57" s="592"/>
      <c r="M57" s="592"/>
      <c r="N57" s="592"/>
      <c r="O57" s="592"/>
    </row>
    <row r="58" ht="15.75" customHeight="1">
      <c r="A58" s="592"/>
      <c r="B58" s="592"/>
      <c r="C58" s="592"/>
      <c r="D58" s="592"/>
      <c r="E58" s="592"/>
      <c r="F58" s="592"/>
      <c r="G58" s="592"/>
      <c r="H58" s="592"/>
      <c r="I58" s="592"/>
      <c r="J58" s="592"/>
      <c r="K58" s="592"/>
      <c r="L58" s="592"/>
      <c r="M58" s="592"/>
      <c r="N58" s="592"/>
      <c r="O58" s="592"/>
    </row>
    <row r="59" ht="15.75" customHeight="1">
      <c r="A59" s="592"/>
      <c r="B59" s="592"/>
      <c r="C59" s="592"/>
      <c r="D59" s="592"/>
      <c r="E59" s="592"/>
      <c r="F59" s="592"/>
      <c r="G59" s="592"/>
      <c r="H59" s="592"/>
      <c r="I59" s="592"/>
      <c r="J59" s="592"/>
      <c r="K59" s="592"/>
      <c r="L59" s="592"/>
      <c r="M59" s="592"/>
      <c r="N59" s="592"/>
      <c r="O59" s="592"/>
    </row>
    <row r="60" ht="15.75" customHeight="1">
      <c r="A60" s="592"/>
      <c r="B60" s="592"/>
      <c r="C60" s="592"/>
      <c r="D60" s="592"/>
      <c r="E60" s="592"/>
      <c r="F60" s="592"/>
      <c r="G60" s="592"/>
      <c r="H60" s="592"/>
      <c r="I60" s="592"/>
      <c r="J60" s="592"/>
      <c r="K60" s="592"/>
      <c r="L60" s="592"/>
      <c r="M60" s="592"/>
      <c r="N60" s="592"/>
      <c r="O60" s="592"/>
    </row>
    <row r="61" ht="15.75" customHeight="1">
      <c r="A61" s="592"/>
      <c r="B61" s="592"/>
      <c r="C61" s="592"/>
      <c r="D61" s="592"/>
      <c r="E61" s="592"/>
      <c r="F61" s="592"/>
      <c r="G61" s="592"/>
      <c r="H61" s="592"/>
      <c r="I61" s="592"/>
      <c r="J61" s="592"/>
      <c r="K61" s="592"/>
      <c r="L61" s="592"/>
      <c r="M61" s="592"/>
      <c r="N61" s="592"/>
      <c r="O61" s="592"/>
    </row>
    <row r="62" ht="15.75" customHeight="1">
      <c r="A62" s="592"/>
      <c r="B62" s="592"/>
      <c r="C62" s="592"/>
      <c r="D62" s="592"/>
      <c r="E62" s="592"/>
      <c r="F62" s="592"/>
      <c r="G62" s="592"/>
      <c r="H62" s="592"/>
      <c r="I62" s="592"/>
      <c r="J62" s="592"/>
      <c r="K62" s="592"/>
      <c r="L62" s="592"/>
      <c r="M62" s="592"/>
      <c r="N62" s="592"/>
      <c r="O62" s="592"/>
    </row>
    <row r="63" ht="15.75" customHeight="1">
      <c r="A63" s="592"/>
      <c r="B63" s="592"/>
      <c r="C63" s="592"/>
      <c r="D63" s="592"/>
      <c r="E63" s="592"/>
      <c r="F63" s="592"/>
      <c r="G63" s="592"/>
      <c r="H63" s="592"/>
      <c r="I63" s="592"/>
      <c r="J63" s="592"/>
      <c r="K63" s="592"/>
      <c r="L63" s="592"/>
      <c r="M63" s="592"/>
      <c r="N63" s="592"/>
      <c r="O63" s="592"/>
    </row>
    <row r="64" ht="15.75" customHeight="1">
      <c r="A64" s="592"/>
      <c r="B64" s="592"/>
      <c r="C64" s="592"/>
      <c r="D64" s="592"/>
      <c r="E64" s="592"/>
      <c r="F64" s="592"/>
      <c r="G64" s="592"/>
      <c r="H64" s="592"/>
      <c r="I64" s="592"/>
      <c r="J64" s="592"/>
      <c r="K64" s="592"/>
      <c r="L64" s="592"/>
      <c r="M64" s="592"/>
      <c r="N64" s="592"/>
      <c r="O64" s="592"/>
    </row>
    <row r="65" ht="15.75" customHeight="1">
      <c r="A65" s="592"/>
      <c r="B65" s="592"/>
      <c r="C65" s="592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2"/>
    </row>
    <row r="66" ht="15.75" customHeight="1">
      <c r="A66" s="592"/>
      <c r="B66" s="592"/>
      <c r="C66" s="592"/>
      <c r="D66" s="592"/>
      <c r="E66" s="592"/>
      <c r="F66" s="592"/>
      <c r="G66" s="592"/>
      <c r="H66" s="592"/>
      <c r="I66" s="592"/>
      <c r="J66" s="592"/>
      <c r="K66" s="592"/>
      <c r="L66" s="592"/>
      <c r="M66" s="592"/>
      <c r="N66" s="592"/>
      <c r="O66" s="592"/>
    </row>
    <row r="67" ht="15.75" customHeight="1">
      <c r="A67" s="592"/>
      <c r="B67" s="592"/>
      <c r="C67" s="592"/>
      <c r="D67" s="592"/>
      <c r="E67" s="592"/>
      <c r="F67" s="592"/>
      <c r="G67" s="592"/>
      <c r="H67" s="592"/>
      <c r="I67" s="592"/>
      <c r="J67" s="592"/>
      <c r="K67" s="592"/>
      <c r="L67" s="592"/>
      <c r="M67" s="592"/>
      <c r="N67" s="592"/>
      <c r="O67" s="592"/>
    </row>
    <row r="68" ht="15.75" customHeight="1">
      <c r="A68" s="592"/>
      <c r="B68" s="592"/>
      <c r="C68" s="592"/>
      <c r="D68" s="592"/>
      <c r="E68" s="592"/>
      <c r="F68" s="592"/>
      <c r="G68" s="592"/>
      <c r="H68" s="592"/>
      <c r="I68" s="592"/>
      <c r="J68" s="592"/>
      <c r="K68" s="592"/>
      <c r="L68" s="592"/>
      <c r="M68" s="592"/>
      <c r="N68" s="592"/>
      <c r="O68" s="592"/>
    </row>
    <row r="69" ht="15.75" customHeight="1">
      <c r="A69" s="592"/>
      <c r="B69" s="592"/>
      <c r="C69" s="592"/>
      <c r="D69" s="592"/>
      <c r="E69" s="592"/>
      <c r="F69" s="592"/>
      <c r="G69" s="592"/>
      <c r="H69" s="592"/>
      <c r="I69" s="592"/>
      <c r="J69" s="592"/>
      <c r="K69" s="592"/>
      <c r="L69" s="592"/>
      <c r="M69" s="592"/>
      <c r="N69" s="592"/>
      <c r="O69" s="592"/>
    </row>
    <row r="70" ht="15.75" customHeight="1">
      <c r="A70" s="592"/>
      <c r="B70" s="592"/>
      <c r="C70" s="592"/>
      <c r="D70" s="592"/>
      <c r="E70" s="592"/>
      <c r="F70" s="592"/>
      <c r="G70" s="592"/>
      <c r="H70" s="592"/>
      <c r="I70" s="592"/>
      <c r="J70" s="592"/>
      <c r="K70" s="592"/>
      <c r="L70" s="592"/>
      <c r="M70" s="592"/>
      <c r="N70" s="592"/>
      <c r="O70" s="592"/>
    </row>
    <row r="71" ht="15.75" customHeight="1">
      <c r="A71" s="592"/>
      <c r="B71" s="592"/>
      <c r="C71" s="592"/>
      <c r="D71" s="592"/>
      <c r="E71" s="592"/>
      <c r="F71" s="592"/>
      <c r="G71" s="592"/>
      <c r="H71" s="592"/>
      <c r="I71" s="592"/>
      <c r="J71" s="592"/>
      <c r="K71" s="592"/>
      <c r="L71" s="592"/>
      <c r="M71" s="592"/>
      <c r="N71" s="592"/>
      <c r="O71" s="592"/>
    </row>
    <row r="72" ht="15.75" customHeight="1">
      <c r="A72" s="592"/>
      <c r="B72" s="592"/>
      <c r="C72" s="592"/>
      <c r="D72" s="592"/>
      <c r="E72" s="592"/>
      <c r="F72" s="592"/>
      <c r="G72" s="592"/>
      <c r="H72" s="592"/>
      <c r="I72" s="592"/>
      <c r="J72" s="592"/>
      <c r="K72" s="592"/>
      <c r="L72" s="592"/>
      <c r="M72" s="592"/>
      <c r="N72" s="592"/>
      <c r="O72" s="592"/>
    </row>
    <row r="73" ht="15.75" customHeight="1">
      <c r="A73" s="592"/>
      <c r="B73" s="592"/>
      <c r="C73" s="592"/>
      <c r="D73" s="592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2"/>
    </row>
    <row r="74" ht="15.75" customHeight="1">
      <c r="A74" s="592"/>
      <c r="B74" s="592"/>
      <c r="C74" s="592"/>
      <c r="D74" s="592"/>
      <c r="E74" s="592"/>
      <c r="F74" s="592"/>
      <c r="G74" s="592"/>
      <c r="H74" s="592"/>
      <c r="I74" s="592"/>
      <c r="J74" s="592"/>
      <c r="K74" s="592"/>
      <c r="L74" s="592"/>
      <c r="M74" s="592"/>
      <c r="N74" s="592"/>
      <c r="O74" s="592"/>
    </row>
    <row r="75" ht="15.75" customHeight="1">
      <c r="A75" s="592"/>
      <c r="B75" s="592"/>
      <c r="C75" s="592"/>
      <c r="D75" s="592"/>
      <c r="E75" s="592"/>
      <c r="F75" s="592"/>
      <c r="G75" s="592"/>
      <c r="H75" s="592"/>
      <c r="I75" s="592"/>
      <c r="J75" s="592"/>
      <c r="K75" s="592"/>
      <c r="L75" s="592"/>
      <c r="M75" s="592"/>
      <c r="N75" s="592"/>
      <c r="O75" s="592"/>
    </row>
    <row r="76" ht="15.75" customHeight="1">
      <c r="A76" s="592"/>
      <c r="B76" s="592"/>
      <c r="C76" s="592"/>
      <c r="D76" s="592"/>
      <c r="E76" s="592"/>
      <c r="F76" s="592"/>
      <c r="G76" s="592"/>
      <c r="H76" s="592"/>
      <c r="I76" s="592"/>
      <c r="J76" s="592"/>
      <c r="K76" s="592"/>
      <c r="L76" s="592"/>
      <c r="M76" s="592"/>
      <c r="N76" s="592"/>
      <c r="O76" s="592"/>
    </row>
    <row r="77" ht="15.75" customHeight="1">
      <c r="A77" s="592"/>
      <c r="B77" s="592"/>
      <c r="C77" s="592"/>
      <c r="D77" s="592"/>
      <c r="E77" s="592"/>
      <c r="F77" s="592"/>
      <c r="G77" s="592"/>
      <c r="H77" s="592"/>
      <c r="I77" s="592"/>
      <c r="J77" s="592"/>
      <c r="K77" s="592"/>
      <c r="L77" s="592"/>
      <c r="M77" s="592"/>
      <c r="N77" s="592"/>
      <c r="O77" s="592"/>
    </row>
    <row r="78" ht="15.75" customHeight="1">
      <c r="A78" s="592"/>
      <c r="B78" s="592"/>
      <c r="C78" s="592"/>
      <c r="D78" s="592"/>
      <c r="E78" s="592"/>
      <c r="F78" s="592"/>
      <c r="G78" s="592"/>
      <c r="H78" s="592"/>
      <c r="I78" s="592"/>
      <c r="J78" s="592"/>
      <c r="K78" s="592"/>
      <c r="L78" s="592"/>
      <c r="M78" s="592"/>
      <c r="N78" s="592"/>
      <c r="O78" s="592"/>
    </row>
    <row r="79" ht="15.75" customHeight="1">
      <c r="A79" s="592"/>
      <c r="B79" s="592"/>
      <c r="C79" s="592"/>
      <c r="D79" s="592"/>
      <c r="E79" s="592"/>
      <c r="F79" s="592"/>
      <c r="G79" s="592"/>
      <c r="H79" s="592"/>
      <c r="I79" s="592"/>
      <c r="J79" s="592"/>
      <c r="K79" s="592"/>
      <c r="L79" s="592"/>
      <c r="M79" s="592"/>
      <c r="N79" s="592"/>
      <c r="O79" s="592"/>
    </row>
    <row r="80" ht="15.75" customHeight="1">
      <c r="A80" s="592"/>
      <c r="B80" s="592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592"/>
      <c r="N80" s="592"/>
      <c r="O80" s="592"/>
    </row>
    <row r="81" ht="15.75" customHeight="1">
      <c r="A81" s="592"/>
      <c r="B81" s="592"/>
      <c r="C81" s="592"/>
      <c r="D81" s="592"/>
      <c r="E81" s="592"/>
      <c r="F81" s="592"/>
      <c r="G81" s="592"/>
      <c r="H81" s="592"/>
      <c r="I81" s="592"/>
      <c r="J81" s="592"/>
      <c r="K81" s="592"/>
      <c r="L81" s="592"/>
      <c r="M81" s="592"/>
      <c r="N81" s="592"/>
      <c r="O81" s="592"/>
    </row>
    <row r="82" ht="15.75" customHeight="1">
      <c r="A82" s="592"/>
      <c r="B82" s="592"/>
      <c r="C82" s="592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2"/>
    </row>
    <row r="83" ht="15.75" customHeight="1">
      <c r="A83" s="592"/>
      <c r="B83" s="592"/>
      <c r="C83" s="592"/>
      <c r="D83" s="592"/>
      <c r="E83" s="592"/>
      <c r="F83" s="592"/>
      <c r="G83" s="592"/>
      <c r="H83" s="592"/>
      <c r="I83" s="592"/>
      <c r="J83" s="592"/>
      <c r="K83" s="592"/>
      <c r="L83" s="592"/>
      <c r="M83" s="592"/>
      <c r="N83" s="592"/>
      <c r="O83" s="592"/>
    </row>
    <row r="84" ht="15.75" customHeight="1">
      <c r="A84" s="592"/>
      <c r="B84" s="592"/>
      <c r="C84" s="592"/>
      <c r="D84" s="592"/>
      <c r="E84" s="592"/>
      <c r="F84" s="592"/>
      <c r="G84" s="592"/>
      <c r="H84" s="592"/>
      <c r="I84" s="592"/>
      <c r="J84" s="592"/>
      <c r="K84" s="592"/>
      <c r="L84" s="592"/>
      <c r="M84" s="592"/>
      <c r="N84" s="592"/>
      <c r="O84" s="592"/>
    </row>
    <row r="85" ht="15.75" customHeight="1">
      <c r="A85" s="592"/>
      <c r="B85" s="592"/>
      <c r="C85" s="592"/>
      <c r="D85" s="592"/>
      <c r="E85" s="592"/>
      <c r="F85" s="592"/>
      <c r="G85" s="592"/>
      <c r="H85" s="592"/>
      <c r="I85" s="592"/>
      <c r="J85" s="592"/>
      <c r="K85" s="592"/>
      <c r="L85" s="592"/>
      <c r="M85" s="592"/>
      <c r="N85" s="592"/>
      <c r="O85" s="592"/>
    </row>
    <row r="86" ht="15.75" customHeight="1">
      <c r="A86" s="592"/>
      <c r="B86" s="592"/>
      <c r="C86" s="592"/>
      <c r="D86" s="592"/>
      <c r="E86" s="592"/>
      <c r="F86" s="592"/>
      <c r="G86" s="592"/>
      <c r="H86" s="592"/>
      <c r="I86" s="592"/>
      <c r="J86" s="592"/>
      <c r="K86" s="592"/>
      <c r="L86" s="592"/>
      <c r="M86" s="592"/>
      <c r="N86" s="592"/>
      <c r="O86" s="592"/>
    </row>
    <row r="87" ht="15.75" customHeight="1">
      <c r="A87" s="592"/>
      <c r="B87" s="592"/>
      <c r="C87" s="592"/>
      <c r="D87" s="592"/>
      <c r="E87" s="592"/>
      <c r="F87" s="592"/>
      <c r="G87" s="592"/>
      <c r="H87" s="592"/>
      <c r="I87" s="592"/>
      <c r="J87" s="592"/>
      <c r="K87" s="592"/>
      <c r="L87" s="592"/>
      <c r="M87" s="592"/>
      <c r="N87" s="592"/>
      <c r="O87" s="592"/>
    </row>
    <row r="88" ht="15.75" customHeight="1">
      <c r="A88" s="592"/>
      <c r="B88" s="592"/>
      <c r="C88" s="592"/>
      <c r="D88" s="592"/>
      <c r="E88" s="592"/>
      <c r="F88" s="592"/>
      <c r="G88" s="592"/>
      <c r="H88" s="592"/>
      <c r="I88" s="592"/>
      <c r="J88" s="592"/>
      <c r="K88" s="592"/>
      <c r="L88" s="592"/>
      <c r="M88" s="592"/>
      <c r="N88" s="592"/>
      <c r="O88" s="592"/>
    </row>
    <row r="89" ht="15.75" customHeight="1">
      <c r="A89" s="592"/>
      <c r="B89" s="592"/>
      <c r="C89" s="592"/>
      <c r="D89" s="592"/>
      <c r="E89" s="592"/>
      <c r="F89" s="592"/>
      <c r="G89" s="592"/>
      <c r="H89" s="592"/>
      <c r="I89" s="592"/>
      <c r="J89" s="592"/>
      <c r="K89" s="592"/>
      <c r="L89" s="592"/>
      <c r="M89" s="592"/>
      <c r="N89" s="592"/>
      <c r="O89" s="592"/>
    </row>
    <row r="90" ht="15.75" customHeight="1">
      <c r="A90" s="592"/>
      <c r="B90" s="592"/>
      <c r="C90" s="592"/>
      <c r="D90" s="592"/>
      <c r="E90" s="592"/>
      <c r="F90" s="592"/>
      <c r="G90" s="592"/>
      <c r="H90" s="592"/>
      <c r="I90" s="592"/>
      <c r="J90" s="592"/>
      <c r="K90" s="592"/>
      <c r="L90" s="592"/>
      <c r="M90" s="592"/>
      <c r="N90" s="592"/>
      <c r="O90" s="592"/>
    </row>
    <row r="91" ht="15.75" customHeight="1">
      <c r="A91" s="592"/>
      <c r="B91" s="592"/>
      <c r="C91" s="592"/>
      <c r="D91" s="592"/>
      <c r="E91" s="592"/>
      <c r="F91" s="592"/>
      <c r="G91" s="592"/>
      <c r="H91" s="592"/>
      <c r="I91" s="592"/>
      <c r="J91" s="592"/>
      <c r="K91" s="592"/>
      <c r="L91" s="592"/>
      <c r="M91" s="592"/>
      <c r="N91" s="592"/>
      <c r="O91" s="592"/>
    </row>
    <row r="92" ht="15.75" customHeight="1">
      <c r="A92" s="592"/>
      <c r="B92" s="592"/>
      <c r="C92" s="592"/>
      <c r="D92" s="592"/>
      <c r="E92" s="592"/>
      <c r="F92" s="592"/>
      <c r="G92" s="592"/>
      <c r="H92" s="592"/>
      <c r="I92" s="592"/>
      <c r="J92" s="592"/>
      <c r="K92" s="592"/>
      <c r="L92" s="592"/>
      <c r="M92" s="592"/>
      <c r="N92" s="592"/>
      <c r="O92" s="592"/>
    </row>
    <row r="93" ht="15.75" customHeight="1">
      <c r="A93" s="592"/>
      <c r="B93" s="592"/>
      <c r="C93" s="592"/>
      <c r="D93" s="592"/>
      <c r="E93" s="592"/>
      <c r="F93" s="592"/>
      <c r="G93" s="592"/>
      <c r="H93" s="592"/>
      <c r="I93" s="592"/>
      <c r="J93" s="592"/>
      <c r="K93" s="592"/>
      <c r="L93" s="592"/>
      <c r="M93" s="592"/>
      <c r="N93" s="592"/>
      <c r="O93" s="592"/>
    </row>
    <row r="94" ht="15.75" customHeight="1">
      <c r="A94" s="592"/>
      <c r="B94" s="592"/>
      <c r="C94" s="592"/>
      <c r="D94" s="592"/>
      <c r="E94" s="592"/>
      <c r="F94" s="592"/>
      <c r="G94" s="592"/>
      <c r="H94" s="592"/>
      <c r="I94" s="592"/>
      <c r="J94" s="592"/>
      <c r="K94" s="592"/>
      <c r="L94" s="592"/>
      <c r="M94" s="592"/>
      <c r="N94" s="592"/>
      <c r="O94" s="592"/>
    </row>
    <row r="95" ht="15.75" customHeight="1">
      <c r="A95" s="592"/>
      <c r="B95" s="592"/>
      <c r="C95" s="592"/>
      <c r="D95" s="592"/>
      <c r="E95" s="592"/>
      <c r="F95" s="592"/>
      <c r="G95" s="592"/>
      <c r="H95" s="592"/>
      <c r="I95" s="592"/>
      <c r="J95" s="592"/>
      <c r="K95" s="592"/>
      <c r="L95" s="592"/>
      <c r="M95" s="592"/>
      <c r="N95" s="592"/>
      <c r="O95" s="592"/>
    </row>
    <row r="96" ht="15.75" customHeight="1">
      <c r="A96" s="592"/>
      <c r="B96" s="592"/>
      <c r="C96" s="592"/>
      <c r="D96" s="592"/>
      <c r="E96" s="592"/>
      <c r="F96" s="592"/>
      <c r="G96" s="592"/>
      <c r="H96" s="592"/>
      <c r="I96" s="592"/>
      <c r="J96" s="592"/>
      <c r="K96" s="592"/>
      <c r="L96" s="592"/>
      <c r="M96" s="592"/>
      <c r="N96" s="592"/>
      <c r="O96" s="592"/>
    </row>
    <row r="97" ht="15.75" customHeight="1">
      <c r="A97" s="592"/>
      <c r="B97" s="592"/>
      <c r="C97" s="592"/>
      <c r="D97" s="592"/>
      <c r="E97" s="592"/>
      <c r="F97" s="592"/>
      <c r="G97" s="592"/>
      <c r="H97" s="592"/>
      <c r="I97" s="592"/>
      <c r="J97" s="592"/>
      <c r="K97" s="592"/>
      <c r="L97" s="592"/>
      <c r="M97" s="592"/>
      <c r="N97" s="592"/>
      <c r="O97" s="592"/>
    </row>
    <row r="98" ht="15.75" customHeight="1">
      <c r="A98" s="592"/>
      <c r="B98" s="592"/>
      <c r="C98" s="592"/>
      <c r="D98" s="592"/>
      <c r="E98" s="592"/>
      <c r="F98" s="592"/>
      <c r="G98" s="592"/>
      <c r="H98" s="592"/>
      <c r="I98" s="592"/>
      <c r="J98" s="592"/>
      <c r="K98" s="592"/>
      <c r="L98" s="592"/>
      <c r="M98" s="592"/>
      <c r="N98" s="592"/>
      <c r="O98" s="592"/>
    </row>
    <row r="99" ht="15.75" customHeight="1">
      <c r="A99" s="592"/>
      <c r="B99" s="592"/>
      <c r="C99" s="592"/>
      <c r="D99" s="592"/>
      <c r="E99" s="592"/>
      <c r="F99" s="592"/>
      <c r="G99" s="592"/>
      <c r="H99" s="592"/>
      <c r="I99" s="592"/>
      <c r="J99" s="592"/>
      <c r="K99" s="592"/>
      <c r="L99" s="592"/>
      <c r="M99" s="592"/>
      <c r="N99" s="592"/>
      <c r="O99" s="592"/>
    </row>
    <row r="100" ht="15.75" customHeight="1">
      <c r="A100" s="592"/>
      <c r="B100" s="592"/>
      <c r="C100" s="592"/>
      <c r="D100" s="592"/>
      <c r="E100" s="592"/>
      <c r="F100" s="592"/>
      <c r="G100" s="592"/>
      <c r="H100" s="592"/>
      <c r="I100" s="592"/>
      <c r="J100" s="592"/>
      <c r="K100" s="592"/>
      <c r="L100" s="592"/>
      <c r="M100" s="592"/>
      <c r="N100" s="592"/>
      <c r="O100" s="592"/>
    </row>
    <row r="101" ht="15.75" customHeight="1">
      <c r="A101" s="592"/>
      <c r="B101" s="592"/>
      <c r="C101" s="592"/>
      <c r="D101" s="592"/>
      <c r="E101" s="592"/>
      <c r="F101" s="592"/>
      <c r="G101" s="592"/>
      <c r="H101" s="592"/>
      <c r="I101" s="592"/>
      <c r="J101" s="592"/>
      <c r="K101" s="592"/>
      <c r="L101" s="592"/>
      <c r="M101" s="592"/>
      <c r="N101" s="592"/>
      <c r="O101" s="592"/>
    </row>
    <row r="102" ht="15.75" customHeight="1">
      <c r="A102" s="592"/>
      <c r="B102" s="592"/>
      <c r="C102" s="592"/>
      <c r="D102" s="592"/>
      <c r="E102" s="592"/>
      <c r="F102" s="592"/>
      <c r="G102" s="592"/>
      <c r="H102" s="592"/>
      <c r="I102" s="592"/>
      <c r="J102" s="592"/>
      <c r="K102" s="592"/>
      <c r="L102" s="592"/>
      <c r="M102" s="592"/>
      <c r="N102" s="592"/>
      <c r="O102" s="592"/>
    </row>
    <row r="103" ht="15.75" customHeight="1">
      <c r="A103" s="592"/>
      <c r="B103" s="592"/>
      <c r="C103" s="592"/>
      <c r="D103" s="592"/>
      <c r="E103" s="592"/>
      <c r="F103" s="592"/>
      <c r="G103" s="592"/>
      <c r="H103" s="592"/>
      <c r="I103" s="592"/>
      <c r="J103" s="592"/>
      <c r="K103" s="592"/>
      <c r="L103" s="592"/>
      <c r="M103" s="592"/>
      <c r="N103" s="592"/>
      <c r="O103" s="592"/>
    </row>
    <row r="104" ht="15.75" customHeight="1">
      <c r="A104" s="592"/>
      <c r="B104" s="592"/>
      <c r="C104" s="592"/>
      <c r="D104" s="592"/>
      <c r="E104" s="592"/>
      <c r="F104" s="592"/>
      <c r="G104" s="592"/>
      <c r="H104" s="592"/>
      <c r="I104" s="592"/>
      <c r="J104" s="592"/>
      <c r="K104" s="592"/>
      <c r="L104" s="592"/>
      <c r="M104" s="592"/>
      <c r="N104" s="592"/>
      <c r="O104" s="592"/>
    </row>
    <row r="105" ht="15.75" customHeight="1">
      <c r="A105" s="592"/>
      <c r="B105" s="592"/>
      <c r="C105" s="592"/>
      <c r="D105" s="592"/>
      <c r="E105" s="592"/>
      <c r="F105" s="592"/>
      <c r="G105" s="592"/>
      <c r="H105" s="592"/>
      <c r="I105" s="592"/>
      <c r="J105" s="592"/>
      <c r="K105" s="592"/>
      <c r="L105" s="592"/>
      <c r="M105" s="592"/>
      <c r="N105" s="592"/>
      <c r="O105" s="592"/>
    </row>
    <row r="106" ht="15.75" customHeight="1">
      <c r="A106" s="592"/>
      <c r="B106" s="592"/>
      <c r="C106" s="592"/>
      <c r="D106" s="592"/>
      <c r="E106" s="592"/>
      <c r="F106" s="592"/>
      <c r="G106" s="592"/>
      <c r="H106" s="592"/>
      <c r="I106" s="592"/>
      <c r="J106" s="592"/>
      <c r="K106" s="592"/>
      <c r="L106" s="592"/>
      <c r="M106" s="592"/>
      <c r="N106" s="592"/>
      <c r="O106" s="592"/>
    </row>
    <row r="107" ht="15.75" customHeight="1">
      <c r="A107" s="592"/>
      <c r="B107" s="592"/>
      <c r="C107" s="592"/>
      <c r="D107" s="592"/>
      <c r="E107" s="592"/>
      <c r="F107" s="592"/>
      <c r="G107" s="592"/>
      <c r="H107" s="592"/>
      <c r="I107" s="592"/>
      <c r="J107" s="592"/>
      <c r="K107" s="592"/>
      <c r="L107" s="592"/>
      <c r="M107" s="592"/>
      <c r="N107" s="592"/>
      <c r="O107" s="592"/>
    </row>
    <row r="108" ht="15.75" customHeight="1">
      <c r="A108" s="592"/>
      <c r="B108" s="592"/>
      <c r="C108" s="592"/>
      <c r="D108" s="592"/>
      <c r="E108" s="592"/>
      <c r="F108" s="592"/>
      <c r="G108" s="592"/>
      <c r="H108" s="592"/>
      <c r="I108" s="592"/>
      <c r="J108" s="592"/>
      <c r="K108" s="592"/>
      <c r="L108" s="592"/>
      <c r="M108" s="592"/>
      <c r="N108" s="592"/>
      <c r="O108" s="592"/>
    </row>
    <row r="109" ht="15.75" customHeight="1">
      <c r="A109" s="592"/>
      <c r="B109" s="592"/>
      <c r="C109" s="592"/>
      <c r="D109" s="592"/>
      <c r="E109" s="592"/>
      <c r="F109" s="592"/>
      <c r="G109" s="592"/>
      <c r="H109" s="592"/>
      <c r="I109" s="592"/>
      <c r="J109" s="592"/>
      <c r="K109" s="592"/>
      <c r="L109" s="592"/>
      <c r="M109" s="592"/>
      <c r="N109" s="592"/>
      <c r="O109" s="592"/>
    </row>
    <row r="110" ht="15.75" customHeight="1">
      <c r="A110" s="592"/>
      <c r="B110" s="592"/>
      <c r="C110" s="592"/>
      <c r="D110" s="592"/>
      <c r="E110" s="592"/>
      <c r="F110" s="592"/>
      <c r="G110" s="592"/>
      <c r="H110" s="592"/>
      <c r="I110" s="592"/>
      <c r="J110" s="592"/>
      <c r="K110" s="592"/>
      <c r="L110" s="592"/>
      <c r="M110" s="592"/>
      <c r="N110" s="592"/>
      <c r="O110" s="592"/>
    </row>
    <row r="111" ht="15.75" customHeight="1">
      <c r="A111" s="592"/>
      <c r="B111" s="592"/>
      <c r="C111" s="592"/>
      <c r="D111" s="592"/>
      <c r="E111" s="592"/>
      <c r="F111" s="592"/>
      <c r="G111" s="592"/>
      <c r="H111" s="592"/>
      <c r="I111" s="592"/>
      <c r="J111" s="592"/>
      <c r="K111" s="592"/>
      <c r="L111" s="592"/>
      <c r="M111" s="592"/>
      <c r="N111" s="592"/>
      <c r="O111" s="592"/>
    </row>
    <row r="112" ht="15.75" customHeight="1">
      <c r="A112" s="592"/>
      <c r="B112" s="592"/>
      <c r="C112" s="592"/>
      <c r="D112" s="592"/>
      <c r="E112" s="592"/>
      <c r="F112" s="592"/>
      <c r="G112" s="592"/>
      <c r="H112" s="592"/>
      <c r="I112" s="592"/>
      <c r="J112" s="592"/>
      <c r="K112" s="592"/>
      <c r="L112" s="592"/>
      <c r="M112" s="592"/>
      <c r="N112" s="592"/>
      <c r="O112" s="592"/>
    </row>
    <row r="113" ht="15.75" customHeight="1">
      <c r="A113" s="592"/>
      <c r="B113" s="592"/>
      <c r="C113" s="592"/>
      <c r="D113" s="592"/>
      <c r="E113" s="592"/>
      <c r="F113" s="592"/>
      <c r="G113" s="592"/>
      <c r="H113" s="592"/>
      <c r="I113" s="592"/>
      <c r="J113" s="592"/>
      <c r="K113" s="592"/>
      <c r="L113" s="592"/>
      <c r="M113" s="592"/>
      <c r="N113" s="592"/>
      <c r="O113" s="592"/>
    </row>
    <row r="114" ht="15.75" customHeight="1">
      <c r="A114" s="592"/>
      <c r="B114" s="592"/>
      <c r="C114" s="592"/>
      <c r="D114" s="592"/>
      <c r="E114" s="592"/>
      <c r="F114" s="592"/>
      <c r="G114" s="592"/>
      <c r="H114" s="592"/>
      <c r="I114" s="592"/>
      <c r="J114" s="592"/>
      <c r="K114" s="592"/>
      <c r="L114" s="592"/>
      <c r="M114" s="592"/>
      <c r="N114" s="592"/>
      <c r="O114" s="592"/>
    </row>
    <row r="115" ht="15.75" customHeight="1">
      <c r="A115" s="592"/>
      <c r="B115" s="592"/>
      <c r="C115" s="592"/>
      <c r="D115" s="592"/>
      <c r="E115" s="592"/>
      <c r="F115" s="592"/>
      <c r="G115" s="592"/>
      <c r="H115" s="592"/>
      <c r="I115" s="592"/>
      <c r="J115" s="592"/>
      <c r="K115" s="592"/>
      <c r="L115" s="592"/>
      <c r="M115" s="592"/>
      <c r="N115" s="592"/>
      <c r="O115" s="592"/>
    </row>
    <row r="116" ht="15.75" customHeight="1">
      <c r="A116" s="592"/>
      <c r="B116" s="592"/>
      <c r="C116" s="592"/>
      <c r="D116" s="592"/>
      <c r="E116" s="592"/>
      <c r="F116" s="592"/>
      <c r="G116" s="592"/>
      <c r="H116" s="592"/>
      <c r="I116" s="592"/>
      <c r="J116" s="592"/>
      <c r="K116" s="592"/>
      <c r="L116" s="592"/>
      <c r="M116" s="592"/>
      <c r="N116" s="592"/>
      <c r="O116" s="592"/>
    </row>
    <row r="117" ht="15.75" customHeight="1">
      <c r="A117" s="592"/>
      <c r="B117" s="592"/>
      <c r="C117" s="592"/>
      <c r="D117" s="592"/>
      <c r="E117" s="592"/>
      <c r="F117" s="592"/>
      <c r="G117" s="592"/>
      <c r="H117" s="592"/>
      <c r="I117" s="592"/>
      <c r="J117" s="592"/>
      <c r="K117" s="592"/>
      <c r="L117" s="592"/>
      <c r="M117" s="592"/>
      <c r="N117" s="592"/>
      <c r="O117" s="592"/>
    </row>
    <row r="118" ht="15.75" customHeight="1">
      <c r="A118" s="592"/>
      <c r="B118" s="592"/>
      <c r="C118" s="592"/>
      <c r="D118" s="592"/>
      <c r="E118" s="592"/>
      <c r="F118" s="592"/>
      <c r="G118" s="592"/>
      <c r="H118" s="592"/>
      <c r="I118" s="592"/>
      <c r="J118" s="592"/>
      <c r="K118" s="592"/>
      <c r="L118" s="592"/>
      <c r="M118" s="592"/>
      <c r="N118" s="592"/>
      <c r="O118" s="592"/>
    </row>
    <row r="119" ht="15.75" customHeight="1">
      <c r="A119" s="592"/>
      <c r="B119" s="592"/>
      <c r="C119" s="592"/>
      <c r="D119" s="592"/>
      <c r="E119" s="592"/>
      <c r="F119" s="592"/>
      <c r="G119" s="592"/>
      <c r="H119" s="592"/>
      <c r="I119" s="592"/>
      <c r="J119" s="592"/>
      <c r="K119" s="592"/>
      <c r="L119" s="592"/>
      <c r="M119" s="592"/>
      <c r="N119" s="592"/>
      <c r="O119" s="592"/>
    </row>
    <row r="120" ht="15.75" customHeight="1">
      <c r="A120" s="592"/>
      <c r="B120" s="592"/>
      <c r="C120" s="592"/>
      <c r="D120" s="592"/>
      <c r="E120" s="592"/>
      <c r="F120" s="592"/>
      <c r="G120" s="592"/>
      <c r="H120" s="592"/>
      <c r="I120" s="592"/>
      <c r="J120" s="592"/>
      <c r="K120" s="592"/>
      <c r="L120" s="592"/>
      <c r="M120" s="592"/>
      <c r="N120" s="592"/>
      <c r="O120" s="592"/>
    </row>
    <row r="121" ht="15.75" customHeight="1">
      <c r="A121" s="592"/>
      <c r="B121" s="592"/>
      <c r="C121" s="592"/>
      <c r="D121" s="592"/>
      <c r="E121" s="592"/>
      <c r="F121" s="592"/>
      <c r="G121" s="592"/>
      <c r="H121" s="592"/>
      <c r="I121" s="592"/>
      <c r="J121" s="592"/>
      <c r="K121" s="592"/>
      <c r="L121" s="592"/>
      <c r="M121" s="592"/>
      <c r="N121" s="592"/>
      <c r="O121" s="592"/>
    </row>
    <row r="122" ht="15.75" customHeight="1">
      <c r="A122" s="592"/>
      <c r="B122" s="592"/>
      <c r="C122" s="592"/>
      <c r="D122" s="592"/>
      <c r="E122" s="592"/>
      <c r="F122" s="592"/>
      <c r="G122" s="592"/>
      <c r="H122" s="592"/>
      <c r="I122" s="592"/>
      <c r="J122" s="592"/>
      <c r="K122" s="592"/>
      <c r="L122" s="592"/>
      <c r="M122" s="592"/>
      <c r="N122" s="592"/>
      <c r="O122" s="592"/>
    </row>
    <row r="123" ht="15.75" customHeight="1">
      <c r="A123" s="592"/>
      <c r="B123" s="592"/>
      <c r="C123" s="592"/>
      <c r="D123" s="592"/>
      <c r="E123" s="592"/>
      <c r="F123" s="592"/>
      <c r="G123" s="592"/>
      <c r="H123" s="592"/>
      <c r="I123" s="592"/>
      <c r="J123" s="592"/>
      <c r="K123" s="592"/>
      <c r="L123" s="592"/>
      <c r="M123" s="592"/>
      <c r="N123" s="592"/>
      <c r="O123" s="592"/>
    </row>
    <row r="124" ht="15.75" customHeight="1">
      <c r="A124" s="592"/>
      <c r="B124" s="592"/>
      <c r="C124" s="592"/>
      <c r="D124" s="592"/>
      <c r="E124" s="592"/>
      <c r="F124" s="592"/>
      <c r="G124" s="592"/>
      <c r="H124" s="592"/>
      <c r="I124" s="592"/>
      <c r="J124" s="592"/>
      <c r="K124" s="592"/>
      <c r="L124" s="592"/>
      <c r="M124" s="592"/>
      <c r="N124" s="592"/>
      <c r="O124" s="592"/>
    </row>
    <row r="125" ht="15.75" customHeight="1">
      <c r="A125" s="592"/>
      <c r="B125" s="592"/>
      <c r="C125" s="592"/>
      <c r="D125" s="592"/>
      <c r="E125" s="592"/>
      <c r="F125" s="592"/>
      <c r="G125" s="592"/>
      <c r="H125" s="592"/>
      <c r="I125" s="592"/>
      <c r="J125" s="592"/>
      <c r="K125" s="592"/>
      <c r="L125" s="592"/>
      <c r="M125" s="592"/>
      <c r="N125" s="592"/>
      <c r="O125" s="592"/>
    </row>
    <row r="126" ht="15.75" customHeight="1">
      <c r="A126" s="592"/>
      <c r="B126" s="592"/>
      <c r="C126" s="592"/>
      <c r="D126" s="592"/>
      <c r="E126" s="592"/>
      <c r="F126" s="592"/>
      <c r="G126" s="592"/>
      <c r="H126" s="592"/>
      <c r="I126" s="592"/>
      <c r="J126" s="592"/>
      <c r="K126" s="592"/>
      <c r="L126" s="592"/>
      <c r="M126" s="592"/>
      <c r="N126" s="592"/>
      <c r="O126" s="592"/>
    </row>
    <row r="127" ht="15.75" customHeight="1">
      <c r="A127" s="592"/>
      <c r="B127" s="592"/>
      <c r="C127" s="592"/>
      <c r="D127" s="592"/>
      <c r="E127" s="592"/>
      <c r="F127" s="592"/>
      <c r="G127" s="592"/>
      <c r="H127" s="592"/>
      <c r="I127" s="592"/>
      <c r="J127" s="592"/>
      <c r="K127" s="592"/>
      <c r="L127" s="592"/>
      <c r="M127" s="592"/>
      <c r="N127" s="592"/>
      <c r="O127" s="592"/>
    </row>
    <row r="128" ht="15.75" customHeight="1">
      <c r="A128" s="592"/>
      <c r="B128" s="592"/>
      <c r="C128" s="592"/>
      <c r="D128" s="592"/>
      <c r="E128" s="592"/>
      <c r="F128" s="592"/>
      <c r="G128" s="592"/>
      <c r="H128" s="592"/>
      <c r="I128" s="592"/>
      <c r="J128" s="592"/>
      <c r="K128" s="592"/>
      <c r="L128" s="592"/>
      <c r="M128" s="592"/>
      <c r="N128" s="592"/>
      <c r="O128" s="592"/>
    </row>
    <row r="129" ht="15.75" customHeight="1">
      <c r="A129" s="592"/>
      <c r="B129" s="592"/>
      <c r="C129" s="592"/>
      <c r="D129" s="592"/>
      <c r="E129" s="592"/>
      <c r="F129" s="592"/>
      <c r="G129" s="592"/>
      <c r="H129" s="592"/>
      <c r="I129" s="592"/>
      <c r="J129" s="592"/>
      <c r="K129" s="592"/>
      <c r="L129" s="592"/>
      <c r="M129" s="592"/>
      <c r="N129" s="592"/>
      <c r="O129" s="592"/>
    </row>
    <row r="130" ht="15.75" customHeight="1">
      <c r="A130" s="592"/>
      <c r="B130" s="592"/>
      <c r="C130" s="592"/>
      <c r="D130" s="592"/>
      <c r="E130" s="592"/>
      <c r="F130" s="592"/>
      <c r="G130" s="592"/>
      <c r="H130" s="592"/>
      <c r="I130" s="592"/>
      <c r="J130" s="592"/>
      <c r="K130" s="592"/>
      <c r="L130" s="592"/>
      <c r="M130" s="592"/>
      <c r="N130" s="592"/>
      <c r="O130" s="592"/>
    </row>
    <row r="131" ht="15.75" customHeight="1">
      <c r="A131" s="592"/>
      <c r="B131" s="592"/>
      <c r="C131" s="592"/>
      <c r="D131" s="592"/>
      <c r="E131" s="592"/>
      <c r="F131" s="592"/>
      <c r="G131" s="592"/>
      <c r="H131" s="592"/>
      <c r="I131" s="592"/>
      <c r="J131" s="592"/>
      <c r="K131" s="592"/>
      <c r="L131" s="592"/>
      <c r="M131" s="592"/>
      <c r="N131" s="592"/>
      <c r="O131" s="592"/>
    </row>
    <row r="132" ht="15.75" customHeight="1">
      <c r="A132" s="592"/>
      <c r="B132" s="592"/>
      <c r="C132" s="592"/>
      <c r="D132" s="592"/>
      <c r="E132" s="592"/>
      <c r="F132" s="592"/>
      <c r="G132" s="592"/>
      <c r="H132" s="592"/>
      <c r="I132" s="592"/>
      <c r="J132" s="592"/>
      <c r="K132" s="592"/>
      <c r="L132" s="592"/>
      <c r="M132" s="592"/>
      <c r="N132" s="592"/>
      <c r="O132" s="592"/>
    </row>
    <row r="133" ht="15.75" customHeight="1">
      <c r="A133" s="592"/>
      <c r="B133" s="592"/>
      <c r="C133" s="592"/>
      <c r="D133" s="592"/>
      <c r="E133" s="592"/>
      <c r="F133" s="592"/>
      <c r="G133" s="592"/>
      <c r="H133" s="592"/>
      <c r="I133" s="592"/>
      <c r="J133" s="592"/>
      <c r="K133" s="592"/>
      <c r="L133" s="592"/>
      <c r="M133" s="592"/>
      <c r="N133" s="592"/>
      <c r="O133" s="592"/>
    </row>
    <row r="134" ht="15.75" customHeight="1">
      <c r="A134" s="592"/>
      <c r="B134" s="592"/>
      <c r="C134" s="592"/>
      <c r="D134" s="592"/>
      <c r="E134" s="592"/>
      <c r="F134" s="592"/>
      <c r="G134" s="592"/>
      <c r="H134" s="592"/>
      <c r="I134" s="592"/>
      <c r="J134" s="592"/>
      <c r="K134" s="592"/>
      <c r="L134" s="592"/>
      <c r="M134" s="592"/>
      <c r="N134" s="592"/>
      <c r="O134" s="592"/>
    </row>
    <row r="135" ht="15.75" customHeight="1">
      <c r="A135" s="592"/>
      <c r="B135" s="592"/>
      <c r="C135" s="592"/>
      <c r="D135" s="592"/>
      <c r="E135" s="592"/>
      <c r="F135" s="592"/>
      <c r="G135" s="592"/>
      <c r="H135" s="592"/>
      <c r="I135" s="592"/>
      <c r="J135" s="592"/>
      <c r="K135" s="592"/>
      <c r="L135" s="592"/>
      <c r="M135" s="592"/>
      <c r="N135" s="592"/>
      <c r="O135" s="592"/>
    </row>
    <row r="136" ht="15.75" customHeight="1">
      <c r="A136" s="592"/>
      <c r="B136" s="592"/>
      <c r="C136" s="592"/>
      <c r="D136" s="592"/>
      <c r="E136" s="592"/>
      <c r="F136" s="592"/>
      <c r="G136" s="592"/>
      <c r="H136" s="592"/>
      <c r="I136" s="592"/>
      <c r="J136" s="592"/>
      <c r="K136" s="592"/>
      <c r="L136" s="592"/>
      <c r="M136" s="592"/>
      <c r="N136" s="592"/>
      <c r="O136" s="592"/>
    </row>
    <row r="137" ht="15.75" customHeight="1">
      <c r="A137" s="592"/>
      <c r="B137" s="592"/>
      <c r="C137" s="592"/>
      <c r="D137" s="592"/>
      <c r="E137" s="592"/>
      <c r="F137" s="592"/>
      <c r="G137" s="592"/>
      <c r="H137" s="592"/>
      <c r="I137" s="592"/>
      <c r="J137" s="592"/>
      <c r="K137" s="592"/>
      <c r="L137" s="592"/>
      <c r="M137" s="592"/>
      <c r="N137" s="592"/>
      <c r="O137" s="592"/>
    </row>
    <row r="138" ht="15.75" customHeight="1">
      <c r="A138" s="592"/>
      <c r="B138" s="592"/>
      <c r="C138" s="592"/>
      <c r="D138" s="592"/>
      <c r="E138" s="592"/>
      <c r="F138" s="592"/>
      <c r="G138" s="592"/>
      <c r="H138" s="592"/>
      <c r="I138" s="592"/>
      <c r="J138" s="592"/>
      <c r="K138" s="592"/>
      <c r="L138" s="592"/>
      <c r="M138" s="592"/>
      <c r="N138" s="592"/>
      <c r="O138" s="592"/>
    </row>
    <row r="139" ht="15.75" customHeight="1">
      <c r="A139" s="592"/>
      <c r="B139" s="592"/>
      <c r="C139" s="592"/>
      <c r="D139" s="592"/>
      <c r="E139" s="592"/>
      <c r="F139" s="592"/>
      <c r="G139" s="592"/>
      <c r="H139" s="592"/>
      <c r="I139" s="592"/>
      <c r="J139" s="592"/>
      <c r="K139" s="592"/>
      <c r="L139" s="592"/>
      <c r="M139" s="592"/>
      <c r="N139" s="592"/>
      <c r="O139" s="592"/>
    </row>
    <row r="140" ht="15.75" customHeight="1">
      <c r="A140" s="592"/>
      <c r="B140" s="592"/>
      <c r="C140" s="592"/>
      <c r="D140" s="592"/>
      <c r="E140" s="592"/>
      <c r="F140" s="592"/>
      <c r="G140" s="592"/>
      <c r="H140" s="592"/>
      <c r="I140" s="592"/>
      <c r="J140" s="592"/>
      <c r="K140" s="592"/>
      <c r="L140" s="592"/>
      <c r="M140" s="592"/>
      <c r="N140" s="592"/>
      <c r="O140" s="592"/>
    </row>
    <row r="141" ht="15.75" customHeight="1">
      <c r="A141" s="592"/>
      <c r="B141" s="592"/>
      <c r="C141" s="592"/>
      <c r="D141" s="592"/>
      <c r="E141" s="592"/>
      <c r="F141" s="592"/>
      <c r="G141" s="592"/>
      <c r="H141" s="592"/>
      <c r="I141" s="592"/>
      <c r="J141" s="592"/>
      <c r="K141" s="592"/>
      <c r="L141" s="592"/>
      <c r="M141" s="592"/>
      <c r="N141" s="592"/>
      <c r="O141" s="592"/>
    </row>
    <row r="142" ht="15.75" customHeight="1">
      <c r="A142" s="592"/>
      <c r="B142" s="592"/>
      <c r="C142" s="592"/>
      <c r="D142" s="592"/>
      <c r="E142" s="592"/>
      <c r="F142" s="592"/>
      <c r="G142" s="592"/>
      <c r="H142" s="592"/>
      <c r="I142" s="592"/>
      <c r="J142" s="592"/>
      <c r="K142" s="592"/>
      <c r="L142" s="592"/>
      <c r="M142" s="592"/>
      <c r="N142" s="592"/>
      <c r="O142" s="592"/>
    </row>
    <row r="143" ht="15.75" customHeight="1">
      <c r="A143" s="592"/>
      <c r="B143" s="592"/>
      <c r="C143" s="592"/>
      <c r="D143" s="592"/>
      <c r="E143" s="592"/>
      <c r="F143" s="592"/>
      <c r="G143" s="592"/>
      <c r="H143" s="592"/>
      <c r="I143" s="592"/>
      <c r="J143" s="592"/>
      <c r="K143" s="592"/>
      <c r="L143" s="592"/>
      <c r="M143" s="592"/>
      <c r="N143" s="592"/>
      <c r="O143" s="592"/>
    </row>
    <row r="144" ht="15.75" customHeight="1">
      <c r="A144" s="592"/>
      <c r="B144" s="592"/>
      <c r="C144" s="592"/>
      <c r="D144" s="592"/>
      <c r="E144" s="592"/>
      <c r="F144" s="592"/>
      <c r="G144" s="592"/>
      <c r="H144" s="592"/>
      <c r="I144" s="592"/>
      <c r="J144" s="592"/>
      <c r="K144" s="592"/>
      <c r="L144" s="592"/>
      <c r="M144" s="592"/>
      <c r="N144" s="592"/>
      <c r="O144" s="592"/>
    </row>
    <row r="145" ht="15.75" customHeight="1">
      <c r="A145" s="592"/>
      <c r="B145" s="592"/>
      <c r="C145" s="592"/>
      <c r="D145" s="592"/>
      <c r="E145" s="592"/>
      <c r="F145" s="592"/>
      <c r="G145" s="592"/>
      <c r="H145" s="592"/>
      <c r="I145" s="592"/>
      <c r="J145" s="592"/>
      <c r="K145" s="592"/>
      <c r="L145" s="592"/>
      <c r="M145" s="592"/>
      <c r="N145" s="592"/>
      <c r="O145" s="592"/>
    </row>
    <row r="146" ht="15.75" customHeight="1">
      <c r="A146" s="592"/>
      <c r="B146" s="592"/>
      <c r="C146" s="592"/>
      <c r="D146" s="592"/>
      <c r="E146" s="592"/>
      <c r="F146" s="592"/>
      <c r="G146" s="592"/>
      <c r="H146" s="592"/>
      <c r="I146" s="592"/>
      <c r="J146" s="592"/>
      <c r="K146" s="592"/>
      <c r="L146" s="592"/>
      <c r="M146" s="592"/>
      <c r="N146" s="592"/>
      <c r="O146" s="592"/>
    </row>
    <row r="147" ht="15.75" customHeight="1">
      <c r="A147" s="592"/>
      <c r="B147" s="592"/>
      <c r="C147" s="592"/>
      <c r="D147" s="592"/>
      <c r="E147" s="592"/>
      <c r="F147" s="592"/>
      <c r="G147" s="592"/>
      <c r="H147" s="592"/>
      <c r="I147" s="592"/>
      <c r="J147" s="592"/>
      <c r="K147" s="592"/>
      <c r="L147" s="592"/>
      <c r="M147" s="592"/>
      <c r="N147" s="592"/>
      <c r="O147" s="592"/>
    </row>
    <row r="148" ht="15.75" customHeight="1">
      <c r="A148" s="592"/>
      <c r="B148" s="592"/>
      <c r="C148" s="592"/>
      <c r="D148" s="592"/>
      <c r="E148" s="592"/>
      <c r="F148" s="592"/>
      <c r="G148" s="592"/>
      <c r="H148" s="592"/>
      <c r="I148" s="592"/>
      <c r="J148" s="592"/>
      <c r="K148" s="592"/>
      <c r="L148" s="592"/>
      <c r="M148" s="592"/>
      <c r="N148" s="592"/>
      <c r="O148" s="592"/>
    </row>
    <row r="149" ht="15.75" customHeight="1">
      <c r="A149" s="592"/>
      <c r="B149" s="592"/>
      <c r="C149" s="592"/>
      <c r="D149" s="592"/>
      <c r="E149" s="592"/>
      <c r="F149" s="592"/>
      <c r="G149" s="592"/>
      <c r="H149" s="592"/>
      <c r="I149" s="592"/>
      <c r="J149" s="592"/>
      <c r="K149" s="592"/>
      <c r="L149" s="592"/>
      <c r="M149" s="592"/>
      <c r="N149" s="592"/>
      <c r="O149" s="592"/>
    </row>
    <row r="150" ht="15.75" customHeight="1">
      <c r="A150" s="592"/>
      <c r="B150" s="592"/>
      <c r="C150" s="592"/>
      <c r="D150" s="592"/>
      <c r="E150" s="592"/>
      <c r="F150" s="592"/>
      <c r="G150" s="592"/>
      <c r="H150" s="592"/>
      <c r="I150" s="592"/>
      <c r="J150" s="592"/>
      <c r="K150" s="592"/>
      <c r="L150" s="592"/>
      <c r="M150" s="592"/>
      <c r="N150" s="592"/>
      <c r="O150" s="592"/>
    </row>
    <row r="151" ht="15.75" customHeight="1">
      <c r="A151" s="592"/>
      <c r="B151" s="592"/>
      <c r="C151" s="592"/>
      <c r="D151" s="592"/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</row>
    <row r="152" ht="15.75" customHeight="1">
      <c r="A152" s="592"/>
      <c r="B152" s="592"/>
      <c r="C152" s="592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</row>
    <row r="153" ht="15.75" customHeight="1">
      <c r="A153" s="592"/>
      <c r="B153" s="592"/>
      <c r="C153" s="592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</row>
    <row r="154" ht="15.75" customHeight="1">
      <c r="A154" s="592"/>
      <c r="B154" s="592"/>
      <c r="C154" s="592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</row>
    <row r="155" ht="15.75" customHeight="1">
      <c r="A155" s="592"/>
      <c r="B155" s="592"/>
      <c r="C155" s="592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</row>
    <row r="156" ht="15.75" customHeight="1">
      <c r="A156" s="592"/>
      <c r="B156" s="592"/>
      <c r="C156" s="592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592"/>
      <c r="O156" s="592"/>
    </row>
    <row r="157" ht="15.75" customHeight="1">
      <c r="A157" s="592"/>
      <c r="B157" s="592"/>
      <c r="C157" s="592"/>
      <c r="D157" s="592"/>
      <c r="E157" s="592"/>
      <c r="F157" s="592"/>
      <c r="G157" s="592"/>
      <c r="H157" s="592"/>
      <c r="I157" s="592"/>
      <c r="J157" s="592"/>
      <c r="K157" s="592"/>
      <c r="L157" s="592"/>
      <c r="M157" s="592"/>
      <c r="N157" s="592"/>
      <c r="O157" s="592"/>
    </row>
    <row r="158" ht="15.75" customHeight="1">
      <c r="A158" s="592"/>
      <c r="B158" s="592"/>
      <c r="C158" s="592"/>
      <c r="D158" s="592"/>
      <c r="E158" s="592"/>
      <c r="F158" s="592"/>
      <c r="G158" s="592"/>
      <c r="H158" s="592"/>
      <c r="I158" s="592"/>
      <c r="J158" s="592"/>
      <c r="K158" s="592"/>
      <c r="L158" s="592"/>
      <c r="M158" s="592"/>
      <c r="N158" s="592"/>
      <c r="O158" s="592"/>
    </row>
    <row r="159" ht="15.75" customHeight="1">
      <c r="A159" s="592"/>
      <c r="B159" s="592"/>
      <c r="C159" s="592"/>
      <c r="D159" s="592"/>
      <c r="E159" s="592"/>
      <c r="F159" s="592"/>
      <c r="G159" s="592"/>
      <c r="H159" s="592"/>
      <c r="I159" s="592"/>
      <c r="J159" s="592"/>
      <c r="K159" s="592"/>
      <c r="L159" s="592"/>
      <c r="M159" s="592"/>
      <c r="N159" s="592"/>
      <c r="O159" s="592"/>
    </row>
    <row r="160" ht="15.75" customHeight="1">
      <c r="A160" s="592"/>
      <c r="B160" s="592"/>
      <c r="C160" s="592"/>
      <c r="D160" s="592"/>
      <c r="E160" s="592"/>
      <c r="F160" s="592"/>
      <c r="G160" s="592"/>
      <c r="H160" s="592"/>
      <c r="I160" s="592"/>
      <c r="J160" s="592"/>
      <c r="K160" s="592"/>
      <c r="L160" s="592"/>
      <c r="M160" s="592"/>
      <c r="N160" s="592"/>
      <c r="O160" s="592"/>
    </row>
    <row r="161" ht="15.75" customHeight="1">
      <c r="A161" s="592"/>
      <c r="B161" s="592"/>
      <c r="C161" s="592"/>
      <c r="D161" s="592"/>
      <c r="E161" s="592"/>
      <c r="F161" s="592"/>
      <c r="G161" s="592"/>
      <c r="H161" s="592"/>
      <c r="I161" s="592"/>
      <c r="J161" s="592"/>
      <c r="K161" s="592"/>
      <c r="L161" s="592"/>
      <c r="M161" s="592"/>
      <c r="N161" s="592"/>
      <c r="O161" s="592"/>
    </row>
    <row r="162" ht="15.75" customHeight="1">
      <c r="A162" s="592"/>
      <c r="B162" s="592"/>
      <c r="C162" s="592"/>
      <c r="D162" s="592"/>
      <c r="E162" s="592"/>
      <c r="F162" s="592"/>
      <c r="G162" s="592"/>
      <c r="H162" s="592"/>
      <c r="I162" s="592"/>
      <c r="J162" s="592"/>
      <c r="K162" s="592"/>
      <c r="L162" s="592"/>
      <c r="M162" s="592"/>
      <c r="N162" s="592"/>
      <c r="O162" s="592"/>
    </row>
    <row r="163" ht="15.75" customHeight="1">
      <c r="A163" s="592"/>
      <c r="B163" s="592"/>
      <c r="C163" s="592"/>
      <c r="D163" s="592"/>
      <c r="E163" s="592"/>
      <c r="F163" s="592"/>
      <c r="G163" s="592"/>
      <c r="H163" s="592"/>
      <c r="I163" s="592"/>
      <c r="J163" s="592"/>
      <c r="K163" s="592"/>
      <c r="L163" s="592"/>
      <c r="M163" s="592"/>
      <c r="N163" s="592"/>
      <c r="O163" s="592"/>
    </row>
    <row r="164" ht="15.75" customHeight="1">
      <c r="A164" s="592"/>
      <c r="B164" s="592"/>
      <c r="C164" s="592"/>
      <c r="D164" s="592"/>
      <c r="E164" s="592"/>
      <c r="F164" s="592"/>
      <c r="G164" s="592"/>
      <c r="H164" s="592"/>
      <c r="I164" s="592"/>
      <c r="J164" s="592"/>
      <c r="K164" s="592"/>
      <c r="L164" s="592"/>
      <c r="M164" s="592"/>
      <c r="N164" s="592"/>
      <c r="O164" s="592"/>
    </row>
    <row r="165" ht="15.75" customHeight="1">
      <c r="A165" s="592"/>
      <c r="B165" s="592"/>
      <c r="C165" s="592"/>
      <c r="D165" s="592"/>
      <c r="E165" s="592"/>
      <c r="F165" s="592"/>
      <c r="G165" s="592"/>
      <c r="H165" s="592"/>
      <c r="I165" s="592"/>
      <c r="J165" s="592"/>
      <c r="K165" s="592"/>
      <c r="L165" s="592"/>
      <c r="M165" s="592"/>
      <c r="N165" s="592"/>
      <c r="O165" s="592"/>
    </row>
    <row r="166" ht="15.75" customHeight="1">
      <c r="A166" s="592"/>
      <c r="B166" s="592"/>
      <c r="C166" s="592"/>
      <c r="D166" s="592"/>
      <c r="E166" s="592"/>
      <c r="F166" s="592"/>
      <c r="G166" s="592"/>
      <c r="H166" s="592"/>
      <c r="I166" s="592"/>
      <c r="J166" s="592"/>
      <c r="K166" s="592"/>
      <c r="L166" s="592"/>
      <c r="M166" s="592"/>
      <c r="N166" s="592"/>
      <c r="O166" s="592"/>
    </row>
    <row r="167" ht="15.75" customHeight="1">
      <c r="A167" s="592"/>
      <c r="B167" s="592"/>
      <c r="C167" s="592"/>
      <c r="D167" s="592"/>
      <c r="E167" s="592"/>
      <c r="F167" s="592"/>
      <c r="G167" s="592"/>
      <c r="H167" s="592"/>
      <c r="I167" s="592"/>
      <c r="J167" s="592"/>
      <c r="K167" s="592"/>
      <c r="L167" s="592"/>
      <c r="M167" s="592"/>
      <c r="N167" s="592"/>
      <c r="O167" s="592"/>
    </row>
    <row r="168" ht="15.75" customHeight="1">
      <c r="A168" s="592"/>
      <c r="B168" s="592"/>
      <c r="C168" s="592"/>
      <c r="D168" s="592"/>
      <c r="E168" s="592"/>
      <c r="F168" s="592"/>
      <c r="G168" s="592"/>
      <c r="H168" s="592"/>
      <c r="I168" s="592"/>
      <c r="J168" s="592"/>
      <c r="K168" s="592"/>
      <c r="L168" s="592"/>
      <c r="M168" s="592"/>
      <c r="N168" s="592"/>
      <c r="O168" s="592"/>
    </row>
    <row r="169" ht="15.75" customHeight="1">
      <c r="A169" s="592"/>
      <c r="B169" s="592"/>
      <c r="C169" s="592"/>
      <c r="D169" s="592"/>
      <c r="E169" s="592"/>
      <c r="F169" s="592"/>
      <c r="G169" s="592"/>
      <c r="H169" s="592"/>
      <c r="I169" s="592"/>
      <c r="J169" s="592"/>
      <c r="K169" s="592"/>
      <c r="L169" s="592"/>
      <c r="M169" s="592"/>
      <c r="N169" s="592"/>
      <c r="O169" s="592"/>
    </row>
    <row r="170" ht="15.75" customHeight="1">
      <c r="A170" s="592"/>
      <c r="B170" s="592"/>
      <c r="C170" s="592"/>
      <c r="D170" s="592"/>
      <c r="E170" s="592"/>
      <c r="F170" s="592"/>
      <c r="G170" s="592"/>
      <c r="H170" s="592"/>
      <c r="I170" s="592"/>
      <c r="J170" s="592"/>
      <c r="K170" s="592"/>
      <c r="L170" s="592"/>
      <c r="M170" s="592"/>
      <c r="N170" s="592"/>
      <c r="O170" s="592"/>
    </row>
    <row r="171" ht="15.75" customHeight="1">
      <c r="A171" s="592"/>
      <c r="B171" s="592"/>
      <c r="C171" s="592"/>
      <c r="D171" s="592"/>
      <c r="E171" s="592"/>
      <c r="F171" s="592"/>
      <c r="G171" s="592"/>
      <c r="H171" s="592"/>
      <c r="I171" s="592"/>
      <c r="J171" s="592"/>
      <c r="K171" s="592"/>
      <c r="L171" s="592"/>
      <c r="M171" s="592"/>
      <c r="N171" s="592"/>
      <c r="O171" s="592"/>
    </row>
    <row r="172" ht="15.75" customHeight="1">
      <c r="A172" s="592"/>
      <c r="B172" s="592"/>
      <c r="C172" s="592"/>
      <c r="D172" s="592"/>
      <c r="E172" s="592"/>
      <c r="F172" s="592"/>
      <c r="G172" s="592"/>
      <c r="H172" s="592"/>
      <c r="I172" s="592"/>
      <c r="J172" s="592"/>
      <c r="K172" s="592"/>
      <c r="L172" s="592"/>
      <c r="M172" s="592"/>
      <c r="N172" s="592"/>
      <c r="O172" s="592"/>
    </row>
    <row r="173" ht="15.75" customHeight="1">
      <c r="A173" s="592"/>
      <c r="B173" s="592"/>
      <c r="C173" s="592"/>
      <c r="D173" s="592"/>
      <c r="E173" s="592"/>
      <c r="F173" s="592"/>
      <c r="G173" s="592"/>
      <c r="H173" s="592"/>
      <c r="I173" s="592"/>
      <c r="J173" s="592"/>
      <c r="K173" s="592"/>
      <c r="L173" s="592"/>
      <c r="M173" s="592"/>
      <c r="N173" s="592"/>
      <c r="O173" s="592"/>
    </row>
    <row r="174" ht="15.75" customHeight="1">
      <c r="A174" s="592"/>
      <c r="B174" s="592"/>
      <c r="C174" s="592"/>
      <c r="D174" s="592"/>
      <c r="E174" s="592"/>
      <c r="F174" s="592"/>
      <c r="G174" s="592"/>
      <c r="H174" s="592"/>
      <c r="I174" s="592"/>
      <c r="J174" s="592"/>
      <c r="K174" s="592"/>
      <c r="L174" s="592"/>
      <c r="M174" s="592"/>
      <c r="N174" s="592"/>
      <c r="O174" s="592"/>
    </row>
    <row r="175" ht="15.75" customHeight="1">
      <c r="A175" s="592"/>
      <c r="B175" s="592"/>
      <c r="C175" s="592"/>
      <c r="D175" s="592"/>
      <c r="E175" s="592"/>
      <c r="F175" s="592"/>
      <c r="G175" s="592"/>
      <c r="H175" s="592"/>
      <c r="I175" s="592"/>
      <c r="J175" s="592"/>
      <c r="K175" s="592"/>
      <c r="L175" s="592"/>
      <c r="M175" s="592"/>
      <c r="N175" s="592"/>
      <c r="O175" s="592"/>
    </row>
    <row r="176" ht="15.75" customHeight="1">
      <c r="A176" s="592"/>
      <c r="B176" s="592"/>
      <c r="C176" s="592"/>
      <c r="D176" s="592"/>
      <c r="E176" s="592"/>
      <c r="F176" s="592"/>
      <c r="G176" s="592"/>
      <c r="H176" s="592"/>
      <c r="I176" s="592"/>
      <c r="J176" s="592"/>
      <c r="K176" s="592"/>
      <c r="L176" s="592"/>
      <c r="M176" s="592"/>
      <c r="N176" s="592"/>
      <c r="O176" s="592"/>
    </row>
    <row r="177" ht="15.75" customHeight="1">
      <c r="A177" s="592"/>
      <c r="B177" s="592"/>
      <c r="C177" s="592"/>
      <c r="D177" s="592"/>
      <c r="E177" s="592"/>
      <c r="F177" s="592"/>
      <c r="G177" s="592"/>
      <c r="H177" s="592"/>
      <c r="I177" s="592"/>
      <c r="J177" s="592"/>
      <c r="K177" s="592"/>
      <c r="L177" s="592"/>
      <c r="M177" s="592"/>
      <c r="N177" s="592"/>
      <c r="O177" s="592"/>
    </row>
    <row r="178" ht="15.75" customHeight="1">
      <c r="A178" s="592"/>
      <c r="B178" s="592"/>
      <c r="C178" s="592"/>
      <c r="D178" s="592"/>
      <c r="E178" s="592"/>
      <c r="F178" s="592"/>
      <c r="G178" s="592"/>
      <c r="H178" s="592"/>
      <c r="I178" s="592"/>
      <c r="J178" s="592"/>
      <c r="K178" s="592"/>
      <c r="L178" s="592"/>
      <c r="M178" s="592"/>
      <c r="N178" s="592"/>
      <c r="O178" s="592"/>
    </row>
    <row r="179" ht="15.75" customHeight="1">
      <c r="A179" s="592"/>
      <c r="B179" s="592"/>
      <c r="C179" s="592"/>
      <c r="D179" s="592"/>
      <c r="E179" s="592"/>
      <c r="F179" s="592"/>
      <c r="G179" s="592"/>
      <c r="H179" s="592"/>
      <c r="I179" s="592"/>
      <c r="J179" s="592"/>
      <c r="K179" s="592"/>
      <c r="L179" s="592"/>
      <c r="M179" s="592"/>
      <c r="N179" s="592"/>
      <c r="O179" s="592"/>
    </row>
    <row r="180" ht="15.75" customHeight="1">
      <c r="A180" s="592"/>
      <c r="B180" s="592"/>
      <c r="C180" s="592"/>
      <c r="D180" s="592"/>
      <c r="E180" s="592"/>
      <c r="F180" s="592"/>
      <c r="G180" s="592"/>
      <c r="H180" s="592"/>
      <c r="I180" s="592"/>
      <c r="J180" s="592"/>
      <c r="K180" s="592"/>
      <c r="L180" s="592"/>
      <c r="M180" s="592"/>
      <c r="N180" s="592"/>
      <c r="O180" s="592"/>
    </row>
    <row r="181" ht="15.75" customHeight="1">
      <c r="A181" s="592"/>
      <c r="B181" s="592"/>
      <c r="C181" s="592"/>
      <c r="D181" s="592"/>
      <c r="E181" s="592"/>
      <c r="F181" s="592"/>
      <c r="G181" s="592"/>
      <c r="H181" s="592"/>
      <c r="I181" s="592"/>
      <c r="J181" s="592"/>
      <c r="K181" s="592"/>
      <c r="L181" s="592"/>
      <c r="M181" s="592"/>
      <c r="N181" s="592"/>
      <c r="O181" s="592"/>
    </row>
    <row r="182" ht="15.75" customHeight="1">
      <c r="A182" s="592"/>
      <c r="B182" s="592"/>
      <c r="C182" s="592"/>
      <c r="D182" s="592"/>
      <c r="E182" s="592"/>
      <c r="F182" s="592"/>
      <c r="G182" s="592"/>
      <c r="H182" s="592"/>
      <c r="I182" s="592"/>
      <c r="J182" s="592"/>
      <c r="K182" s="592"/>
      <c r="L182" s="592"/>
      <c r="M182" s="592"/>
      <c r="N182" s="592"/>
      <c r="O182" s="592"/>
    </row>
    <row r="183" ht="15.75" customHeight="1">
      <c r="A183" s="592"/>
      <c r="B183" s="592"/>
      <c r="C183" s="592"/>
      <c r="D183" s="592"/>
      <c r="E183" s="592"/>
      <c r="F183" s="592"/>
      <c r="G183" s="592"/>
      <c r="H183" s="592"/>
      <c r="I183" s="592"/>
      <c r="J183" s="592"/>
      <c r="K183" s="592"/>
      <c r="L183" s="592"/>
      <c r="M183" s="592"/>
      <c r="N183" s="592"/>
      <c r="O183" s="592"/>
    </row>
    <row r="184" ht="15.75" customHeight="1">
      <c r="A184" s="592"/>
      <c r="B184" s="592"/>
      <c r="C184" s="592"/>
      <c r="D184" s="592"/>
      <c r="E184" s="592"/>
      <c r="F184" s="592"/>
      <c r="G184" s="592"/>
      <c r="H184" s="592"/>
      <c r="I184" s="592"/>
      <c r="J184" s="592"/>
      <c r="K184" s="592"/>
      <c r="L184" s="592"/>
      <c r="M184" s="592"/>
      <c r="N184" s="592"/>
      <c r="O184" s="592"/>
    </row>
    <row r="185" ht="15.75" customHeight="1">
      <c r="A185" s="592"/>
      <c r="B185" s="592"/>
      <c r="C185" s="592"/>
      <c r="D185" s="592"/>
      <c r="E185" s="592"/>
      <c r="F185" s="592"/>
      <c r="G185" s="592"/>
      <c r="H185" s="592"/>
      <c r="I185" s="592"/>
      <c r="J185" s="592"/>
      <c r="K185" s="592"/>
      <c r="L185" s="592"/>
      <c r="M185" s="592"/>
      <c r="N185" s="592"/>
      <c r="O185" s="592"/>
    </row>
    <row r="186" ht="15.75" customHeight="1">
      <c r="A186" s="592"/>
      <c r="B186" s="592"/>
      <c r="C186" s="592"/>
      <c r="D186" s="592"/>
      <c r="E186" s="592"/>
      <c r="F186" s="592"/>
      <c r="G186" s="592"/>
      <c r="H186" s="592"/>
      <c r="I186" s="592"/>
      <c r="J186" s="592"/>
      <c r="K186" s="592"/>
      <c r="L186" s="592"/>
      <c r="M186" s="592"/>
      <c r="N186" s="592"/>
      <c r="O186" s="592"/>
    </row>
    <row r="187" ht="15.75" customHeight="1">
      <c r="A187" s="592"/>
      <c r="B187" s="592"/>
      <c r="C187" s="592"/>
      <c r="D187" s="592"/>
      <c r="E187" s="592"/>
      <c r="F187" s="592"/>
      <c r="G187" s="592"/>
      <c r="H187" s="592"/>
      <c r="I187" s="592"/>
      <c r="J187" s="592"/>
      <c r="K187" s="592"/>
      <c r="L187" s="592"/>
      <c r="M187" s="592"/>
      <c r="N187" s="592"/>
      <c r="O187" s="592"/>
    </row>
    <row r="188" ht="15.75" customHeight="1">
      <c r="A188" s="592"/>
      <c r="B188" s="592"/>
      <c r="C188" s="592"/>
      <c r="D188" s="592"/>
      <c r="E188" s="592"/>
      <c r="F188" s="592"/>
      <c r="G188" s="592"/>
      <c r="H188" s="592"/>
      <c r="I188" s="592"/>
      <c r="J188" s="592"/>
      <c r="K188" s="592"/>
      <c r="L188" s="592"/>
      <c r="M188" s="592"/>
      <c r="N188" s="592"/>
      <c r="O188" s="592"/>
    </row>
    <row r="189" ht="15.75" customHeight="1">
      <c r="A189" s="592"/>
      <c r="B189" s="592"/>
      <c r="C189" s="592"/>
      <c r="D189" s="592"/>
      <c r="E189" s="592"/>
      <c r="F189" s="592"/>
      <c r="G189" s="592"/>
      <c r="H189" s="592"/>
      <c r="I189" s="592"/>
      <c r="J189" s="592"/>
      <c r="K189" s="592"/>
      <c r="L189" s="592"/>
      <c r="M189" s="592"/>
      <c r="N189" s="592"/>
      <c r="O189" s="592"/>
    </row>
    <row r="190" ht="15.75" customHeight="1">
      <c r="A190" s="592"/>
      <c r="B190" s="592"/>
      <c r="C190" s="592"/>
      <c r="D190" s="592"/>
      <c r="E190" s="592"/>
      <c r="F190" s="592"/>
      <c r="G190" s="592"/>
      <c r="H190" s="592"/>
      <c r="I190" s="592"/>
      <c r="J190" s="592"/>
      <c r="K190" s="592"/>
      <c r="L190" s="592"/>
      <c r="M190" s="592"/>
      <c r="N190" s="592"/>
      <c r="O190" s="592"/>
    </row>
    <row r="191" ht="15.75" customHeight="1">
      <c r="A191" s="592"/>
      <c r="B191" s="592"/>
      <c r="C191" s="592"/>
      <c r="D191" s="592"/>
      <c r="E191" s="592"/>
      <c r="F191" s="592"/>
      <c r="G191" s="592"/>
      <c r="H191" s="592"/>
      <c r="I191" s="592"/>
      <c r="J191" s="592"/>
      <c r="K191" s="592"/>
      <c r="L191" s="592"/>
      <c r="M191" s="592"/>
      <c r="N191" s="592"/>
      <c r="O191" s="592"/>
    </row>
    <row r="192" ht="15.75" customHeight="1">
      <c r="A192" s="592"/>
      <c r="B192" s="592"/>
      <c r="C192" s="592"/>
      <c r="D192" s="592"/>
      <c r="E192" s="592"/>
      <c r="F192" s="592"/>
      <c r="G192" s="592"/>
      <c r="H192" s="592"/>
      <c r="I192" s="592"/>
      <c r="J192" s="592"/>
      <c r="K192" s="592"/>
      <c r="L192" s="592"/>
      <c r="M192" s="592"/>
      <c r="N192" s="592"/>
      <c r="O192" s="592"/>
    </row>
    <row r="193" ht="15.75" customHeight="1">
      <c r="A193" s="592"/>
      <c r="B193" s="592"/>
      <c r="C193" s="592"/>
      <c r="D193" s="592"/>
      <c r="E193" s="592"/>
      <c r="F193" s="592"/>
      <c r="G193" s="592"/>
      <c r="H193" s="592"/>
      <c r="I193" s="592"/>
      <c r="J193" s="592"/>
      <c r="K193" s="592"/>
      <c r="L193" s="592"/>
      <c r="M193" s="592"/>
      <c r="N193" s="592"/>
      <c r="O193" s="592"/>
    </row>
    <row r="194" ht="15.75" customHeight="1">
      <c r="A194" s="592"/>
      <c r="B194" s="59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592"/>
      <c r="O194" s="592"/>
    </row>
    <row r="195" ht="15.75" customHeight="1">
      <c r="A195" s="592"/>
      <c r="B195" s="592"/>
      <c r="C195" s="592"/>
      <c r="D195" s="592"/>
      <c r="E195" s="592"/>
      <c r="F195" s="592"/>
      <c r="G195" s="592"/>
      <c r="H195" s="592"/>
      <c r="I195" s="592"/>
      <c r="J195" s="592"/>
      <c r="K195" s="592"/>
      <c r="L195" s="592"/>
      <c r="M195" s="592"/>
      <c r="N195" s="592"/>
      <c r="O195" s="592"/>
    </row>
    <row r="196" ht="15.75" customHeight="1">
      <c r="A196" s="592"/>
      <c r="B196" s="592"/>
      <c r="C196" s="592"/>
      <c r="D196" s="592"/>
      <c r="E196" s="592"/>
      <c r="F196" s="592"/>
      <c r="G196" s="592"/>
      <c r="H196" s="592"/>
      <c r="I196" s="592"/>
      <c r="J196" s="592"/>
      <c r="K196" s="592"/>
      <c r="L196" s="592"/>
      <c r="M196" s="592"/>
      <c r="N196" s="592"/>
      <c r="O196" s="592"/>
    </row>
    <row r="197" ht="15.75" customHeight="1">
      <c r="A197" s="592"/>
      <c r="B197" s="592"/>
      <c r="C197" s="592"/>
      <c r="D197" s="592"/>
      <c r="E197" s="592"/>
      <c r="F197" s="592"/>
      <c r="G197" s="592"/>
      <c r="H197" s="592"/>
      <c r="I197" s="592"/>
      <c r="J197" s="592"/>
      <c r="K197" s="592"/>
      <c r="L197" s="592"/>
      <c r="M197" s="592"/>
      <c r="N197" s="592"/>
      <c r="O197" s="592"/>
    </row>
    <row r="198" ht="15.75" customHeight="1">
      <c r="A198" s="592"/>
      <c r="B198" s="592"/>
      <c r="C198" s="592"/>
      <c r="D198" s="592"/>
      <c r="E198" s="592"/>
      <c r="F198" s="592"/>
      <c r="G198" s="592"/>
      <c r="H198" s="592"/>
      <c r="I198" s="592"/>
      <c r="J198" s="592"/>
      <c r="K198" s="592"/>
      <c r="L198" s="592"/>
      <c r="M198" s="592"/>
      <c r="N198" s="592"/>
      <c r="O198" s="592"/>
    </row>
    <row r="199" ht="15.75" customHeight="1">
      <c r="A199" s="592"/>
      <c r="B199" s="592"/>
      <c r="C199" s="592"/>
      <c r="D199" s="592"/>
      <c r="E199" s="592"/>
      <c r="F199" s="592"/>
      <c r="G199" s="592"/>
      <c r="H199" s="592"/>
      <c r="I199" s="592"/>
      <c r="J199" s="592"/>
      <c r="K199" s="592"/>
      <c r="L199" s="592"/>
      <c r="M199" s="592"/>
      <c r="N199" s="592"/>
      <c r="O199" s="592"/>
    </row>
    <row r="200" ht="15.75" customHeight="1">
      <c r="A200" s="592"/>
      <c r="B200" s="592"/>
      <c r="C200" s="592"/>
      <c r="D200" s="592"/>
      <c r="E200" s="592"/>
      <c r="F200" s="592"/>
      <c r="G200" s="592"/>
      <c r="H200" s="592"/>
      <c r="I200" s="592"/>
      <c r="J200" s="592"/>
      <c r="K200" s="592"/>
      <c r="L200" s="592"/>
      <c r="M200" s="592"/>
      <c r="N200" s="592"/>
      <c r="O200" s="592"/>
    </row>
    <row r="201" ht="15.75" customHeight="1">
      <c r="A201" s="592"/>
      <c r="B201" s="592"/>
      <c r="C201" s="592"/>
      <c r="D201" s="592"/>
      <c r="E201" s="592"/>
      <c r="F201" s="592"/>
      <c r="G201" s="592"/>
      <c r="H201" s="592"/>
      <c r="I201" s="592"/>
      <c r="J201" s="592"/>
      <c r="K201" s="592"/>
      <c r="L201" s="592"/>
      <c r="M201" s="592"/>
      <c r="N201" s="592"/>
      <c r="O201" s="592"/>
    </row>
    <row r="202" ht="15.75" customHeight="1">
      <c r="A202" s="592"/>
      <c r="B202" s="592"/>
      <c r="C202" s="592"/>
      <c r="D202" s="592"/>
      <c r="E202" s="592"/>
      <c r="F202" s="592"/>
      <c r="G202" s="592"/>
      <c r="H202" s="592"/>
      <c r="I202" s="592"/>
      <c r="J202" s="592"/>
      <c r="K202" s="592"/>
      <c r="L202" s="592"/>
      <c r="M202" s="592"/>
      <c r="N202" s="592"/>
      <c r="O202" s="592"/>
    </row>
    <row r="203" ht="15.75" customHeight="1">
      <c r="A203" s="592"/>
      <c r="B203" s="592"/>
      <c r="C203" s="592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2"/>
    </row>
    <row r="204" ht="15.75" customHeight="1">
      <c r="A204" s="592"/>
      <c r="B204" s="592"/>
      <c r="C204" s="592"/>
      <c r="D204" s="592"/>
      <c r="E204" s="592"/>
      <c r="F204" s="592"/>
      <c r="G204" s="592"/>
      <c r="H204" s="592"/>
      <c r="I204" s="592"/>
      <c r="J204" s="592"/>
      <c r="K204" s="592"/>
      <c r="L204" s="592"/>
      <c r="M204" s="592"/>
      <c r="N204" s="592"/>
      <c r="O204" s="592"/>
    </row>
    <row r="205" ht="15.75" customHeight="1">
      <c r="A205" s="592"/>
      <c r="B205" s="592"/>
      <c r="C205" s="592"/>
      <c r="D205" s="592"/>
      <c r="E205" s="592"/>
      <c r="F205" s="592"/>
      <c r="G205" s="592"/>
      <c r="H205" s="592"/>
      <c r="I205" s="592"/>
      <c r="J205" s="592"/>
      <c r="K205" s="592"/>
      <c r="L205" s="592"/>
      <c r="M205" s="592"/>
      <c r="N205" s="592"/>
      <c r="O205" s="592"/>
    </row>
    <row r="206" ht="15.75" customHeight="1">
      <c r="A206" s="592"/>
      <c r="B206" s="592"/>
      <c r="C206" s="592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2"/>
    </row>
    <row r="207" ht="15.75" customHeight="1">
      <c r="A207" s="592"/>
      <c r="B207" s="592"/>
      <c r="C207" s="592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2"/>
    </row>
    <row r="208" ht="15.75" customHeight="1">
      <c r="A208" s="592"/>
      <c r="B208" s="592"/>
      <c r="C208" s="592"/>
      <c r="D208" s="592"/>
      <c r="E208" s="592"/>
      <c r="F208" s="592"/>
      <c r="G208" s="592"/>
      <c r="H208" s="592"/>
      <c r="I208" s="592"/>
      <c r="J208" s="592"/>
      <c r="K208" s="592"/>
      <c r="L208" s="592"/>
      <c r="M208" s="592"/>
      <c r="N208" s="592"/>
      <c r="O208" s="592"/>
    </row>
    <row r="209" ht="15.75" customHeight="1">
      <c r="A209" s="592"/>
      <c r="B209" s="592"/>
      <c r="C209" s="592"/>
      <c r="D209" s="592"/>
      <c r="E209" s="592"/>
      <c r="F209" s="592"/>
      <c r="G209" s="592"/>
      <c r="H209" s="592"/>
      <c r="I209" s="592"/>
      <c r="J209" s="592"/>
      <c r="K209" s="592"/>
      <c r="L209" s="592"/>
      <c r="M209" s="592"/>
      <c r="N209" s="592"/>
      <c r="O209" s="592"/>
    </row>
    <row r="210" ht="15.75" customHeight="1">
      <c r="A210" s="592"/>
      <c r="B210" s="592"/>
      <c r="C210" s="592"/>
      <c r="D210" s="592"/>
      <c r="E210" s="592"/>
      <c r="F210" s="592"/>
      <c r="G210" s="592"/>
      <c r="H210" s="592"/>
      <c r="I210" s="592"/>
      <c r="J210" s="592"/>
      <c r="K210" s="592"/>
      <c r="L210" s="592"/>
      <c r="M210" s="592"/>
      <c r="N210" s="592"/>
      <c r="O210" s="592"/>
    </row>
    <row r="211" ht="15.75" customHeight="1">
      <c r="A211" s="592"/>
      <c r="B211" s="592"/>
      <c r="C211" s="592"/>
      <c r="D211" s="592"/>
      <c r="E211" s="592"/>
      <c r="F211" s="592"/>
      <c r="G211" s="592"/>
      <c r="H211" s="592"/>
      <c r="I211" s="592"/>
      <c r="J211" s="592"/>
      <c r="K211" s="592"/>
      <c r="L211" s="592"/>
      <c r="M211" s="592"/>
      <c r="N211" s="592"/>
      <c r="O211" s="592"/>
    </row>
    <row r="212" ht="15.75" customHeight="1">
      <c r="A212" s="592"/>
      <c r="B212" s="592"/>
      <c r="C212" s="592"/>
      <c r="D212" s="592"/>
      <c r="E212" s="592"/>
      <c r="F212" s="592"/>
      <c r="G212" s="592"/>
      <c r="H212" s="592"/>
      <c r="I212" s="592"/>
      <c r="J212" s="592"/>
      <c r="K212" s="592"/>
      <c r="L212" s="592"/>
      <c r="M212" s="592"/>
      <c r="N212" s="592"/>
      <c r="O212" s="592"/>
    </row>
    <row r="213" ht="15.75" customHeight="1">
      <c r="A213" s="592"/>
      <c r="B213" s="592"/>
      <c r="C213" s="592"/>
      <c r="D213" s="592"/>
      <c r="E213" s="592"/>
      <c r="F213" s="592"/>
      <c r="G213" s="592"/>
      <c r="H213" s="592"/>
      <c r="I213" s="592"/>
      <c r="J213" s="592"/>
      <c r="K213" s="592"/>
      <c r="L213" s="592"/>
      <c r="M213" s="592"/>
      <c r="N213" s="592"/>
      <c r="O213" s="592"/>
    </row>
    <row r="214" ht="15.75" customHeight="1">
      <c r="A214" s="592"/>
      <c r="B214" s="592"/>
      <c r="C214" s="592"/>
      <c r="D214" s="592"/>
      <c r="E214" s="592"/>
      <c r="F214" s="592"/>
      <c r="G214" s="592"/>
      <c r="H214" s="592"/>
      <c r="I214" s="592"/>
      <c r="J214" s="592"/>
      <c r="K214" s="592"/>
      <c r="L214" s="592"/>
      <c r="M214" s="592"/>
      <c r="N214" s="592"/>
      <c r="O214" s="592"/>
    </row>
    <row r="215" ht="15.75" customHeight="1">
      <c r="A215" s="592"/>
      <c r="B215" s="592"/>
      <c r="C215" s="592"/>
      <c r="D215" s="592"/>
      <c r="E215" s="592"/>
      <c r="F215" s="592"/>
      <c r="G215" s="592"/>
      <c r="H215" s="592"/>
      <c r="I215" s="592"/>
      <c r="J215" s="592"/>
      <c r="K215" s="592"/>
      <c r="L215" s="592"/>
      <c r="M215" s="592"/>
      <c r="N215" s="592"/>
      <c r="O215" s="592"/>
    </row>
    <row r="216" ht="15.75" customHeight="1">
      <c r="A216" s="592"/>
      <c r="B216" s="592"/>
      <c r="C216" s="592"/>
      <c r="D216" s="592"/>
      <c r="E216" s="592"/>
      <c r="F216" s="592"/>
      <c r="G216" s="592"/>
      <c r="H216" s="592"/>
      <c r="I216" s="592"/>
      <c r="J216" s="592"/>
      <c r="K216" s="592"/>
      <c r="L216" s="592"/>
      <c r="M216" s="592"/>
      <c r="N216" s="592"/>
      <c r="O216" s="592"/>
    </row>
    <row r="217" ht="15.75" customHeight="1">
      <c r="A217" s="592"/>
      <c r="B217" s="592"/>
      <c r="C217" s="592"/>
      <c r="D217" s="592"/>
      <c r="E217" s="592"/>
      <c r="F217" s="592"/>
      <c r="G217" s="592"/>
      <c r="H217" s="592"/>
      <c r="I217" s="592"/>
      <c r="J217" s="592"/>
      <c r="K217" s="592"/>
      <c r="L217" s="592"/>
      <c r="M217" s="592"/>
      <c r="N217" s="592"/>
      <c r="O217" s="592"/>
    </row>
    <row r="218" ht="15.75" customHeight="1">
      <c r="A218" s="592"/>
      <c r="B218" s="592"/>
      <c r="C218" s="592"/>
      <c r="D218" s="592"/>
      <c r="E218" s="592"/>
      <c r="F218" s="592"/>
      <c r="G218" s="592"/>
      <c r="H218" s="592"/>
      <c r="I218" s="592"/>
      <c r="J218" s="592"/>
      <c r="K218" s="592"/>
      <c r="L218" s="592"/>
      <c r="M218" s="592"/>
      <c r="N218" s="592"/>
      <c r="O218" s="592"/>
    </row>
    <row r="219" ht="15.75" customHeight="1">
      <c r="A219" s="592"/>
      <c r="B219" s="592"/>
      <c r="C219" s="592"/>
      <c r="D219" s="592"/>
      <c r="E219" s="592"/>
      <c r="F219" s="592"/>
      <c r="G219" s="592"/>
      <c r="H219" s="592"/>
      <c r="I219" s="592"/>
      <c r="J219" s="592"/>
      <c r="K219" s="592"/>
      <c r="L219" s="592"/>
      <c r="M219" s="592"/>
      <c r="N219" s="592"/>
      <c r="O219" s="592"/>
    </row>
    <row r="220" ht="15.75" customHeight="1">
      <c r="A220" s="592"/>
      <c r="B220" s="592"/>
      <c r="C220" s="592"/>
      <c r="D220" s="592"/>
      <c r="E220" s="592"/>
      <c r="F220" s="592"/>
      <c r="G220" s="592"/>
      <c r="H220" s="592"/>
      <c r="I220" s="592"/>
      <c r="J220" s="592"/>
      <c r="K220" s="592"/>
      <c r="L220" s="592"/>
      <c r="M220" s="592"/>
      <c r="N220" s="592"/>
      <c r="O220" s="592"/>
    </row>
    <row r="221" ht="15.75" customHeight="1">
      <c r="A221" s="592"/>
      <c r="B221" s="592"/>
      <c r="C221" s="592"/>
      <c r="D221" s="592"/>
      <c r="E221" s="592"/>
      <c r="F221" s="592"/>
      <c r="G221" s="592"/>
      <c r="H221" s="592"/>
      <c r="I221" s="592"/>
      <c r="J221" s="592"/>
      <c r="K221" s="592"/>
      <c r="L221" s="592"/>
      <c r="M221" s="592"/>
      <c r="N221" s="592"/>
      <c r="O221" s="592"/>
    </row>
    <row r="222" ht="15.75" customHeight="1">
      <c r="A222" s="592"/>
      <c r="B222" s="592"/>
      <c r="C222" s="592"/>
      <c r="D222" s="592"/>
      <c r="E222" s="592"/>
      <c r="F222" s="592"/>
      <c r="G222" s="592"/>
      <c r="H222" s="592"/>
      <c r="I222" s="592"/>
      <c r="J222" s="592"/>
      <c r="K222" s="592"/>
      <c r="L222" s="592"/>
      <c r="M222" s="592"/>
      <c r="N222" s="592"/>
      <c r="O222" s="592"/>
    </row>
    <row r="223" ht="15.75" customHeight="1">
      <c r="A223" s="592"/>
      <c r="B223" s="592"/>
      <c r="C223" s="592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2"/>
    </row>
    <row r="224" ht="15.75" customHeight="1">
      <c r="A224" s="592"/>
      <c r="B224" s="592"/>
      <c r="C224" s="592"/>
      <c r="D224" s="592"/>
      <c r="E224" s="592"/>
      <c r="F224" s="592"/>
      <c r="G224" s="592"/>
      <c r="H224" s="592"/>
      <c r="I224" s="592"/>
      <c r="J224" s="592"/>
      <c r="K224" s="592"/>
      <c r="L224" s="592"/>
      <c r="M224" s="592"/>
      <c r="N224" s="592"/>
      <c r="O224" s="592"/>
    </row>
    <row r="225" ht="15.75" customHeight="1">
      <c r="A225" s="592"/>
      <c r="B225" s="592"/>
      <c r="C225" s="592"/>
      <c r="D225" s="592"/>
      <c r="E225" s="592"/>
      <c r="F225" s="592"/>
      <c r="G225" s="592"/>
      <c r="H225" s="592"/>
      <c r="I225" s="592"/>
      <c r="J225" s="592"/>
      <c r="K225" s="592"/>
      <c r="L225" s="592"/>
      <c r="M225" s="592"/>
      <c r="N225" s="592"/>
      <c r="O225" s="592"/>
    </row>
    <row r="226" ht="15.75" customHeight="1">
      <c r="A226" s="592"/>
      <c r="B226" s="592"/>
      <c r="C226" s="592"/>
      <c r="D226" s="592"/>
      <c r="E226" s="592"/>
      <c r="F226" s="592"/>
      <c r="G226" s="592"/>
      <c r="H226" s="592"/>
      <c r="I226" s="592"/>
      <c r="J226" s="592"/>
      <c r="K226" s="592"/>
      <c r="L226" s="592"/>
      <c r="M226" s="592"/>
      <c r="N226" s="592"/>
      <c r="O226" s="592"/>
    </row>
    <row r="227" ht="15.75" customHeight="1">
      <c r="A227" s="592"/>
      <c r="B227" s="592"/>
      <c r="C227" s="592"/>
      <c r="D227" s="592"/>
      <c r="E227" s="592"/>
      <c r="F227" s="592"/>
      <c r="G227" s="592"/>
      <c r="H227" s="592"/>
      <c r="I227" s="592"/>
      <c r="J227" s="592"/>
      <c r="K227" s="592"/>
      <c r="L227" s="592"/>
      <c r="M227" s="592"/>
      <c r="N227" s="592"/>
      <c r="O227" s="592"/>
    </row>
    <row r="228" ht="15.75" customHeight="1">
      <c r="A228" s="592"/>
      <c r="B228" s="592"/>
      <c r="C228" s="592"/>
      <c r="D228" s="592"/>
      <c r="E228" s="592"/>
      <c r="F228" s="592"/>
      <c r="G228" s="592"/>
      <c r="H228" s="592"/>
      <c r="I228" s="592"/>
      <c r="J228" s="592"/>
      <c r="K228" s="592"/>
      <c r="L228" s="592"/>
      <c r="M228" s="592"/>
      <c r="N228" s="592"/>
      <c r="O228" s="592"/>
    </row>
    <row r="229" ht="15.75" customHeight="1">
      <c r="A229" s="592"/>
      <c r="B229" s="592"/>
      <c r="C229" s="592"/>
      <c r="D229" s="592"/>
      <c r="E229" s="592"/>
      <c r="F229" s="592"/>
      <c r="G229" s="592"/>
      <c r="H229" s="592"/>
      <c r="I229" s="592"/>
      <c r="J229" s="592"/>
      <c r="K229" s="592"/>
      <c r="L229" s="592"/>
      <c r="M229" s="592"/>
      <c r="N229" s="592"/>
      <c r="O229" s="592"/>
    </row>
    <row r="230" ht="15.75" customHeight="1">
      <c r="A230" s="592"/>
      <c r="B230" s="592"/>
      <c r="C230" s="592"/>
      <c r="D230" s="592"/>
      <c r="E230" s="592"/>
      <c r="F230" s="592"/>
      <c r="G230" s="592"/>
      <c r="H230" s="592"/>
      <c r="I230" s="592"/>
      <c r="J230" s="592"/>
      <c r="K230" s="592"/>
      <c r="L230" s="592"/>
      <c r="M230" s="592"/>
      <c r="N230" s="592"/>
      <c r="O230" s="592"/>
    </row>
    <row r="231" ht="15.75" customHeight="1">
      <c r="A231" s="592"/>
      <c r="B231" s="592"/>
      <c r="C231" s="592"/>
      <c r="D231" s="592"/>
      <c r="E231" s="592"/>
      <c r="F231" s="592"/>
      <c r="G231" s="592"/>
      <c r="H231" s="592"/>
      <c r="I231" s="592"/>
      <c r="J231" s="592"/>
      <c r="K231" s="592"/>
      <c r="L231" s="592"/>
      <c r="M231" s="592"/>
      <c r="N231" s="592"/>
      <c r="O231" s="592"/>
    </row>
    <row r="232" ht="15.75" customHeight="1">
      <c r="A232" s="592"/>
      <c r="B232" s="592"/>
      <c r="C232" s="592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592"/>
      <c r="O232" s="592"/>
    </row>
    <row r="233" ht="15.75" customHeight="1">
      <c r="A233" s="592"/>
      <c r="B233" s="592"/>
      <c r="C233" s="592"/>
      <c r="D233" s="592"/>
      <c r="E233" s="592"/>
      <c r="F233" s="592"/>
      <c r="G233" s="592"/>
      <c r="H233" s="592"/>
      <c r="I233" s="592"/>
      <c r="J233" s="592"/>
      <c r="K233" s="592"/>
      <c r="L233" s="592"/>
      <c r="M233" s="592"/>
      <c r="N233" s="592"/>
      <c r="O233" s="592"/>
    </row>
    <row r="234" ht="15.75" customHeight="1">
      <c r="A234" s="592"/>
      <c r="B234" s="592"/>
      <c r="C234" s="592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2"/>
    </row>
    <row r="235" ht="15.75" customHeight="1">
      <c r="A235" s="592"/>
      <c r="B235" s="592"/>
      <c r="C235" s="592"/>
      <c r="D235" s="592"/>
      <c r="E235" s="592"/>
      <c r="F235" s="592"/>
      <c r="G235" s="592"/>
      <c r="H235" s="592"/>
      <c r="I235" s="592"/>
      <c r="J235" s="592"/>
      <c r="K235" s="592"/>
      <c r="L235" s="592"/>
      <c r="M235" s="592"/>
      <c r="N235" s="592"/>
      <c r="O235" s="592"/>
    </row>
    <row r="236" ht="15.75" customHeight="1">
      <c r="A236" s="592"/>
      <c r="B236" s="592"/>
      <c r="C236" s="592"/>
      <c r="D236" s="592"/>
      <c r="E236" s="592"/>
      <c r="F236" s="592"/>
      <c r="G236" s="592"/>
      <c r="H236" s="592"/>
      <c r="I236" s="592"/>
      <c r="J236" s="592"/>
      <c r="K236" s="592"/>
      <c r="L236" s="592"/>
      <c r="M236" s="592"/>
      <c r="N236" s="592"/>
      <c r="O236" s="592"/>
    </row>
    <row r="237" ht="15.75" customHeight="1">
      <c r="A237" s="592"/>
      <c r="B237" s="592"/>
      <c r="C237" s="592"/>
      <c r="D237" s="592"/>
      <c r="E237" s="592"/>
      <c r="F237" s="592"/>
      <c r="G237" s="592"/>
      <c r="H237" s="592"/>
      <c r="I237" s="592"/>
      <c r="J237" s="592"/>
      <c r="K237" s="592"/>
      <c r="L237" s="592"/>
      <c r="M237" s="592"/>
      <c r="N237" s="592"/>
      <c r="O237" s="592"/>
    </row>
    <row r="238" ht="15.75" customHeight="1">
      <c r="A238" s="592"/>
      <c r="B238" s="592"/>
      <c r="C238" s="592"/>
      <c r="D238" s="592"/>
      <c r="E238" s="592"/>
      <c r="F238" s="592"/>
      <c r="G238" s="592"/>
      <c r="H238" s="592"/>
      <c r="I238" s="592"/>
      <c r="J238" s="592"/>
      <c r="K238" s="592"/>
      <c r="L238" s="592"/>
      <c r="M238" s="592"/>
      <c r="N238" s="592"/>
      <c r="O238" s="592"/>
    </row>
    <row r="239" ht="15.75" customHeight="1">
      <c r="A239" s="592"/>
      <c r="B239" s="592"/>
      <c r="C239" s="592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2"/>
    </row>
    <row r="240" ht="15.75" customHeight="1">
      <c r="A240" s="592"/>
      <c r="B240" s="592"/>
      <c r="C240" s="592"/>
      <c r="D240" s="592"/>
      <c r="E240" s="592"/>
      <c r="F240" s="592"/>
      <c r="G240" s="592"/>
      <c r="H240" s="592"/>
      <c r="I240" s="592"/>
      <c r="J240" s="592"/>
      <c r="K240" s="592"/>
      <c r="L240" s="592"/>
      <c r="M240" s="592"/>
      <c r="N240" s="592"/>
      <c r="O240" s="592"/>
    </row>
    <row r="241" ht="15.75" customHeight="1">
      <c r="A241" s="592"/>
      <c r="B241" s="592"/>
      <c r="C241" s="592"/>
      <c r="D241" s="592"/>
      <c r="E241" s="592"/>
      <c r="F241" s="592"/>
      <c r="G241" s="592"/>
      <c r="H241" s="592"/>
      <c r="I241" s="592"/>
      <c r="J241" s="592"/>
      <c r="K241" s="592"/>
      <c r="L241" s="592"/>
      <c r="M241" s="592"/>
      <c r="N241" s="592"/>
      <c r="O241" s="592"/>
    </row>
    <row r="242" ht="15.75" customHeight="1">
      <c r="A242" s="592"/>
      <c r="B242" s="592"/>
      <c r="C242" s="592"/>
      <c r="D242" s="592"/>
      <c r="E242" s="592"/>
      <c r="F242" s="592"/>
      <c r="G242" s="592"/>
      <c r="H242" s="592"/>
      <c r="I242" s="592"/>
      <c r="J242" s="592"/>
      <c r="K242" s="592"/>
      <c r="L242" s="592"/>
      <c r="M242" s="592"/>
      <c r="N242" s="592"/>
      <c r="O242" s="592"/>
    </row>
    <row r="243" ht="15.75" customHeight="1">
      <c r="A243" s="592"/>
      <c r="B243" s="592"/>
      <c r="C243" s="592"/>
      <c r="D243" s="592"/>
      <c r="E243" s="592"/>
      <c r="F243" s="592"/>
      <c r="G243" s="592"/>
      <c r="H243" s="592"/>
      <c r="I243" s="592"/>
      <c r="J243" s="592"/>
      <c r="K243" s="592"/>
      <c r="L243" s="592"/>
      <c r="M243" s="592"/>
      <c r="N243" s="592"/>
      <c r="O243" s="592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3:D4"/>
  </mergeCells>
  <conditionalFormatting sqref="I1:I17 I19:I45 O6:O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1:G13 G18:G26 L17">
    <cfRule type="colorScale" priority="2">
      <colorScale>
        <cfvo type="min"/>
        <cfvo type="max"/>
        <color rgb="FFFFFFFF"/>
        <color rgb="FFE67C73"/>
      </colorScale>
    </cfRule>
  </conditionalFormatting>
  <drawing r:id="rId1"/>
</worksheet>
</file>